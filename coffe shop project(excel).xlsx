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hmi\OneDrive\سطح المكتب\"/>
    </mc:Choice>
  </mc:AlternateContent>
  <xr:revisionPtr revIDLastSave="0" documentId="8_{F8EFD698-E95A-4E49-82BB-6F38079E2E9D}" xr6:coauthVersionLast="47" xr6:coauthVersionMax="47" xr10:uidLastSave="{00000000-0000-0000-0000-000000000000}"/>
  <bookViews>
    <workbookView xWindow="-120" yWindow="-120" windowWidth="29040" windowHeight="15720" activeTab="1" xr2:uid="{69F951A8-D5A1-4A8B-811C-5D7C82CBF4FA}"/>
  </bookViews>
  <sheets>
    <sheet name="coffee shop project" sheetId="1" r:id="rId1"/>
    <sheet name="coffe shop project(excel)" sheetId="2" r:id="rId2"/>
  </sheets>
  <definedNames>
    <definedName name="_xlchart.v1.0" hidden="1">'coffe shop project(excel)'!$L$27</definedName>
    <definedName name="_xlchart.v1.1" hidden="1">'coffe shop project(excel)'!$B$19</definedName>
    <definedName name="_xlchart.v1.10" hidden="1">'coffe shop project(excel)'!$C$23:$K$23</definedName>
    <definedName name="_xlchart.v1.11" hidden="1">'coffe shop project(excel)'!$B$19</definedName>
    <definedName name="_xlchart.v1.12" hidden="1">'coffe shop project(excel)'!$B$20</definedName>
    <definedName name="_xlchart.v1.13" hidden="1">'coffe shop project(excel)'!$B$21</definedName>
    <definedName name="_xlchart.v1.14" hidden="1">'coffe shop project(excel)'!$B$22</definedName>
    <definedName name="_xlchart.v1.15" hidden="1">'coffe shop project(excel)'!$B$23</definedName>
    <definedName name="_xlchart.v1.16" hidden="1">'coffe shop project(excel)'!$C$19:$K$19</definedName>
    <definedName name="_xlchart.v1.17" hidden="1">'coffe shop project(excel)'!$C$20:$K$20</definedName>
    <definedName name="_xlchart.v1.18" hidden="1">'coffe shop project(excel)'!$C$21:$K$21</definedName>
    <definedName name="_xlchart.v1.19" hidden="1">'coffe shop project(excel)'!$C$22:$K$22</definedName>
    <definedName name="_xlchart.v1.2" hidden="1">'coffe shop project(excel)'!$B$20</definedName>
    <definedName name="_xlchart.v1.20" hidden="1">'coffe shop project(excel)'!$C$23:$K$23</definedName>
    <definedName name="_xlchart.v1.21" hidden="1">'coffe shop project(excel)'!$B$14:$B$16</definedName>
    <definedName name="_xlchart.v1.22" hidden="1">'coffe shop project(excel)'!$C$13</definedName>
    <definedName name="_xlchart.v1.23" hidden="1">'coffe shop project(excel)'!$C$14:$C$16</definedName>
    <definedName name="_xlchart.v1.24" hidden="1">'coffe shop project(excel)'!$D$13</definedName>
    <definedName name="_xlchart.v1.25" hidden="1">'coffe shop project(excel)'!$D$14:$D$16</definedName>
    <definedName name="_xlchart.v1.26" hidden="1">'coffe shop project(excel)'!$E$13</definedName>
    <definedName name="_xlchart.v1.27" hidden="1">'coffe shop project(excel)'!$E$14:$E$16</definedName>
    <definedName name="_xlchart.v1.28" hidden="1">'coffe shop project(excel)'!$F$13</definedName>
    <definedName name="_xlchart.v1.29" hidden="1">'coffe shop project(excel)'!$F$14:$F$16</definedName>
    <definedName name="_xlchart.v1.3" hidden="1">'coffe shop project(excel)'!$B$21</definedName>
    <definedName name="_xlchart.v1.30" hidden="1">'coffe shop project(excel)'!$B$14:$B$16</definedName>
    <definedName name="_xlchart.v1.31" hidden="1">'coffe shop project(excel)'!$C$13</definedName>
    <definedName name="_xlchart.v1.32" hidden="1">'coffe shop project(excel)'!$C$14:$C$16</definedName>
    <definedName name="_xlchart.v1.33" hidden="1">'coffe shop project(excel)'!$D$13</definedName>
    <definedName name="_xlchart.v1.34" hidden="1">'coffe shop project(excel)'!$D$14:$D$16</definedName>
    <definedName name="_xlchart.v1.35" hidden="1">'coffe shop project(excel)'!$E$13</definedName>
    <definedName name="_xlchart.v1.36" hidden="1">'coffe shop project(excel)'!$E$14:$E$16</definedName>
    <definedName name="_xlchart.v1.37" hidden="1">'coffe shop project(excel)'!$F$13</definedName>
    <definedName name="_xlchart.v1.38" hidden="1">'coffe shop project(excel)'!$F$14:$F$16</definedName>
    <definedName name="_xlchart.v1.4" hidden="1">'coffe shop project(excel)'!$B$22</definedName>
    <definedName name="_xlchart.v1.5" hidden="1">'coffe shop project(excel)'!$B$23</definedName>
    <definedName name="_xlchart.v1.6" hidden="1">'coffe shop project(excel)'!$C$19:$K$19</definedName>
    <definedName name="_xlchart.v1.7" hidden="1">'coffe shop project(excel)'!$C$20:$K$20</definedName>
    <definedName name="_xlchart.v1.8" hidden="1">'coffe shop project(excel)'!$C$21:$K$21</definedName>
    <definedName name="_xlchart.v1.9" hidden="1">'coffe shop project(excel)'!$C$22:$K$22</definedName>
  </definedNames>
  <calcPr calcId="0"/>
  <pivotCaches>
    <pivotCache cacheId="15" r:id="rId3"/>
    <pivotCache cacheId="20" r:id="rId4"/>
  </pivotCaches>
</workbook>
</file>

<file path=xl/calcChain.xml><?xml version="1.0" encoding="utf-8"?>
<calcChain xmlns="http://schemas.openxmlformats.org/spreadsheetml/2006/main">
  <c r="K23" i="2" l="1"/>
  <c r="J23" i="2"/>
  <c r="I23" i="2"/>
  <c r="H23" i="2"/>
  <c r="K22" i="2"/>
  <c r="J22" i="2"/>
  <c r="I22" i="2"/>
  <c r="H22" i="2"/>
  <c r="K21" i="2"/>
  <c r="J21" i="2"/>
  <c r="I21" i="2"/>
  <c r="H21" i="2"/>
  <c r="F21" i="2"/>
  <c r="E23" i="2"/>
  <c r="E22" i="2"/>
  <c r="D23" i="2"/>
  <c r="D22" i="2"/>
  <c r="C23" i="2"/>
  <c r="C22" i="2"/>
  <c r="F23" i="2"/>
  <c r="F22" i="2"/>
  <c r="C21" i="2"/>
  <c r="D21" i="2"/>
  <c r="E21" i="2"/>
  <c r="D16" i="2"/>
  <c r="C16" i="2"/>
  <c r="D15" i="2"/>
  <c r="C15" i="2"/>
  <c r="D14" i="2"/>
  <c r="E14" i="2" s="1"/>
  <c r="F14" i="2" s="1"/>
  <c r="C14" i="2"/>
  <c r="F9" i="2"/>
  <c r="D9" i="2"/>
  <c r="B9" i="2"/>
  <c r="F5" i="2"/>
  <c r="D5" i="2"/>
  <c r="B5" i="2"/>
  <c r="E16" i="2" l="1"/>
  <c r="F16" i="2" s="1"/>
  <c r="E15" i="2"/>
  <c r="F15" i="2" s="1"/>
</calcChain>
</file>

<file path=xl/sharedStrings.xml><?xml version="1.0" encoding="utf-8"?>
<sst xmlns="http://schemas.openxmlformats.org/spreadsheetml/2006/main" count="8570" uniqueCount="1163">
  <si>
    <t>Transaction_ID</t>
  </si>
  <si>
    <t>Transaction_Date</t>
  </si>
  <si>
    <t>Area Code</t>
  </si>
  <si>
    <t>State</t>
  </si>
  <si>
    <t>Market</t>
  </si>
  <si>
    <t>Market Size</t>
  </si>
  <si>
    <t>Product Line</t>
  </si>
  <si>
    <t>Product Type</t>
  </si>
  <si>
    <t>Product</t>
  </si>
  <si>
    <t>Type</t>
  </si>
  <si>
    <t>Inventory</t>
  </si>
  <si>
    <t>Marketing</t>
  </si>
  <si>
    <t>Sales</t>
  </si>
  <si>
    <t>Cogs</t>
  </si>
  <si>
    <t>Total Expenses</t>
  </si>
  <si>
    <t>Profit</t>
  </si>
  <si>
    <t>Profit Margin</t>
  </si>
  <si>
    <t>Target Sales</t>
  </si>
  <si>
    <t>Target COGS</t>
  </si>
  <si>
    <t>Target Profit</t>
  </si>
  <si>
    <t>Target Profit Margin</t>
  </si>
  <si>
    <t>Difference Between Actual and Target Profit</t>
  </si>
  <si>
    <t>TXN-00001</t>
  </si>
  <si>
    <t>Wisconsin</t>
  </si>
  <si>
    <t>Central</t>
  </si>
  <si>
    <t>Small Market</t>
  </si>
  <si>
    <t>Leaves</t>
  </si>
  <si>
    <t>Tea</t>
  </si>
  <si>
    <t>Darjeeling</t>
  </si>
  <si>
    <t>Regular</t>
  </si>
  <si>
    <t>TXN-00002</t>
  </si>
  <si>
    <t>Colorado</t>
  </si>
  <si>
    <t>Major Market</t>
  </si>
  <si>
    <t>Beans</t>
  </si>
  <si>
    <t>Coffee</t>
  </si>
  <si>
    <t>Amaretto</t>
  </si>
  <si>
    <t>TXN-00003</t>
  </si>
  <si>
    <t>Illinois</t>
  </si>
  <si>
    <t>Herbal Tea</t>
  </si>
  <si>
    <t>Chamomile</t>
  </si>
  <si>
    <t>Decaf</t>
  </si>
  <si>
    <t>TXN-00004</t>
  </si>
  <si>
    <t>Earl Grey</t>
  </si>
  <si>
    <t>TXN-00005</t>
  </si>
  <si>
    <t>New Mexico</t>
  </si>
  <si>
    <t>South</t>
  </si>
  <si>
    <t>Lemon</t>
  </si>
  <si>
    <t>TXN-00006</t>
  </si>
  <si>
    <t>TXN-00007</t>
  </si>
  <si>
    <t>Louisiana</t>
  </si>
  <si>
    <t>Colombian</t>
  </si>
  <si>
    <t>TXN-00008</t>
  </si>
  <si>
    <t>Washington</t>
  </si>
  <si>
    <t>West</t>
  </si>
  <si>
    <t>Espresso</t>
  </si>
  <si>
    <t>Decaf Espresso</t>
  </si>
  <si>
    <t>TXN-00009</t>
  </si>
  <si>
    <t>TXN-00010</t>
  </si>
  <si>
    <t>Missouri</t>
  </si>
  <si>
    <t>Green Tea</t>
  </si>
  <si>
    <t>TXN-00011</t>
  </si>
  <si>
    <t>TXN-00012</t>
  </si>
  <si>
    <t>California</t>
  </si>
  <si>
    <t>TXN-00013</t>
  </si>
  <si>
    <t>TXN-00014</t>
  </si>
  <si>
    <t>Nevada</t>
  </si>
  <si>
    <t>Mint</t>
  </si>
  <si>
    <t>TXN-00015</t>
  </si>
  <si>
    <t>Caffe Mocha</t>
  </si>
  <si>
    <t>TXN-00016</t>
  </si>
  <si>
    <t>TXN-00017</t>
  </si>
  <si>
    <t>Oregon</t>
  </si>
  <si>
    <t>Caffe Latte</t>
  </si>
  <si>
    <t>TXN-00018</t>
  </si>
  <si>
    <t>TXN-00019</t>
  </si>
  <si>
    <t>TXN-00020</t>
  </si>
  <si>
    <t>Texas</t>
  </si>
  <si>
    <t>TXN-00021</t>
  </si>
  <si>
    <t>Massachusetts</t>
  </si>
  <si>
    <t>East</t>
  </si>
  <si>
    <t>TXN-00022</t>
  </si>
  <si>
    <t>TXN-00023</t>
  </si>
  <si>
    <t>TXN-00024</t>
  </si>
  <si>
    <t>Decaf Irish Cream</t>
  </si>
  <si>
    <t>TXN-00025</t>
  </si>
  <si>
    <t>Ohio</t>
  </si>
  <si>
    <t>TXN-00026</t>
  </si>
  <si>
    <t>TXN-00027</t>
  </si>
  <si>
    <t>TXN-00028</t>
  </si>
  <si>
    <t>TXN-00029</t>
  </si>
  <si>
    <t>TXN-00030</t>
  </si>
  <si>
    <t>TXN-00031</t>
  </si>
  <si>
    <t>TXN-00032</t>
  </si>
  <si>
    <t>TXN-00033</t>
  </si>
  <si>
    <t>TXN-00034</t>
  </si>
  <si>
    <t>Utah</t>
  </si>
  <si>
    <t>TXN-00035</t>
  </si>
  <si>
    <t>TXN-00036</t>
  </si>
  <si>
    <t>TXN-00037</t>
  </si>
  <si>
    <t>New York</t>
  </si>
  <si>
    <t>TXN-00038</t>
  </si>
  <si>
    <t>Regular Espresso</t>
  </si>
  <si>
    <t>TXN-00039</t>
  </si>
  <si>
    <t>TXN-00040</t>
  </si>
  <si>
    <t>TXN-00041</t>
  </si>
  <si>
    <t>TXN-00042</t>
  </si>
  <si>
    <t>TXN-00043</t>
  </si>
  <si>
    <t>TXN-00044</t>
  </si>
  <si>
    <t>TXN-00045</t>
  </si>
  <si>
    <t>New Hampshire</t>
  </si>
  <si>
    <t>TXN-00046</t>
  </si>
  <si>
    <t>TXN-00047</t>
  </si>
  <si>
    <t>TXN-00048</t>
  </si>
  <si>
    <t>TXN-00049</t>
  </si>
  <si>
    <t>TXN-00050</t>
  </si>
  <si>
    <t>TXN-00051</t>
  </si>
  <si>
    <t>TXN-00052</t>
  </si>
  <si>
    <t>Florida</t>
  </si>
  <si>
    <t>TXN-00053</t>
  </si>
  <si>
    <t>TXN-00054</t>
  </si>
  <si>
    <t>TXN-00055</t>
  </si>
  <si>
    <t>TXN-00056</t>
  </si>
  <si>
    <t>TXN-00057</t>
  </si>
  <si>
    <t>TXN-00058</t>
  </si>
  <si>
    <t>Iowa</t>
  </si>
  <si>
    <t>TXN-00059</t>
  </si>
  <si>
    <t>TXN-00060</t>
  </si>
  <si>
    <t>TXN-00061</t>
  </si>
  <si>
    <t>TXN-00062</t>
  </si>
  <si>
    <t>TXN-00063</t>
  </si>
  <si>
    <t>TXN-00064</t>
  </si>
  <si>
    <t>TXN-00065</t>
  </si>
  <si>
    <t>TXN-00066</t>
  </si>
  <si>
    <t>TXN-00067</t>
  </si>
  <si>
    <t>TXN-00068</t>
  </si>
  <si>
    <t>Connecticut</t>
  </si>
  <si>
    <t>TXN-00069</t>
  </si>
  <si>
    <t>TXN-00070</t>
  </si>
  <si>
    <t>TXN-00071</t>
  </si>
  <si>
    <t>TXN-00072</t>
  </si>
  <si>
    <t>TXN-00073</t>
  </si>
  <si>
    <t>TXN-00074</t>
  </si>
  <si>
    <t>TXN-00075</t>
  </si>
  <si>
    <t>TXN-00076</t>
  </si>
  <si>
    <t>TXN-00077</t>
  </si>
  <si>
    <t>TXN-00078</t>
  </si>
  <si>
    <t>TXN-00079</t>
  </si>
  <si>
    <t>TXN-00080</t>
  </si>
  <si>
    <t>Oklahoma</t>
  </si>
  <si>
    <t>TXN-00081</t>
  </si>
  <si>
    <t>TXN-00082</t>
  </si>
  <si>
    <t>TXN-00083</t>
  </si>
  <si>
    <t>TXN-00084</t>
  </si>
  <si>
    <t>TXN-00085</t>
  </si>
  <si>
    <t>TXN-00086</t>
  </si>
  <si>
    <t>TXN-00087</t>
  </si>
  <si>
    <t>TXN-00088</t>
  </si>
  <si>
    <t>TXN-00089</t>
  </si>
  <si>
    <t>TXN-00090</t>
  </si>
  <si>
    <t>TXN-00091</t>
  </si>
  <si>
    <t>TXN-00092</t>
  </si>
  <si>
    <t>TXN-00093</t>
  </si>
  <si>
    <t>TXN-00094</t>
  </si>
  <si>
    <t>TXN-00095</t>
  </si>
  <si>
    <t>TXN-00096</t>
  </si>
  <si>
    <t>TXN-00097</t>
  </si>
  <si>
    <t>TXN-00098</t>
  </si>
  <si>
    <t>TXN-00099</t>
  </si>
  <si>
    <t>TXN-00100</t>
  </si>
  <si>
    <t>TXN-00101</t>
  </si>
  <si>
    <t>TXN-00102</t>
  </si>
  <si>
    <t>TXN-00103</t>
  </si>
  <si>
    <t>TXN-00104</t>
  </si>
  <si>
    <t>TXN-00105</t>
  </si>
  <si>
    <t>TXN-00106</t>
  </si>
  <si>
    <t>TXN-00107</t>
  </si>
  <si>
    <t>TXN-00108</t>
  </si>
  <si>
    <t>TXN-00109</t>
  </si>
  <si>
    <t>TXN-00110</t>
  </si>
  <si>
    <t>TXN-00111</t>
  </si>
  <si>
    <t>TXN-00112</t>
  </si>
  <si>
    <t>TXN-00113</t>
  </si>
  <si>
    <t>TXN-00114</t>
  </si>
  <si>
    <t>TXN-00115</t>
  </si>
  <si>
    <t>TXN-00116</t>
  </si>
  <si>
    <t>TXN-00117</t>
  </si>
  <si>
    <t>TXN-00118</t>
  </si>
  <si>
    <t>TXN-00119</t>
  </si>
  <si>
    <t>TXN-00120</t>
  </si>
  <si>
    <t>TXN-00121</t>
  </si>
  <si>
    <t>TXN-00122</t>
  </si>
  <si>
    <t>TXN-00123</t>
  </si>
  <si>
    <t>TXN-00124</t>
  </si>
  <si>
    <t>TXN-00125</t>
  </si>
  <si>
    <t>TXN-00126</t>
  </si>
  <si>
    <t>TXN-00127</t>
  </si>
  <si>
    <t>TXN-00128</t>
  </si>
  <si>
    <t>TXN-00129</t>
  </si>
  <si>
    <t>TXN-00130</t>
  </si>
  <si>
    <t>TXN-00131</t>
  </si>
  <si>
    <t>TXN-00132</t>
  </si>
  <si>
    <t>TXN-00133</t>
  </si>
  <si>
    <t>TXN-00134</t>
  </si>
  <si>
    <t>TXN-00135</t>
  </si>
  <si>
    <t>TXN-00136</t>
  </si>
  <si>
    <t>TXN-00137</t>
  </si>
  <si>
    <t>TXN-00138</t>
  </si>
  <si>
    <t>TXN-00139</t>
  </si>
  <si>
    <t>TXN-00140</t>
  </si>
  <si>
    <t>TXN-00141</t>
  </si>
  <si>
    <t>TXN-00142</t>
  </si>
  <si>
    <t>TXN-00143</t>
  </si>
  <si>
    <t>TXN-00144</t>
  </si>
  <si>
    <t xml:space="preserve"> </t>
  </si>
  <si>
    <t>TXN-00145</t>
  </si>
  <si>
    <t>TXN-00146</t>
  </si>
  <si>
    <t>TXN-00147</t>
  </si>
  <si>
    <t>TXN-00148</t>
  </si>
  <si>
    <t>TXN-00149</t>
  </si>
  <si>
    <t>TXN-00150</t>
  </si>
  <si>
    <t>TXN-00151</t>
  </si>
  <si>
    <t>TXN-00152</t>
  </si>
  <si>
    <t>TXN-00153</t>
  </si>
  <si>
    <t>TXN-00154</t>
  </si>
  <si>
    <t>TXN-00155</t>
  </si>
  <si>
    <t>TXN-00156</t>
  </si>
  <si>
    <t>TXN-00157</t>
  </si>
  <si>
    <t>TXN-00158</t>
  </si>
  <si>
    <t>TXN-00159</t>
  </si>
  <si>
    <t>TXN-00160</t>
  </si>
  <si>
    <t>TXN-00161</t>
  </si>
  <si>
    <t>TXN-00162</t>
  </si>
  <si>
    <t>TXN-00163</t>
  </si>
  <si>
    <t>TXN-00164</t>
  </si>
  <si>
    <t>TXN-00165</t>
  </si>
  <si>
    <t>TXN-00166</t>
  </si>
  <si>
    <t>TXN-00167</t>
  </si>
  <si>
    <t>TXN-00168</t>
  </si>
  <si>
    <t>TXN-00169</t>
  </si>
  <si>
    <t>TXN-00170</t>
  </si>
  <si>
    <t>TXN-00171</t>
  </si>
  <si>
    <t>TXN-00172</t>
  </si>
  <si>
    <t>TXN-00173</t>
  </si>
  <si>
    <t>TXN-00174</t>
  </si>
  <si>
    <t>TXN-00175</t>
  </si>
  <si>
    <t>TXN-00176</t>
  </si>
  <si>
    <t>TXN-00177</t>
  </si>
  <si>
    <t>TXN-00178</t>
  </si>
  <si>
    <t>TXN-00179</t>
  </si>
  <si>
    <t>TXN-00180</t>
  </si>
  <si>
    <t>TXN-00181</t>
  </si>
  <si>
    <t>TXN-00182</t>
  </si>
  <si>
    <t>TXN-00183</t>
  </si>
  <si>
    <t>TXN-00184</t>
  </si>
  <si>
    <t>TXN-00185</t>
  </si>
  <si>
    <t>TXN-00186</t>
  </si>
  <si>
    <t>TXN-00187</t>
  </si>
  <si>
    <t>TXN-00188</t>
  </si>
  <si>
    <t>TXN-00189</t>
  </si>
  <si>
    <t>TXN-00190</t>
  </si>
  <si>
    <t>TXN-00191</t>
  </si>
  <si>
    <t>TXN-00192</t>
  </si>
  <si>
    <t>TXN-00193</t>
  </si>
  <si>
    <t>TXN-00194</t>
  </si>
  <si>
    <t>TXN-00195</t>
  </si>
  <si>
    <t>TXN-00196</t>
  </si>
  <si>
    <t>TXN-00197</t>
  </si>
  <si>
    <t>TXN-00198</t>
  </si>
  <si>
    <t>TXN-00199</t>
  </si>
  <si>
    <t>TXN-00200</t>
  </si>
  <si>
    <t>TXN-00201</t>
  </si>
  <si>
    <t>TXN-00202</t>
  </si>
  <si>
    <t>TXN-00203</t>
  </si>
  <si>
    <t>TXN-00204</t>
  </si>
  <si>
    <t>TXN-00205</t>
  </si>
  <si>
    <t>TXN-00206</t>
  </si>
  <si>
    <t>TXN-00207</t>
  </si>
  <si>
    <t>TXN-00208</t>
  </si>
  <si>
    <t>TXN-00209</t>
  </si>
  <si>
    <t>TXN-00210</t>
  </si>
  <si>
    <t>TXN-00211</t>
  </si>
  <si>
    <t>TXN-00212</t>
  </si>
  <si>
    <t>TXN-00213</t>
  </si>
  <si>
    <t>TXN-00214</t>
  </si>
  <si>
    <t>TXN-00215</t>
  </si>
  <si>
    <t>TXN-00216</t>
  </si>
  <si>
    <t>TXN-00217</t>
  </si>
  <si>
    <t>TXN-00218</t>
  </si>
  <si>
    <t>TXN-00219</t>
  </si>
  <si>
    <t>TXN-00220</t>
  </si>
  <si>
    <t>TXN-00221</t>
  </si>
  <si>
    <t>TXN-00222</t>
  </si>
  <si>
    <t>TXN-00223</t>
  </si>
  <si>
    <t>TXN-00224</t>
  </si>
  <si>
    <t>TXN-00225</t>
  </si>
  <si>
    <t>TXN-00226</t>
  </si>
  <si>
    <t>TXN-00227</t>
  </si>
  <si>
    <t>TXN-00228</t>
  </si>
  <si>
    <t>TXN-00229</t>
  </si>
  <si>
    <t>TXN-00230</t>
  </si>
  <si>
    <t>TXN-00231</t>
  </si>
  <si>
    <t>TXN-00232</t>
  </si>
  <si>
    <t>TXN-00233</t>
  </si>
  <si>
    <t>TXN-00234</t>
  </si>
  <si>
    <t>TXN-00235</t>
  </si>
  <si>
    <t>TXN-00236</t>
  </si>
  <si>
    <t>TXN-00237</t>
  </si>
  <si>
    <t>TXN-00238</t>
  </si>
  <si>
    <t>TXN-00239</t>
  </si>
  <si>
    <t>TXN-00240</t>
  </si>
  <si>
    <t>TXN-00241</t>
  </si>
  <si>
    <t>TXN-00242</t>
  </si>
  <si>
    <t>TXN-00243</t>
  </si>
  <si>
    <t>TXN-00244</t>
  </si>
  <si>
    <t>TXN-00245</t>
  </si>
  <si>
    <t>TXN-00246</t>
  </si>
  <si>
    <t>TXN-00247</t>
  </si>
  <si>
    <t>TXN-00248</t>
  </si>
  <si>
    <t>TXN-00249</t>
  </si>
  <si>
    <t>TXN-00250</t>
  </si>
  <si>
    <t>TXN-00251</t>
  </si>
  <si>
    <t>TXN-00252</t>
  </si>
  <si>
    <t>TXN-00253</t>
  </si>
  <si>
    <t>TXN-00254</t>
  </si>
  <si>
    <t>TXN-00255</t>
  </si>
  <si>
    <t>TXN-00256</t>
  </si>
  <si>
    <t>TXN-00257</t>
  </si>
  <si>
    <t>TXN-00258</t>
  </si>
  <si>
    <t>TXN-00259</t>
  </si>
  <si>
    <t>TXN-00260</t>
  </si>
  <si>
    <t>TXN-00261</t>
  </si>
  <si>
    <t>TXN-00262</t>
  </si>
  <si>
    <t>TXN-00263</t>
  </si>
  <si>
    <t>TXN-00264</t>
  </si>
  <si>
    <t>TXN-00265</t>
  </si>
  <si>
    <t>TXN-00266</t>
  </si>
  <si>
    <t>TXN-00267</t>
  </si>
  <si>
    <t>TXN-00268</t>
  </si>
  <si>
    <t>TXN-00269</t>
  </si>
  <si>
    <t>TXN-00270</t>
  </si>
  <si>
    <t>TXN-00271</t>
  </si>
  <si>
    <t>TXN-00272</t>
  </si>
  <si>
    <t>TXN-00273</t>
  </si>
  <si>
    <t>TXN-00274</t>
  </si>
  <si>
    <t>TXN-00275</t>
  </si>
  <si>
    <t>TXN-00276</t>
  </si>
  <si>
    <t>TXN-00277</t>
  </si>
  <si>
    <t>TXN-00278</t>
  </si>
  <si>
    <t>TXN-00279</t>
  </si>
  <si>
    <t>TXN-00280</t>
  </si>
  <si>
    <t>TXN-00281</t>
  </si>
  <si>
    <t>TXN-00282</t>
  </si>
  <si>
    <t>TXN-00283</t>
  </si>
  <si>
    <t>TXN-00284</t>
  </si>
  <si>
    <t>TXN-00285</t>
  </si>
  <si>
    <t>TXN-00286</t>
  </si>
  <si>
    <t>TXN-00287</t>
  </si>
  <si>
    <t>TXN-00288</t>
  </si>
  <si>
    <t>TXN-00289</t>
  </si>
  <si>
    <t>TXN-00290</t>
  </si>
  <si>
    <t>TXN-00291</t>
  </si>
  <si>
    <t>TXN-00292</t>
  </si>
  <si>
    <t>TXN-00293</t>
  </si>
  <si>
    <t>TXN-00294</t>
  </si>
  <si>
    <t>TXN-00295</t>
  </si>
  <si>
    <t>TXN-00296</t>
  </si>
  <si>
    <t>TXN-00297</t>
  </si>
  <si>
    <t>TXN-00298</t>
  </si>
  <si>
    <t>TXN-00299</t>
  </si>
  <si>
    <t>TXN-00300</t>
  </si>
  <si>
    <t>TXN-00301</t>
  </si>
  <si>
    <t>TXN-00302</t>
  </si>
  <si>
    <t>TXN-00303</t>
  </si>
  <si>
    <t>TXN-00304</t>
  </si>
  <si>
    <t>TXN-00305</t>
  </si>
  <si>
    <t>TXN-00306</t>
  </si>
  <si>
    <t>TXN-00307</t>
  </si>
  <si>
    <t>TXN-00308</t>
  </si>
  <si>
    <t>TXN-00309</t>
  </si>
  <si>
    <t>TXN-00310</t>
  </si>
  <si>
    <t>TXN-00311</t>
  </si>
  <si>
    <t>TXN-00312</t>
  </si>
  <si>
    <t>TXN-00313</t>
  </si>
  <si>
    <t>TXN-00314</t>
  </si>
  <si>
    <t>TXN-00315</t>
  </si>
  <si>
    <t>TXN-00316</t>
  </si>
  <si>
    <t>TXN-00317</t>
  </si>
  <si>
    <t>TXN-00318</t>
  </si>
  <si>
    <t>TXN-00319</t>
  </si>
  <si>
    <t>TXN-00320</t>
  </si>
  <si>
    <t>TXN-00321</t>
  </si>
  <si>
    <t>TXN-00322</t>
  </si>
  <si>
    <t>TXN-00323</t>
  </si>
  <si>
    <t>TXN-00324</t>
  </si>
  <si>
    <t>TXN-00325</t>
  </si>
  <si>
    <t>TXN-00326</t>
  </si>
  <si>
    <t>TXN-00327</t>
  </si>
  <si>
    <t>TXN-00328</t>
  </si>
  <si>
    <t>TXN-00329</t>
  </si>
  <si>
    <t>TXN-00330</t>
  </si>
  <si>
    <t>TXN-00331</t>
  </si>
  <si>
    <t>TXN-00332</t>
  </si>
  <si>
    <t>TXN-00333</t>
  </si>
  <si>
    <t>TXN-00334</t>
  </si>
  <si>
    <t>TXN-00335</t>
  </si>
  <si>
    <t>TXN-00336</t>
  </si>
  <si>
    <t>TXN-00337</t>
  </si>
  <si>
    <t>TXN-00338</t>
  </si>
  <si>
    <t>TXN-00339</t>
  </si>
  <si>
    <t>TXN-00340</t>
  </si>
  <si>
    <t>TXN-00341</t>
  </si>
  <si>
    <t>TXN-00342</t>
  </si>
  <si>
    <t>TXN-00343</t>
  </si>
  <si>
    <t>TXN-00344</t>
  </si>
  <si>
    <t>TXN-00345</t>
  </si>
  <si>
    <t>TXN-00346</t>
  </si>
  <si>
    <t>TXN-00347</t>
  </si>
  <si>
    <t>TXN-00348</t>
  </si>
  <si>
    <t>TXN-00349</t>
  </si>
  <si>
    <t>TXN-00350</t>
  </si>
  <si>
    <t>TXN-00351</t>
  </si>
  <si>
    <t>TXN-00352</t>
  </si>
  <si>
    <t>TXN-00353</t>
  </si>
  <si>
    <t>TXN-00354</t>
  </si>
  <si>
    <t>TXN-00355</t>
  </si>
  <si>
    <t>TXN-00356</t>
  </si>
  <si>
    <t>TXN-00357</t>
  </si>
  <si>
    <t>TXN-00358</t>
  </si>
  <si>
    <t>TXN-00359</t>
  </si>
  <si>
    <t>TXN-00360</t>
  </si>
  <si>
    <t>TXN-00361</t>
  </si>
  <si>
    <t>TXN-00362</t>
  </si>
  <si>
    <t>TXN-00363</t>
  </si>
  <si>
    <t>TXN-00364</t>
  </si>
  <si>
    <t>TXN-00365</t>
  </si>
  <si>
    <t>TXN-00366</t>
  </si>
  <si>
    <t>TXN-00367</t>
  </si>
  <si>
    <t>TXN-00368</t>
  </si>
  <si>
    <t>TXN-00369</t>
  </si>
  <si>
    <t>TXN-00370</t>
  </si>
  <si>
    <t>TXN-00371</t>
  </si>
  <si>
    <t>TXN-00372</t>
  </si>
  <si>
    <t>TXN-00373</t>
  </si>
  <si>
    <t>TXN-00374</t>
  </si>
  <si>
    <t>TXN-00375</t>
  </si>
  <si>
    <t>TXN-00376</t>
  </si>
  <si>
    <t>TXN-00377</t>
  </si>
  <si>
    <t>TXN-00378</t>
  </si>
  <si>
    <t>TXN-00379</t>
  </si>
  <si>
    <t>TXN-00380</t>
  </si>
  <si>
    <t>TXN-00381</t>
  </si>
  <si>
    <t>TXN-00382</t>
  </si>
  <si>
    <t>TXN-00383</t>
  </si>
  <si>
    <t>TXN-00384</t>
  </si>
  <si>
    <t>TXN-00385</t>
  </si>
  <si>
    <t>TXN-00386</t>
  </si>
  <si>
    <t>TXN-00387</t>
  </si>
  <si>
    <t>TXN-00388</t>
  </si>
  <si>
    <t>TXN-00389</t>
  </si>
  <si>
    <t>TXN-00390</t>
  </si>
  <si>
    <t>TXN-00391</t>
  </si>
  <si>
    <t>TXN-00392</t>
  </si>
  <si>
    <t>TXN-00393</t>
  </si>
  <si>
    <t>TXN-00394</t>
  </si>
  <si>
    <t>TXN-00395</t>
  </si>
  <si>
    <t>TXN-00396</t>
  </si>
  <si>
    <t>TXN-00397</t>
  </si>
  <si>
    <t>TXN-00398</t>
  </si>
  <si>
    <t>TXN-00399</t>
  </si>
  <si>
    <t>TXN-00400</t>
  </si>
  <si>
    <t>TXN-00401</t>
  </si>
  <si>
    <t>TXN-00402</t>
  </si>
  <si>
    <t>TXN-00403</t>
  </si>
  <si>
    <t>TXN-00404</t>
  </si>
  <si>
    <t>TXN-00405</t>
  </si>
  <si>
    <t>TXN-00406</t>
  </si>
  <si>
    <t>TXN-00407</t>
  </si>
  <si>
    <t>TXN-00408</t>
  </si>
  <si>
    <t>TXN-00409</t>
  </si>
  <si>
    <t>TXN-00410</t>
  </si>
  <si>
    <t>TXN-00411</t>
  </si>
  <si>
    <t>TXN-00412</t>
  </si>
  <si>
    <t>TXN-00413</t>
  </si>
  <si>
    <t>TXN-00414</t>
  </si>
  <si>
    <t>TXN-00415</t>
  </si>
  <si>
    <t>TXN-00416</t>
  </si>
  <si>
    <t>TXN-00417</t>
  </si>
  <si>
    <t>TXN-00418</t>
  </si>
  <si>
    <t>TXN-00419</t>
  </si>
  <si>
    <t>TXN-00420</t>
  </si>
  <si>
    <t>TXN-00421</t>
  </si>
  <si>
    <t>TXN-00422</t>
  </si>
  <si>
    <t>TXN-00423</t>
  </si>
  <si>
    <t>TXN-00424</t>
  </si>
  <si>
    <t>TXN-00425</t>
  </si>
  <si>
    <t>TXN-00426</t>
  </si>
  <si>
    <t>TXN-00427</t>
  </si>
  <si>
    <t>TXN-00428</t>
  </si>
  <si>
    <t>TXN-00429</t>
  </si>
  <si>
    <t>TXN-00430</t>
  </si>
  <si>
    <t>TXN-00431</t>
  </si>
  <si>
    <t>TXN-00432</t>
  </si>
  <si>
    <t>TXN-00433</t>
  </si>
  <si>
    <t>TXN-00434</t>
  </si>
  <si>
    <t>TXN-00435</t>
  </si>
  <si>
    <t>TXN-00436</t>
  </si>
  <si>
    <t>TXN-00437</t>
  </si>
  <si>
    <t>TXN-00438</t>
  </si>
  <si>
    <t>TXN-00439</t>
  </si>
  <si>
    <t>TXN-00440</t>
  </si>
  <si>
    <t>TXN-00441</t>
  </si>
  <si>
    <t>TXN-00442</t>
  </si>
  <si>
    <t>TXN-00443</t>
  </si>
  <si>
    <t>TXN-00444</t>
  </si>
  <si>
    <t>TXN-00445</t>
  </si>
  <si>
    <t>TXN-00446</t>
  </si>
  <si>
    <t>TXN-00447</t>
  </si>
  <si>
    <t>TXN-00448</t>
  </si>
  <si>
    <t>TXN-00449</t>
  </si>
  <si>
    <t>TXN-00450</t>
  </si>
  <si>
    <t>TXN-00451</t>
  </si>
  <si>
    <t>TXN-00452</t>
  </si>
  <si>
    <t>TXN-00453</t>
  </si>
  <si>
    <t>TXN-00454</t>
  </si>
  <si>
    <t>TXN-00455</t>
  </si>
  <si>
    <t>TXN-00456</t>
  </si>
  <si>
    <t>TXN-00457</t>
  </si>
  <si>
    <t>TXN-00458</t>
  </si>
  <si>
    <t>TXN-00459</t>
  </si>
  <si>
    <t>TXN-00460</t>
  </si>
  <si>
    <t>TXN-00461</t>
  </si>
  <si>
    <t>TXN-00462</t>
  </si>
  <si>
    <t>TXN-00463</t>
  </si>
  <si>
    <t>TXN-00464</t>
  </si>
  <si>
    <t>TXN-00465</t>
  </si>
  <si>
    <t>TXN-00466</t>
  </si>
  <si>
    <t>TXN-00467</t>
  </si>
  <si>
    <t>TXN-00468</t>
  </si>
  <si>
    <t>TXN-00469</t>
  </si>
  <si>
    <t>TXN-00470</t>
  </si>
  <si>
    <t>TXN-00471</t>
  </si>
  <si>
    <t>TXN-00472</t>
  </si>
  <si>
    <t>TXN-00473</t>
  </si>
  <si>
    <t>TXN-00474</t>
  </si>
  <si>
    <t>TXN-00475</t>
  </si>
  <si>
    <t>TXN-00476</t>
  </si>
  <si>
    <t>TXN-00477</t>
  </si>
  <si>
    <t>TXN-00478</t>
  </si>
  <si>
    <t>TXN-00479</t>
  </si>
  <si>
    <t>TXN-00480</t>
  </si>
  <si>
    <t>TXN-00481</t>
  </si>
  <si>
    <t>TXN-00482</t>
  </si>
  <si>
    <t>TXN-00483</t>
  </si>
  <si>
    <t>TXN-00484</t>
  </si>
  <si>
    <t>TXN-00485</t>
  </si>
  <si>
    <t>TXN-00486</t>
  </si>
  <si>
    <t>TXN-00487</t>
  </si>
  <si>
    <t>TXN-00488</t>
  </si>
  <si>
    <t>TXN-00489</t>
  </si>
  <si>
    <t>TXN-00490</t>
  </si>
  <si>
    <t>TXN-00491</t>
  </si>
  <si>
    <t>TXN-00492</t>
  </si>
  <si>
    <t>TXN-00493</t>
  </si>
  <si>
    <t>TXN-00494</t>
  </si>
  <si>
    <t>TXN-00495</t>
  </si>
  <si>
    <t>TXN-00496</t>
  </si>
  <si>
    <t>TXN-00497</t>
  </si>
  <si>
    <t>TXN-00498</t>
  </si>
  <si>
    <t>TXN-00499</t>
  </si>
  <si>
    <t>TXN-00500</t>
  </si>
  <si>
    <t>TXN-00501</t>
  </si>
  <si>
    <t>TXN-00502</t>
  </si>
  <si>
    <t>TXN-00503</t>
  </si>
  <si>
    <t>TXN-00504</t>
  </si>
  <si>
    <t>TXN-00505</t>
  </si>
  <si>
    <t>TXN-00506</t>
  </si>
  <si>
    <t>TXN-00507</t>
  </si>
  <si>
    <t>TXN-00508</t>
  </si>
  <si>
    <t>TXN-00509</t>
  </si>
  <si>
    <t>TXN-00510</t>
  </si>
  <si>
    <t>TXN-00511</t>
  </si>
  <si>
    <t>TXN-00512</t>
  </si>
  <si>
    <t>TXN-00513</t>
  </si>
  <si>
    <t>TXN-00514</t>
  </si>
  <si>
    <t>TXN-00515</t>
  </si>
  <si>
    <t>TXN-00516</t>
  </si>
  <si>
    <t>TXN-00517</t>
  </si>
  <si>
    <t>TXN-00518</t>
  </si>
  <si>
    <t>TXN-00519</t>
  </si>
  <si>
    <t>TXN-00520</t>
  </si>
  <si>
    <t>TXN-00521</t>
  </si>
  <si>
    <t>TXN-00522</t>
  </si>
  <si>
    <t>TXN-00523</t>
  </si>
  <si>
    <t>TXN-00524</t>
  </si>
  <si>
    <t>TXN-00525</t>
  </si>
  <si>
    <t>TXN-00526</t>
  </si>
  <si>
    <t>TXN-00527</t>
  </si>
  <si>
    <t>TXN-00528</t>
  </si>
  <si>
    <t>TXN-00529</t>
  </si>
  <si>
    <t>TXN-00530</t>
  </si>
  <si>
    <t>TXN-00531</t>
  </si>
  <si>
    <t>TXN-00532</t>
  </si>
  <si>
    <t>TXN-00533</t>
  </si>
  <si>
    <t>TXN-00534</t>
  </si>
  <si>
    <t>TXN-00535</t>
  </si>
  <si>
    <t>TXN-00536</t>
  </si>
  <si>
    <t>TXN-00537</t>
  </si>
  <si>
    <t>TXN-00538</t>
  </si>
  <si>
    <t>TXN-00539</t>
  </si>
  <si>
    <t>TXN-00540</t>
  </si>
  <si>
    <t>TXN-00541</t>
  </si>
  <si>
    <t>TXN-00542</t>
  </si>
  <si>
    <t>TXN-00543</t>
  </si>
  <si>
    <t>TXN-00544</t>
  </si>
  <si>
    <t>TXN-00545</t>
  </si>
  <si>
    <t>TXN-00546</t>
  </si>
  <si>
    <t>TXN-00547</t>
  </si>
  <si>
    <t>TXN-00548</t>
  </si>
  <si>
    <t>TXN-00549</t>
  </si>
  <si>
    <t>TXN-00550</t>
  </si>
  <si>
    <t>TXN-00551</t>
  </si>
  <si>
    <t>TXN-00552</t>
  </si>
  <si>
    <t>TXN-00553</t>
  </si>
  <si>
    <t>TXN-00554</t>
  </si>
  <si>
    <t>TXN-00555</t>
  </si>
  <si>
    <t>TXN-00556</t>
  </si>
  <si>
    <t>TXN-00557</t>
  </si>
  <si>
    <t>TXN-00558</t>
  </si>
  <si>
    <t>TXN-00559</t>
  </si>
  <si>
    <t>TXN-00560</t>
  </si>
  <si>
    <t>TXN-00561</t>
  </si>
  <si>
    <t>TXN-00562</t>
  </si>
  <si>
    <t>TXN-00563</t>
  </si>
  <si>
    <t>TXN-00564</t>
  </si>
  <si>
    <t>TXN-00565</t>
  </si>
  <si>
    <t>TXN-00566</t>
  </si>
  <si>
    <t>TXN-00567</t>
  </si>
  <si>
    <t>TXN-00568</t>
  </si>
  <si>
    <t>TXN-00569</t>
  </si>
  <si>
    <t>TXN-00570</t>
  </si>
  <si>
    <t>TXN-00571</t>
  </si>
  <si>
    <t>TXN-00572</t>
  </si>
  <si>
    <t>TXN-00573</t>
  </si>
  <si>
    <t>TXN-00574</t>
  </si>
  <si>
    <t>TXN-00575</t>
  </si>
  <si>
    <t>TXN-00576</t>
  </si>
  <si>
    <t>TXN-00577</t>
  </si>
  <si>
    <t>TXN-00578</t>
  </si>
  <si>
    <t>TXN-00579</t>
  </si>
  <si>
    <t>TXN-00580</t>
  </si>
  <si>
    <t>TXN-00581</t>
  </si>
  <si>
    <t>TXN-00582</t>
  </si>
  <si>
    <t>TXN-00583</t>
  </si>
  <si>
    <t>TXN-00584</t>
  </si>
  <si>
    <t>TXN-00585</t>
  </si>
  <si>
    <t>TXN-00586</t>
  </si>
  <si>
    <t>TXN-00587</t>
  </si>
  <si>
    <t>TXN-00588</t>
  </si>
  <si>
    <t>TXN-00589</t>
  </si>
  <si>
    <t>TXN-00590</t>
  </si>
  <si>
    <t>TXN-00591</t>
  </si>
  <si>
    <t>TXN-00592</t>
  </si>
  <si>
    <t>TXN-00593</t>
  </si>
  <si>
    <t>TXN-00594</t>
  </si>
  <si>
    <t>TXN-00595</t>
  </si>
  <si>
    <t>TXN-00596</t>
  </si>
  <si>
    <t>TXN-00597</t>
  </si>
  <si>
    <t>TXN-00598</t>
  </si>
  <si>
    <t>TXN-00599</t>
  </si>
  <si>
    <t>TXN-00600</t>
  </si>
  <si>
    <t>TXN-00601</t>
  </si>
  <si>
    <t>TXN-00602</t>
  </si>
  <si>
    <t>TXN-00603</t>
  </si>
  <si>
    <t>TXN-00604</t>
  </si>
  <si>
    <t>TXN-00605</t>
  </si>
  <si>
    <t>TXN-00606</t>
  </si>
  <si>
    <t>TXN-00607</t>
  </si>
  <si>
    <t>TXN-00608</t>
  </si>
  <si>
    <t>TXN-00609</t>
  </si>
  <si>
    <t>TXN-00610</t>
  </si>
  <si>
    <t>TXN-00611</t>
  </si>
  <si>
    <t>TXN-00612</t>
  </si>
  <si>
    <t>TXN-00613</t>
  </si>
  <si>
    <t>TXN-00614</t>
  </si>
  <si>
    <t>TXN-00615</t>
  </si>
  <si>
    <t>TXN-00616</t>
  </si>
  <si>
    <t>TXN-00617</t>
  </si>
  <si>
    <t>TXN-00618</t>
  </si>
  <si>
    <t>TXN-00619</t>
  </si>
  <si>
    <t>TXN-00620</t>
  </si>
  <si>
    <t>TXN-00621</t>
  </si>
  <si>
    <t>TXN-00622</t>
  </si>
  <si>
    <t>TXN-00623</t>
  </si>
  <si>
    <t>TXN-00624</t>
  </si>
  <si>
    <t>TXN-00625</t>
  </si>
  <si>
    <t>TXN-00626</t>
  </si>
  <si>
    <t>TXN-00627</t>
  </si>
  <si>
    <t>TXN-00628</t>
  </si>
  <si>
    <t>TXN-00629</t>
  </si>
  <si>
    <t>TXN-00630</t>
  </si>
  <si>
    <t>TXN-00631</t>
  </si>
  <si>
    <t>TXN-00632</t>
  </si>
  <si>
    <t>TXN-00633</t>
  </si>
  <si>
    <t>TXN-00634</t>
  </si>
  <si>
    <t>TXN-00635</t>
  </si>
  <si>
    <t>TXN-00636</t>
  </si>
  <si>
    <t>TXN-00637</t>
  </si>
  <si>
    <t>TXN-00638</t>
  </si>
  <si>
    <t>TXN-00639</t>
  </si>
  <si>
    <t>TXN-00640</t>
  </si>
  <si>
    <t>TXN-00641</t>
  </si>
  <si>
    <t>TXN-00642</t>
  </si>
  <si>
    <t>TXN-00643</t>
  </si>
  <si>
    <t>TXN-00644</t>
  </si>
  <si>
    <t>TXN-00645</t>
  </si>
  <si>
    <t>TXN-00646</t>
  </si>
  <si>
    <t>TXN-00647</t>
  </si>
  <si>
    <t>TXN-00648</t>
  </si>
  <si>
    <t>TXN-00649</t>
  </si>
  <si>
    <t>TXN-00650</t>
  </si>
  <si>
    <t>TXN-00651</t>
  </si>
  <si>
    <t>TXN-00652</t>
  </si>
  <si>
    <t>TXN-00653</t>
  </si>
  <si>
    <t>TXN-00654</t>
  </si>
  <si>
    <t>TXN-00655</t>
  </si>
  <si>
    <t>TXN-00656</t>
  </si>
  <si>
    <t>TXN-00657</t>
  </si>
  <si>
    <t>TXN-00658</t>
  </si>
  <si>
    <t>TXN-00659</t>
  </si>
  <si>
    <t>TXN-00660</t>
  </si>
  <si>
    <t>TXN-00661</t>
  </si>
  <si>
    <t>TXN-00662</t>
  </si>
  <si>
    <t>TXN-00663</t>
  </si>
  <si>
    <t>TXN-00664</t>
  </si>
  <si>
    <t>TXN-00665</t>
  </si>
  <si>
    <t>TXN-00666</t>
  </si>
  <si>
    <t>TXN-00667</t>
  </si>
  <si>
    <t>TXN-00668</t>
  </si>
  <si>
    <t>TXN-00669</t>
  </si>
  <si>
    <t>TXN-00670</t>
  </si>
  <si>
    <t>TXN-00671</t>
  </si>
  <si>
    <t>TXN-00672</t>
  </si>
  <si>
    <t>TXN-00673</t>
  </si>
  <si>
    <t>TXN-00674</t>
  </si>
  <si>
    <t>TXN-00675</t>
  </si>
  <si>
    <t>TXN-00676</t>
  </si>
  <si>
    <t>TXN-00677</t>
  </si>
  <si>
    <t>TXN-00678</t>
  </si>
  <si>
    <t>TXN-00679</t>
  </si>
  <si>
    <t>TXN-00680</t>
  </si>
  <si>
    <t>TXN-00681</t>
  </si>
  <si>
    <t>TXN-00682</t>
  </si>
  <si>
    <t>TXN-00683</t>
  </si>
  <si>
    <t>TXN-00684</t>
  </si>
  <si>
    <t>TXN-00685</t>
  </si>
  <si>
    <t>TXN-00686</t>
  </si>
  <si>
    <t>TXN-00687</t>
  </si>
  <si>
    <t>TXN-00688</t>
  </si>
  <si>
    <t>TXN-00689</t>
  </si>
  <si>
    <t>TXN-00690</t>
  </si>
  <si>
    <t>TXN-00691</t>
  </si>
  <si>
    <t>TXN-00692</t>
  </si>
  <si>
    <t>TXN-00693</t>
  </si>
  <si>
    <t>TXN-00694</t>
  </si>
  <si>
    <t>TXN-00695</t>
  </si>
  <si>
    <t>TXN-00696</t>
  </si>
  <si>
    <t>TXN-00697</t>
  </si>
  <si>
    <t>TXN-00698</t>
  </si>
  <si>
    <t>TXN-00699</t>
  </si>
  <si>
    <t>TXN-00700</t>
  </si>
  <si>
    <t>TXN-00701</t>
  </si>
  <si>
    <t>TXN-00702</t>
  </si>
  <si>
    <t>TXN-00703</t>
  </si>
  <si>
    <t>TXN-00704</t>
  </si>
  <si>
    <t>TXN-00705</t>
  </si>
  <si>
    <t>TXN-00706</t>
  </si>
  <si>
    <t>TXN-00707</t>
  </si>
  <si>
    <t>TXN-00708</t>
  </si>
  <si>
    <t>TXN-00709</t>
  </si>
  <si>
    <t>TXN-00710</t>
  </si>
  <si>
    <t>TXN-00711</t>
  </si>
  <si>
    <t>TXN-00712</t>
  </si>
  <si>
    <t>TXN-00713</t>
  </si>
  <si>
    <t>TXN-00714</t>
  </si>
  <si>
    <t>TXN-00715</t>
  </si>
  <si>
    <t>TXN-00716</t>
  </si>
  <si>
    <t>TXN-00717</t>
  </si>
  <si>
    <t>TXN-00718</t>
  </si>
  <si>
    <t>TXN-00719</t>
  </si>
  <si>
    <t>TXN-00720</t>
  </si>
  <si>
    <t>TXN-00721</t>
  </si>
  <si>
    <t>TXN-00722</t>
  </si>
  <si>
    <t>TXN-00723</t>
  </si>
  <si>
    <t>TXN-00724</t>
  </si>
  <si>
    <t>TXN-00725</t>
  </si>
  <si>
    <t>TXN-00726</t>
  </si>
  <si>
    <t>TXN-00727</t>
  </si>
  <si>
    <t>TXN-00728</t>
  </si>
  <si>
    <t>TXN-00729</t>
  </si>
  <si>
    <t>TXN-00730</t>
  </si>
  <si>
    <t>TXN-00731</t>
  </si>
  <si>
    <t>TXN-00732</t>
  </si>
  <si>
    <t>TXN-00733</t>
  </si>
  <si>
    <t>TXN-00734</t>
  </si>
  <si>
    <t>TXN-00735</t>
  </si>
  <si>
    <t>TXN-00736</t>
  </si>
  <si>
    <t>TXN-00737</t>
  </si>
  <si>
    <t>TXN-00738</t>
  </si>
  <si>
    <t>TXN-00739</t>
  </si>
  <si>
    <t>TXN-00740</t>
  </si>
  <si>
    <t>TXN-00741</t>
  </si>
  <si>
    <t>TXN-00742</t>
  </si>
  <si>
    <t>TXN-00743</t>
  </si>
  <si>
    <t>TXN-00744</t>
  </si>
  <si>
    <t>TXN-00745</t>
  </si>
  <si>
    <t>TXN-00746</t>
  </si>
  <si>
    <t>TXN-00747</t>
  </si>
  <si>
    <t>TXN-00748</t>
  </si>
  <si>
    <t>TXN-00749</t>
  </si>
  <si>
    <t>TXN-00750</t>
  </si>
  <si>
    <t>TXN-00751</t>
  </si>
  <si>
    <t>TXN-00752</t>
  </si>
  <si>
    <t>TXN-00753</t>
  </si>
  <si>
    <t>TXN-00754</t>
  </si>
  <si>
    <t>TXN-00755</t>
  </si>
  <si>
    <t>TXN-00756</t>
  </si>
  <si>
    <t>TXN-00757</t>
  </si>
  <si>
    <t>TXN-00758</t>
  </si>
  <si>
    <t>TXN-00759</t>
  </si>
  <si>
    <t>TXN-00760</t>
  </si>
  <si>
    <t>TXN-00761</t>
  </si>
  <si>
    <t>TXN-00762</t>
  </si>
  <si>
    <t>TXN-00763</t>
  </si>
  <si>
    <t>TXN-00764</t>
  </si>
  <si>
    <t>TXN-00765</t>
  </si>
  <si>
    <t>TXN-00766</t>
  </si>
  <si>
    <t>TXN-00767</t>
  </si>
  <si>
    <t>TXN-00768</t>
  </si>
  <si>
    <t>TXN-00769</t>
  </si>
  <si>
    <t>TXN-00770</t>
  </si>
  <si>
    <t>TXN-00771</t>
  </si>
  <si>
    <t>TXN-00772</t>
  </si>
  <si>
    <t>TXN-00773</t>
  </si>
  <si>
    <t>TXN-00774</t>
  </si>
  <si>
    <t>TXN-00775</t>
  </si>
  <si>
    <t>TXN-00776</t>
  </si>
  <si>
    <t>TXN-00777</t>
  </si>
  <si>
    <t>TXN-00778</t>
  </si>
  <si>
    <t>TXN-00779</t>
  </si>
  <si>
    <t>TXN-00780</t>
  </si>
  <si>
    <t>TXN-00781</t>
  </si>
  <si>
    <t>TXN-00782</t>
  </si>
  <si>
    <t>TXN-00783</t>
  </si>
  <si>
    <t>TXN-00784</t>
  </si>
  <si>
    <t>TXN-00785</t>
  </si>
  <si>
    <t>TXN-00786</t>
  </si>
  <si>
    <t>TXN-00787</t>
  </si>
  <si>
    <t>TXN-00788</t>
  </si>
  <si>
    <t>TXN-00789</t>
  </si>
  <si>
    <t>TXN-00790</t>
  </si>
  <si>
    <t>TXN-00791</t>
  </si>
  <si>
    <t>TXN-00792</t>
  </si>
  <si>
    <t>TXN-00793</t>
  </si>
  <si>
    <t>TXN-00794</t>
  </si>
  <si>
    <t>TXN-00795</t>
  </si>
  <si>
    <t>TXN-00796</t>
  </si>
  <si>
    <t>TXN-00797</t>
  </si>
  <si>
    <t>TXN-00798</t>
  </si>
  <si>
    <t>TXN-00799</t>
  </si>
  <si>
    <t>TXN-00800</t>
  </si>
  <si>
    <t>TXN-00801</t>
  </si>
  <si>
    <t>TXN-00802</t>
  </si>
  <si>
    <t>TXN-00803</t>
  </si>
  <si>
    <t>TXN-00804</t>
  </si>
  <si>
    <t>TXN-00805</t>
  </si>
  <si>
    <t>TXN-00806</t>
  </si>
  <si>
    <t>TXN-00807</t>
  </si>
  <si>
    <t>TXN-00808</t>
  </si>
  <si>
    <t>TXN-00809</t>
  </si>
  <si>
    <t>TXN-00810</t>
  </si>
  <si>
    <t>TXN-00811</t>
  </si>
  <si>
    <t>TXN-00812</t>
  </si>
  <si>
    <t>TXN-00813</t>
  </si>
  <si>
    <t>TXN-00814</t>
  </si>
  <si>
    <t>TXN-00815</t>
  </si>
  <si>
    <t>TXN-00816</t>
  </si>
  <si>
    <t>TXN-00817</t>
  </si>
  <si>
    <t>TXN-00818</t>
  </si>
  <si>
    <t>TXN-00819</t>
  </si>
  <si>
    <t>TXN-00820</t>
  </si>
  <si>
    <t>TXN-00821</t>
  </si>
  <si>
    <t>TXN-00822</t>
  </si>
  <si>
    <t>TXN-00823</t>
  </si>
  <si>
    <t>TXN-00824</t>
  </si>
  <si>
    <t>TXN-00825</t>
  </si>
  <si>
    <t>TXN-00826</t>
  </si>
  <si>
    <t>TXN-00827</t>
  </si>
  <si>
    <t>TXN-00828</t>
  </si>
  <si>
    <t>TXN-00829</t>
  </si>
  <si>
    <t>TXN-00830</t>
  </si>
  <si>
    <t>TXN-00831</t>
  </si>
  <si>
    <t>TXN-00832</t>
  </si>
  <si>
    <t>TXN-00833</t>
  </si>
  <si>
    <t>TXN-00834</t>
  </si>
  <si>
    <t>TXN-00835</t>
  </si>
  <si>
    <t>TXN-00836</t>
  </si>
  <si>
    <t>TXN-00837</t>
  </si>
  <si>
    <t>TXN-00838</t>
  </si>
  <si>
    <t>TXN-00839</t>
  </si>
  <si>
    <t>TXN-00840</t>
  </si>
  <si>
    <t>TXN-00841</t>
  </si>
  <si>
    <t>TXN-00842</t>
  </si>
  <si>
    <t>TXN-00843</t>
  </si>
  <si>
    <t>TXN-00844</t>
  </si>
  <si>
    <t>TXN-00845</t>
  </si>
  <si>
    <t>TXN-00846</t>
  </si>
  <si>
    <t>TXN-00847</t>
  </si>
  <si>
    <t>TXN-00848</t>
  </si>
  <si>
    <t>TXN-00849</t>
  </si>
  <si>
    <t>TXN-00850</t>
  </si>
  <si>
    <t>TXN-00851</t>
  </si>
  <si>
    <t>TXN-00852</t>
  </si>
  <si>
    <t>TXN-00853</t>
  </si>
  <si>
    <t>TXN-00854</t>
  </si>
  <si>
    <t>TXN-00855</t>
  </si>
  <si>
    <t>TXN-00856</t>
  </si>
  <si>
    <t>TXN-00857</t>
  </si>
  <si>
    <t>TXN-00858</t>
  </si>
  <si>
    <t>TXN-00859</t>
  </si>
  <si>
    <t>TXN-00860</t>
  </si>
  <si>
    <t>TXN-00861</t>
  </si>
  <si>
    <t>TXN-00862</t>
  </si>
  <si>
    <t>TXN-00863</t>
  </si>
  <si>
    <t>TXN-00864</t>
  </si>
  <si>
    <t>TXN-00865</t>
  </si>
  <si>
    <t>TXN-00866</t>
  </si>
  <si>
    <t>TXN-00867</t>
  </si>
  <si>
    <t>TXN-00868</t>
  </si>
  <si>
    <t>TXN-00869</t>
  </si>
  <si>
    <t>TXN-00870</t>
  </si>
  <si>
    <t>TXN-00871</t>
  </si>
  <si>
    <t>TXN-00872</t>
  </si>
  <si>
    <t>TXN-00873</t>
  </si>
  <si>
    <t>TXN-00874</t>
  </si>
  <si>
    <t>TXN-00875</t>
  </si>
  <si>
    <t>TXN-00876</t>
  </si>
  <si>
    <t>TXN-00877</t>
  </si>
  <si>
    <t>TXN-00878</t>
  </si>
  <si>
    <t>TXN-00879</t>
  </si>
  <si>
    <t>TXN-00880</t>
  </si>
  <si>
    <t>TXN-00881</t>
  </si>
  <si>
    <t>TXN-00882</t>
  </si>
  <si>
    <t>TXN-00883</t>
  </si>
  <si>
    <t>TXN-00884</t>
  </si>
  <si>
    <t>TXN-00885</t>
  </si>
  <si>
    <t>TXN-00886</t>
  </si>
  <si>
    <t>TXN-00887</t>
  </si>
  <si>
    <t>TXN-00888</t>
  </si>
  <si>
    <t>TXN-00889</t>
  </si>
  <si>
    <t>TXN-00890</t>
  </si>
  <si>
    <t>TXN-00891</t>
  </si>
  <si>
    <t>TXN-00892</t>
  </si>
  <si>
    <t>TXN-00893</t>
  </si>
  <si>
    <t>TXN-00894</t>
  </si>
  <si>
    <t>TXN-00895</t>
  </si>
  <si>
    <t>TXN-00896</t>
  </si>
  <si>
    <t>TXN-00897</t>
  </si>
  <si>
    <t>TXN-00898</t>
  </si>
  <si>
    <t>TXN-00899</t>
  </si>
  <si>
    <t>TXN-00900</t>
  </si>
  <si>
    <t>TXN-00901</t>
  </si>
  <si>
    <t>TXN-00902</t>
  </si>
  <si>
    <t>TXN-00903</t>
  </si>
  <si>
    <t>TXN-00904</t>
  </si>
  <si>
    <t>TXN-00905</t>
  </si>
  <si>
    <t>TXN-00906</t>
  </si>
  <si>
    <t>TXN-00907</t>
  </si>
  <si>
    <t>TXN-00908</t>
  </si>
  <si>
    <t>TXN-00909</t>
  </si>
  <si>
    <t>TXN-00910</t>
  </si>
  <si>
    <t>TXN-00911</t>
  </si>
  <si>
    <t>TXN-00912</t>
  </si>
  <si>
    <t>TXN-00913</t>
  </si>
  <si>
    <t>TXN-00914</t>
  </si>
  <si>
    <t>TXN-00915</t>
  </si>
  <si>
    <t>TXN-00916</t>
  </si>
  <si>
    <t>TXN-00917</t>
  </si>
  <si>
    <t>TXN-00918</t>
  </si>
  <si>
    <t>TXN-00919</t>
  </si>
  <si>
    <t>TXN-00920</t>
  </si>
  <si>
    <t>TXN-00921</t>
  </si>
  <si>
    <t>TXN-00922</t>
  </si>
  <si>
    <t>TXN-00923</t>
  </si>
  <si>
    <t>TXN-00924</t>
  </si>
  <si>
    <t>TXN-00925</t>
  </si>
  <si>
    <t>TXN-00926</t>
  </si>
  <si>
    <t>TXN-00927</t>
  </si>
  <si>
    <t>TXN-00928</t>
  </si>
  <si>
    <t>TXN-00929</t>
  </si>
  <si>
    <t>TXN-00930</t>
  </si>
  <si>
    <t>TXN-00931</t>
  </si>
  <si>
    <t>TXN-00932</t>
  </si>
  <si>
    <t>TXN-00933</t>
  </si>
  <si>
    <t>TXN-00934</t>
  </si>
  <si>
    <t>TXN-00935</t>
  </si>
  <si>
    <t>TXN-00936</t>
  </si>
  <si>
    <t>TXN-00937</t>
  </si>
  <si>
    <t>TXN-00938</t>
  </si>
  <si>
    <t>TXN-00939</t>
  </si>
  <si>
    <t>TXN-00940</t>
  </si>
  <si>
    <t>TXN-00941</t>
  </si>
  <si>
    <t>TXN-00942</t>
  </si>
  <si>
    <t>TXN-00943</t>
  </si>
  <si>
    <t>TXN-00944</t>
  </si>
  <si>
    <t>TXN-00945</t>
  </si>
  <si>
    <t>TXN-00946</t>
  </si>
  <si>
    <t>TXN-00947</t>
  </si>
  <si>
    <t>TXN-00948</t>
  </si>
  <si>
    <t>TXN-00949</t>
  </si>
  <si>
    <t>TXN-00950</t>
  </si>
  <si>
    <t>TXN-00951</t>
  </si>
  <si>
    <t>TXN-00952</t>
  </si>
  <si>
    <t>TXN-00953</t>
  </si>
  <si>
    <t>TXN-00954</t>
  </si>
  <si>
    <t>TXN-00955</t>
  </si>
  <si>
    <t>TXN-00956</t>
  </si>
  <si>
    <t>TXN-00957</t>
  </si>
  <si>
    <t>TXN-00958</t>
  </si>
  <si>
    <t>TXN-00959</t>
  </si>
  <si>
    <t>TXN-00960</t>
  </si>
  <si>
    <t>TXN-00961</t>
  </si>
  <si>
    <t>TXN-00962</t>
  </si>
  <si>
    <t>TXN-00963</t>
  </si>
  <si>
    <t>TXN-00964</t>
  </si>
  <si>
    <t>TXN-00965</t>
  </si>
  <si>
    <t>TXN-00966</t>
  </si>
  <si>
    <t>TXN-00967</t>
  </si>
  <si>
    <t>TXN-00968</t>
  </si>
  <si>
    <t>TXN-00969</t>
  </si>
  <si>
    <t>TXN-00970</t>
  </si>
  <si>
    <t>TXN-00971</t>
  </si>
  <si>
    <t>TXN-00972</t>
  </si>
  <si>
    <t>TXN-00973</t>
  </si>
  <si>
    <t>TXN-00974</t>
  </si>
  <si>
    <t>TXN-00975</t>
  </si>
  <si>
    <t>TXN-00976</t>
  </si>
  <si>
    <t>TXN-00977</t>
  </si>
  <si>
    <t>TXN-00978</t>
  </si>
  <si>
    <t>TXN-00979</t>
  </si>
  <si>
    <t>TXN-00980</t>
  </si>
  <si>
    <t>TXN-00981</t>
  </si>
  <si>
    <t>TXN-00982</t>
  </si>
  <si>
    <t>TXN-00983</t>
  </si>
  <si>
    <t>TXN-00984</t>
  </si>
  <si>
    <t>TXN-00985</t>
  </si>
  <si>
    <t>TXN-00986</t>
  </si>
  <si>
    <t>TXN-00987</t>
  </si>
  <si>
    <t>TXN-00988</t>
  </si>
  <si>
    <t>TXN-00989</t>
  </si>
  <si>
    <t>TXN-00990</t>
  </si>
  <si>
    <t>TXN-00991</t>
  </si>
  <si>
    <t>TXN-00992</t>
  </si>
  <si>
    <t>TXN-00993</t>
  </si>
  <si>
    <t>TXN-00994</t>
  </si>
  <si>
    <t>TXN-00995</t>
  </si>
  <si>
    <t>TXN-00996</t>
  </si>
  <si>
    <t>TXN-00997</t>
  </si>
  <si>
    <t>TXN-00998</t>
  </si>
  <si>
    <t>TXN-00999</t>
  </si>
  <si>
    <t>TXN-01000</t>
  </si>
  <si>
    <t>TXN-01001</t>
  </si>
  <si>
    <t>TXN-01002</t>
  </si>
  <si>
    <t>TXN-01003</t>
  </si>
  <si>
    <t>TXN-01004</t>
  </si>
  <si>
    <t>TXN-01005</t>
  </si>
  <si>
    <t>TXN-01006</t>
  </si>
  <si>
    <t>TXN-01007</t>
  </si>
  <si>
    <t>TXN-01008</t>
  </si>
  <si>
    <t>TXN-01009</t>
  </si>
  <si>
    <t>TXN-01010</t>
  </si>
  <si>
    <t>TXN-01011</t>
  </si>
  <si>
    <t>TXN-01012</t>
  </si>
  <si>
    <t>TXN-01013</t>
  </si>
  <si>
    <t>TXN-01014</t>
  </si>
  <si>
    <t>TXN-01015</t>
  </si>
  <si>
    <t>TXN-01016</t>
  </si>
  <si>
    <t>TXN-01017</t>
  </si>
  <si>
    <t>TXN-01018</t>
  </si>
  <si>
    <t>TXN-01019</t>
  </si>
  <si>
    <t>TXN-01020</t>
  </si>
  <si>
    <t>TXN-01021</t>
  </si>
  <si>
    <t>TXN-01022</t>
  </si>
  <si>
    <t>TXN-01023</t>
  </si>
  <si>
    <t>TXN-01024</t>
  </si>
  <si>
    <t>TXN-01025</t>
  </si>
  <si>
    <t>TXN-01026</t>
  </si>
  <si>
    <t>TXN-01027</t>
  </si>
  <si>
    <t>TXN-01028</t>
  </si>
  <si>
    <t>TXN-01029</t>
  </si>
  <si>
    <t>TXN-01030</t>
  </si>
  <si>
    <t>TXN-01031</t>
  </si>
  <si>
    <t>TXN-01032</t>
  </si>
  <si>
    <t>TXN-01033</t>
  </si>
  <si>
    <t>TXN-01034</t>
  </si>
  <si>
    <t>TXN-01035</t>
  </si>
  <si>
    <t>TXN-01036</t>
  </si>
  <si>
    <t>TXN-01037</t>
  </si>
  <si>
    <t>TXN-01038</t>
  </si>
  <si>
    <t>TXN-01039</t>
  </si>
  <si>
    <t>TXN-01040</t>
  </si>
  <si>
    <t>TXN-01041</t>
  </si>
  <si>
    <t>TXN-01042</t>
  </si>
  <si>
    <t>TXN-01043</t>
  </si>
  <si>
    <t>TXN-01044</t>
  </si>
  <si>
    <t>TXN-01045</t>
  </si>
  <si>
    <t>TXN-01046</t>
  </si>
  <si>
    <t>TXN-01047</t>
  </si>
  <si>
    <t>TXN-01048</t>
  </si>
  <si>
    <t>TXN-01049</t>
  </si>
  <si>
    <t>TXN-01050</t>
  </si>
  <si>
    <t>TXN-01051</t>
  </si>
  <si>
    <t>TXN-01052</t>
  </si>
  <si>
    <t>TXN-01053</t>
  </si>
  <si>
    <t>TXN-01054</t>
  </si>
  <si>
    <t>TXN-01055</t>
  </si>
  <si>
    <t>TXN-01056</t>
  </si>
  <si>
    <t>TXN-01057</t>
  </si>
  <si>
    <t>TXN-01058</t>
  </si>
  <si>
    <t>TXN-01059</t>
  </si>
  <si>
    <t>TXN-01060</t>
  </si>
  <si>
    <t>TXN-01061</t>
  </si>
  <si>
    <t>TXN-01062</t>
  </si>
  <si>
    <t>Coffee Shop Performance</t>
  </si>
  <si>
    <t>FY 2024</t>
  </si>
  <si>
    <t>Total Revenue</t>
  </si>
  <si>
    <t>Total Profit</t>
  </si>
  <si>
    <t xml:space="preserve">Sale Achievment </t>
  </si>
  <si>
    <t>Profit Achievment</t>
  </si>
  <si>
    <t>Transaction</t>
  </si>
  <si>
    <t>Budget VS Actual variance</t>
  </si>
  <si>
    <t>Metric</t>
  </si>
  <si>
    <t xml:space="preserve">Budget </t>
  </si>
  <si>
    <t>Actuall</t>
  </si>
  <si>
    <t>Variance %</t>
  </si>
  <si>
    <t>Revenue</t>
  </si>
  <si>
    <t>Variance $</t>
  </si>
  <si>
    <t>Status</t>
  </si>
  <si>
    <t>Above</t>
  </si>
  <si>
    <t>On Target</t>
  </si>
  <si>
    <t>Column Labels</t>
  </si>
  <si>
    <t>Grand Total</t>
  </si>
  <si>
    <t>Sum of Sales</t>
  </si>
  <si>
    <t>TOP 5 Products</t>
  </si>
  <si>
    <t>TOP 5 STATES</t>
  </si>
  <si>
    <t>Quartrly Summary(2024)</t>
  </si>
  <si>
    <t>Quartrly Forcast (2025)</t>
  </si>
  <si>
    <t>Revenue Trends</t>
  </si>
  <si>
    <t>Revenue Exceeded target by 13.39%</t>
  </si>
  <si>
    <t>Quartrly Performance</t>
  </si>
  <si>
    <t>Revenue peaks on Q2</t>
  </si>
  <si>
    <t>Product Performance</t>
  </si>
  <si>
    <t>Colombian Coffee genereted the highest revenue</t>
  </si>
  <si>
    <t xml:space="preserve">Key Insights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</si>
</sst>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%"/>
    <numFmt numFmtId="167" formatCode="_(&quot;$&quot;* #,##0.0_);_(&quot;$&quot;* \(#,##0.0\);_(&quot;$&quot;* &quot;-&quot;??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0"/>
      <color theme="1"/>
      <name val="Arial"/>
      <family val="2"/>
    </font>
    <font>
      <sz val="14"/>
      <color theme="0"/>
      <name val="Arial"/>
      <family val="2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  <xf numFmtId="44" fontId="0" fillId="0" borderId="10" xfId="1" applyFont="1" applyBorder="1" applyAlignment="1">
      <alignment horizontal="center"/>
    </xf>
    <xf numFmtId="164" fontId="0" fillId="0" borderId="0" xfId="2" applyNumberFormat="1" applyFont="1" applyAlignment="1">
      <alignment horizontal="center"/>
    </xf>
    <xf numFmtId="10" fontId="0" fillId="0" borderId="0" xfId="2" applyNumberFormat="1" applyFont="1" applyAlignment="1">
      <alignment horizontal="center"/>
    </xf>
    <xf numFmtId="0" fontId="0" fillId="34" borderId="0" xfId="0" applyFont="1" applyFill="1" applyAlignment="1">
      <alignment horizontal="center"/>
    </xf>
    <xf numFmtId="44" fontId="0" fillId="0" borderId="0" xfId="1" applyFont="1" applyAlignment="1">
      <alignment horizontal="center"/>
    </xf>
    <xf numFmtId="0" fontId="0" fillId="34" borderId="0" xfId="0" applyFill="1" applyAlignment="1">
      <alignment horizontal="center"/>
    </xf>
    <xf numFmtId="0" fontId="17" fillId="35" borderId="0" xfId="0" applyFont="1" applyFill="1" applyAlignment="1">
      <alignment horizontal="center"/>
    </xf>
    <xf numFmtId="44" fontId="0" fillId="0" borderId="0" xfId="1" applyFont="1"/>
    <xf numFmtId="167" fontId="0" fillId="0" borderId="0" xfId="1" applyNumberFormat="1" applyFont="1"/>
    <xf numFmtId="10" fontId="0" fillId="0" borderId="0" xfId="2" applyNumberFormat="1" applyFont="1"/>
    <xf numFmtId="17" fontId="0" fillId="0" borderId="0" xfId="0" applyNumberFormat="1"/>
    <xf numFmtId="0" fontId="0" fillId="0" borderId="0" xfId="0" pivotButton="1"/>
    <xf numFmtId="0" fontId="0" fillId="34" borderId="0" xfId="0" applyFill="1"/>
    <xf numFmtId="17" fontId="0" fillId="34" borderId="0" xfId="0" applyNumberFormat="1" applyFill="1"/>
    <xf numFmtId="0" fontId="0" fillId="35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19" fillId="35" borderId="0" xfId="0" applyFont="1" applyFill="1" applyAlignment="1">
      <alignment horizontal="center"/>
    </xf>
    <xf numFmtId="0" fontId="20" fillId="0" borderId="0" xfId="0" applyFont="1"/>
    <xf numFmtId="8" fontId="20" fillId="0" borderId="0" xfId="0" applyNumberFormat="1" applyFont="1"/>
    <xf numFmtId="0" fontId="0" fillId="34" borderId="0" xfId="0" applyNumberFormat="1" applyFill="1"/>
    <xf numFmtId="0" fontId="21" fillId="33" borderId="0" xfId="0" applyFont="1" applyFill="1" applyAlignment="1">
      <alignment horizontal="center"/>
    </xf>
    <xf numFmtId="0" fontId="18" fillId="33" borderId="0" xfId="0" applyFont="1" applyFill="1" applyAlignment="1">
      <alignment horizontal="center"/>
    </xf>
    <xf numFmtId="0" fontId="22" fillId="0" borderId="0" xfId="0" applyFont="1" applyAlignment="1">
      <alignment horizontal="center"/>
    </xf>
    <xf numFmtId="0" fontId="0" fillId="0" borderId="0" xfId="0" applyAlignment="1"/>
    <xf numFmtId="0" fontId="23" fillId="35" borderId="0" xfId="0" applyFont="1" applyFill="1" applyAlignment="1">
      <alignment horizontal="center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36"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i val="0"/>
      </font>
    </dxf>
    <dxf>
      <font>
        <i val="0"/>
      </font>
    </dxf>
    <dxf>
      <font>
        <i val="0"/>
      </font>
    </dxf>
    <dxf>
      <font>
        <b val="0"/>
      </font>
    </dxf>
    <dxf>
      <font>
        <b val="0"/>
      </font>
    </dxf>
    <dxf>
      <font>
        <b val="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b val="0"/>
      </font>
    </dxf>
    <dxf>
      <font>
        <b val="0"/>
      </font>
    </dxf>
    <dxf>
      <font>
        <b val="0"/>
      </font>
    </dxf>
    <dxf>
      <font>
        <i val="0"/>
      </font>
    </dxf>
    <dxf>
      <font>
        <i val="0"/>
      </font>
    </dxf>
    <dxf>
      <font>
        <i val="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Budget</a:t>
            </a:r>
            <a:r>
              <a:rPr lang="en-US" baseline="0"/>
              <a:t> VS Actual Variance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'coffe shop project(excel)'!$B$14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'coffe shop project(excel)'!$C$13:$E$13</c:f>
              <c:strCache>
                <c:ptCount val="3"/>
                <c:pt idx="0">
                  <c:v>Budget </c:v>
                </c:pt>
                <c:pt idx="1">
                  <c:v>Actuall</c:v>
                </c:pt>
                <c:pt idx="2">
                  <c:v>Variance $</c:v>
                </c:pt>
              </c:strCache>
            </c:strRef>
          </c:cat>
          <c:val>
            <c:numRef>
              <c:f>'coffe shop project(excel)'!$C$14:$E$14</c:f>
              <c:numCache>
                <c:formatCode>_("$"* #,##0.0_);_("$"* \(#,##0.0\);_("$"* "-"??_);_(@_)</c:formatCode>
                <c:ptCount val="3"/>
                <c:pt idx="0">
                  <c:v>178940</c:v>
                </c:pt>
                <c:pt idx="1">
                  <c:v>202895</c:v>
                </c:pt>
                <c:pt idx="2" formatCode="_(&quot;$&quot;* #,##0.00_);_(&quot;$&quot;* \(#,##0.00\);_(&quot;$&quot;* &quot;-&quot;??_);_(@_)">
                  <c:v>23955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51-471F-A727-910FBCAF2CEF}"/>
            </c:ext>
          </c:extLst>
        </c:ser>
        <c:ser>
          <c:idx val="1"/>
          <c:order val="1"/>
          <c:tx>
            <c:strRef>
              <c:f>'coffe shop project(excel)'!$B$15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'coffe shop project(excel)'!$C$13:$E$13</c:f>
              <c:strCache>
                <c:ptCount val="3"/>
                <c:pt idx="0">
                  <c:v>Budget </c:v>
                </c:pt>
                <c:pt idx="1">
                  <c:v>Actuall</c:v>
                </c:pt>
                <c:pt idx="2">
                  <c:v>Variance $</c:v>
                </c:pt>
              </c:strCache>
            </c:strRef>
          </c:cat>
          <c:val>
            <c:numRef>
              <c:f>'coffe shop project(excel)'!$C$15:$E$15</c:f>
              <c:numCache>
                <c:formatCode>_("$"* #,##0.0_);_("$"* \(#,##0.0\);_("$"* "-"??_);_(@_)</c:formatCode>
                <c:ptCount val="3"/>
                <c:pt idx="0">
                  <c:v>63900</c:v>
                </c:pt>
                <c:pt idx="1">
                  <c:v>64311</c:v>
                </c:pt>
                <c:pt idx="2" formatCode="General">
                  <c:v>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51-471F-A727-910FBCAF2CEF}"/>
            </c:ext>
          </c:extLst>
        </c:ser>
        <c:ser>
          <c:idx val="2"/>
          <c:order val="2"/>
          <c:tx>
            <c:strRef>
              <c:f>'coffe shop project(excel)'!$B$16</c:f>
              <c:strCache>
                <c:ptCount val="1"/>
                <c:pt idx="0">
                  <c:v>Cogs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'coffe shop project(excel)'!$C$13:$E$13</c:f>
              <c:strCache>
                <c:ptCount val="3"/>
                <c:pt idx="0">
                  <c:v>Budget </c:v>
                </c:pt>
                <c:pt idx="1">
                  <c:v>Actuall</c:v>
                </c:pt>
                <c:pt idx="2">
                  <c:v>Variance $</c:v>
                </c:pt>
              </c:strCache>
            </c:strRef>
          </c:cat>
          <c:val>
            <c:numRef>
              <c:f>'coffe shop project(excel)'!$C$16:$E$16</c:f>
              <c:numCache>
                <c:formatCode>General</c:formatCode>
                <c:ptCount val="3"/>
                <c:pt idx="0">
                  <c:v>76120</c:v>
                </c:pt>
                <c:pt idx="1">
                  <c:v>87508</c:v>
                </c:pt>
                <c:pt idx="2">
                  <c:v>11388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51-471F-A727-910FBCAF2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1884936"/>
        <c:axId val="631880616"/>
      </c:barChart>
      <c:catAx>
        <c:axId val="631884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880616"/>
        <c:crosses val="autoZero"/>
        <c:auto val="1"/>
        <c:lblAlgn val="ctr"/>
        <c:lblOffset val="100"/>
        <c:noMultiLvlLbl val="0"/>
      </c:catAx>
      <c:valAx>
        <c:axId val="631880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_);_(&quot;$&quot;* \(#,##0.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884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642937</xdr:colOff>
      <xdr:row>0</xdr:row>
      <xdr:rowOff>0</xdr:rowOff>
    </xdr:from>
    <xdr:to>
      <xdr:col>20</xdr:col>
      <xdr:colOff>190500</xdr:colOff>
      <xdr:row>13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192552D-1759-7385-240D-38471E538B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hhad halzaa" refreshedDate="46050.485097685189" createdVersion="8" refreshedVersion="8" minRefreshableVersion="3" recordCount="1062" xr:uid="{14458973-20EF-4100-BB49-8225C70C3430}">
  <cacheSource type="worksheet">
    <worksheetSource ref="A1:U1063" sheet="coffee shop project"/>
  </cacheSource>
  <cacheFields count="21">
    <cacheField name="Transaction_ID" numFmtId="0">
      <sharedItems/>
    </cacheField>
    <cacheField name="Transaction_Date" numFmtId="14">
      <sharedItems containsSemiMixedTypes="0" containsNonDate="0" containsDate="1" containsString="0" minDate="2024-01-01T00:00:00" maxDate="2024-12-29T00:00:00"/>
    </cacheField>
    <cacheField name="Area Code" numFmtId="0">
      <sharedItems containsSemiMixedTypes="0" containsString="0" containsNumber="1" containsInteger="1" minValue="203" maxValue="985"/>
    </cacheField>
    <cacheField name="State" numFmtId="0">
      <sharedItems/>
    </cacheField>
    <cacheField name="Market" numFmtId="0">
      <sharedItems/>
    </cacheField>
    <cacheField name="Market Size" numFmtId="0">
      <sharedItems/>
    </cacheField>
    <cacheField name="Product Line" numFmtId="0">
      <sharedItems/>
    </cacheField>
    <cacheField name="Product Type" numFmtId="0">
      <sharedItems count="4">
        <s v="Tea"/>
        <s v="Coffee"/>
        <s v="Herbal Tea"/>
        <s v="Espresso"/>
      </sharedItems>
    </cacheField>
    <cacheField name="Product" numFmtId="0">
      <sharedItems count="13">
        <s v="Darjeeling"/>
        <s v="Amaretto"/>
        <s v="Chamomile"/>
        <s v="Earl Grey"/>
        <s v="Lemon"/>
        <s v="Colombian"/>
        <s v="Decaf Espresso"/>
        <s v="Green Tea"/>
        <s v="Mint"/>
        <s v="Caffe Mocha"/>
        <s v="Caffe Latte"/>
        <s v="Decaf Irish Cream"/>
        <s v="Regular Espresso"/>
      </sharedItems>
    </cacheField>
    <cacheField name="Type" numFmtId="0">
      <sharedItems/>
    </cacheField>
    <cacheField name="Inventory" numFmtId="0">
      <sharedItems containsSemiMixedTypes="0" containsString="0" containsNumber="1" containsInteger="1" minValue="-3534" maxValue="8252"/>
    </cacheField>
    <cacheField name="Marketing" numFmtId="0">
      <sharedItems containsSemiMixedTypes="0" containsString="0" containsNumber="1" containsInteger="1" minValue="0" maxValue="122"/>
    </cacheField>
    <cacheField name="Sales" numFmtId="8">
      <sharedItems containsSemiMixedTypes="0" containsString="0" containsNumber="1" containsInteger="1" minValue="21" maxValue="815" count="243">
        <n v="128"/>
        <n v="302"/>
        <n v="133"/>
        <n v="72"/>
        <n v="140"/>
        <n v="188"/>
        <n v="51"/>
        <n v="74"/>
        <n v="228"/>
        <n v="201"/>
        <n v="290"/>
        <n v="298"/>
        <n v="308"/>
        <n v="114"/>
        <n v="147"/>
        <n v="48"/>
        <n v="121"/>
        <n v="53"/>
        <n v="103"/>
        <n v="141"/>
        <n v="208"/>
        <n v="80"/>
        <n v="112"/>
        <n v="168"/>
        <n v="73"/>
        <n v="554"/>
        <n v="60"/>
        <n v="55"/>
        <n v="78"/>
        <n v="126"/>
        <n v="131"/>
        <n v="559"/>
        <n v="66"/>
        <n v="700"/>
        <n v="322"/>
        <n v="230"/>
        <n v="312"/>
        <n v="124"/>
        <n v="318"/>
        <n v="135"/>
        <n v="120"/>
        <n v="205"/>
        <n v="185"/>
        <n v="89"/>
        <n v="116"/>
        <n v="246"/>
        <n v="391"/>
        <n v="155"/>
        <n v="232"/>
        <n v="23"/>
        <n v="132"/>
        <n v="423"/>
        <n v="745"/>
        <n v="157"/>
        <n v="101"/>
        <n v="576"/>
        <n v="320"/>
        <n v="123"/>
        <n v="184"/>
        <n v="160"/>
        <n v="107"/>
        <n v="306"/>
        <n v="189"/>
        <n v="343"/>
        <n v="94"/>
        <n v="387"/>
        <n v="151"/>
        <n v="164"/>
        <n v="182"/>
        <n v="167"/>
        <n v="41"/>
        <n v="98"/>
        <n v="501"/>
        <n v="99"/>
        <n v="82"/>
        <n v="95"/>
        <n v="139"/>
        <n v="118"/>
        <n v="236"/>
        <n v="282"/>
        <n v="163"/>
        <n v="261"/>
        <n v="196"/>
        <n v="367"/>
        <n v="363"/>
        <n v="534"/>
        <n v="64"/>
        <n v="138"/>
        <n v="198"/>
        <n v="91"/>
        <n v="195"/>
        <n v="637"/>
        <n v="224"/>
        <n v="129"/>
        <n v="520"/>
        <n v="102"/>
        <n v="52"/>
        <n v="109"/>
        <n v="346"/>
        <n v="179"/>
        <n v="289"/>
        <n v="43"/>
        <n v="309"/>
        <n v="567"/>
        <n v="42"/>
        <n v="81"/>
        <n v="341"/>
        <n v="454"/>
        <n v="197"/>
        <n v="326"/>
        <n v="106"/>
        <n v="67"/>
        <n v="650"/>
        <n v="313"/>
        <n v="144"/>
        <n v="439"/>
        <n v="83"/>
        <n v="127"/>
        <n v="58"/>
        <n v="215"/>
        <n v="478"/>
        <n v="39"/>
        <n v="251"/>
        <n v="44"/>
        <n v="119"/>
        <n v="77"/>
        <n v="796"/>
        <n v="171"/>
        <n v="266"/>
        <n v="45"/>
        <n v="153"/>
        <n v="199"/>
        <n v="92"/>
        <n v="509"/>
        <n v="180"/>
        <n v="697"/>
        <n v="614"/>
        <n v="68"/>
        <n v="85"/>
        <n v="122"/>
        <n v="522"/>
        <n v="61"/>
        <n v="239"/>
        <n v="145"/>
        <n v="176"/>
        <n v="250"/>
        <n v="142"/>
        <n v="174"/>
        <n v="62"/>
        <n v="221"/>
        <n v="166"/>
        <n v="125"/>
        <n v="245"/>
        <n v="113"/>
        <n v="70"/>
        <n v="490"/>
        <n v="474"/>
        <n v="96"/>
        <n v="156"/>
        <n v="76"/>
        <n v="115"/>
        <n v="623"/>
        <n v="90"/>
        <n v="187"/>
        <n v="148"/>
        <n v="505"/>
        <n v="56"/>
        <n v="747"/>
        <n v="134"/>
        <n v="210"/>
        <n v="54"/>
        <n v="79"/>
        <n v="87"/>
        <n v="25"/>
        <n v="130"/>
        <n v="218"/>
        <n v="569"/>
        <n v="194"/>
        <n v="451"/>
        <n v="175"/>
        <n v="84"/>
        <n v="545"/>
        <n v="150"/>
        <n v="31"/>
        <n v="63"/>
        <n v="598"/>
        <n v="214"/>
        <n v="69"/>
        <n v="581"/>
        <n v="108"/>
        <n v="46"/>
        <n v="693"/>
        <n v="332"/>
        <n v="111"/>
        <n v="412"/>
        <n v="532"/>
        <n v="177"/>
        <n v="75"/>
        <n v="200"/>
        <n v="26"/>
        <n v="100"/>
        <n v="159"/>
        <n v="88"/>
        <n v="657"/>
        <n v="110"/>
        <n v="169"/>
        <n v="213"/>
        <n v="32"/>
        <n v="86"/>
        <n v="22"/>
        <n v="296"/>
        <n v="104"/>
        <n v="547"/>
        <n v="699"/>
        <n v="675"/>
        <n v="664"/>
        <n v="178"/>
        <n v="211"/>
        <n v="65"/>
        <n v="231"/>
        <n v="158"/>
        <n v="24"/>
        <n v="815"/>
        <n v="265"/>
        <n v="325"/>
        <n v="278"/>
        <n v="525"/>
        <n v="654"/>
        <n v="202"/>
        <n v="334"/>
        <n v="136"/>
        <n v="484"/>
        <n v="543"/>
        <n v="192"/>
        <n v="765"/>
        <n v="34"/>
        <n v="604"/>
        <n v="33"/>
        <n v="21"/>
        <n v="510"/>
        <n v="146"/>
        <n v="719"/>
        <n v="513"/>
      </sharedItems>
    </cacheField>
    <cacheField name="Cogs" numFmtId="8">
      <sharedItems containsSemiMixedTypes="0" containsString="0" containsNumber="1" containsInteger="1" minValue="0" maxValue="294"/>
    </cacheField>
    <cacheField name="Total Expenses" numFmtId="8">
      <sharedItems containsSemiMixedTypes="0" containsString="0" containsNumber="1" containsInteger="1" minValue="11" maxValue="156"/>
    </cacheField>
    <cacheField name="Profit" numFmtId="8">
      <sharedItems containsSemiMixedTypes="0" containsString="0" containsNumber="1" containsInteger="1" minValue="-605" maxValue="646"/>
    </cacheField>
    <cacheField name="Profit Margin" numFmtId="10">
      <sharedItems containsSemiMixedTypes="0" containsString="0" containsNumber="1" minValue="-24.5" maxValue="1.0663"/>
    </cacheField>
    <cacheField name="Target Sales" numFmtId="8">
      <sharedItems containsSemiMixedTypes="0" containsString="0" containsNumber="1" containsInteger="1" minValue="0" maxValue="960"/>
    </cacheField>
    <cacheField name="Target COGS" numFmtId="8">
      <sharedItems containsSemiMixedTypes="0" containsString="0" containsNumber="1" containsInteger="1" minValue="0" maxValue="380"/>
    </cacheField>
    <cacheField name="Target Profit" numFmtId="8">
      <sharedItems containsSemiMixedTypes="0" containsString="0" containsNumber="1" containsInteger="1" minValue="-320" maxValue="470"/>
    </cacheField>
    <cacheField name="Target Profit Margin" numFmtId="0">
      <sharedItems containsMixedTypes="1" containsNumber="1" minValue="-3.8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hhad halzaa" refreshedDate="46050.489984837965" createdVersion="8" refreshedVersion="8" minRefreshableVersion="3" recordCount="1062" xr:uid="{BC338806-80CF-4F8A-9361-022DDD24C152}">
  <cacheSource type="worksheet">
    <worksheetSource ref="B1:U1063" sheet="coffee shop project"/>
  </cacheSource>
  <cacheFields count="20">
    <cacheField name="Transaction_Date" numFmtId="14">
      <sharedItems containsSemiMixedTypes="0" containsNonDate="0" containsDate="1" containsString="0" minDate="2024-01-01T00:00:00" maxDate="2024-12-29T00:00:00"/>
    </cacheField>
    <cacheField name="Area Code" numFmtId="0">
      <sharedItems containsSemiMixedTypes="0" containsString="0" containsNumber="1" containsInteger="1" minValue="203" maxValue="985"/>
    </cacheField>
    <cacheField name="State" numFmtId="0">
      <sharedItems count="20">
        <s v="Wisconsin"/>
        <s v="Colorado"/>
        <s v="Illinois"/>
        <s v="New Mexico"/>
        <s v="Louisiana"/>
        <s v="Washington"/>
        <s v="Missouri"/>
        <s v="California"/>
        <s v="Nevada"/>
        <s v="Oregon"/>
        <s v="Texas"/>
        <s v="Massachusetts"/>
        <s v="Ohio"/>
        <s v="Utah"/>
        <s v="New York"/>
        <s v="New Hampshire"/>
        <s v="Florida"/>
        <s v="Iowa"/>
        <s v="Connecticut"/>
        <s v="Oklahoma"/>
      </sharedItems>
    </cacheField>
    <cacheField name="Market" numFmtId="0">
      <sharedItems/>
    </cacheField>
    <cacheField name="Market Size" numFmtId="0">
      <sharedItems/>
    </cacheField>
    <cacheField name="Product Line" numFmtId="0">
      <sharedItems/>
    </cacheField>
    <cacheField name="Product Type" numFmtId="0">
      <sharedItems/>
    </cacheField>
    <cacheField name="Product" numFmtId="0">
      <sharedItems/>
    </cacheField>
    <cacheField name="Type" numFmtId="0">
      <sharedItems/>
    </cacheField>
    <cacheField name="Inventory" numFmtId="0">
      <sharedItems containsSemiMixedTypes="0" containsString="0" containsNumber="1" containsInteger="1" minValue="-3534" maxValue="8252"/>
    </cacheField>
    <cacheField name="Marketing" numFmtId="0">
      <sharedItems containsSemiMixedTypes="0" containsString="0" containsNumber="1" containsInteger="1" minValue="0" maxValue="122"/>
    </cacheField>
    <cacheField name="Sales" numFmtId="8">
      <sharedItems containsSemiMixedTypes="0" containsString="0" containsNumber="1" containsInteger="1" minValue="21" maxValue="815" count="243">
        <n v="128"/>
        <n v="302"/>
        <n v="133"/>
        <n v="72"/>
        <n v="140"/>
        <n v="188"/>
        <n v="51"/>
        <n v="74"/>
        <n v="228"/>
        <n v="201"/>
        <n v="290"/>
        <n v="298"/>
        <n v="308"/>
        <n v="114"/>
        <n v="147"/>
        <n v="48"/>
        <n v="121"/>
        <n v="53"/>
        <n v="103"/>
        <n v="141"/>
        <n v="208"/>
        <n v="80"/>
        <n v="112"/>
        <n v="168"/>
        <n v="73"/>
        <n v="554"/>
        <n v="60"/>
        <n v="55"/>
        <n v="78"/>
        <n v="126"/>
        <n v="131"/>
        <n v="559"/>
        <n v="66"/>
        <n v="700"/>
        <n v="322"/>
        <n v="230"/>
        <n v="312"/>
        <n v="124"/>
        <n v="318"/>
        <n v="135"/>
        <n v="120"/>
        <n v="205"/>
        <n v="185"/>
        <n v="89"/>
        <n v="116"/>
        <n v="246"/>
        <n v="391"/>
        <n v="155"/>
        <n v="232"/>
        <n v="23"/>
        <n v="132"/>
        <n v="423"/>
        <n v="745"/>
        <n v="157"/>
        <n v="101"/>
        <n v="576"/>
        <n v="320"/>
        <n v="123"/>
        <n v="184"/>
        <n v="160"/>
        <n v="107"/>
        <n v="306"/>
        <n v="189"/>
        <n v="343"/>
        <n v="94"/>
        <n v="387"/>
        <n v="151"/>
        <n v="164"/>
        <n v="182"/>
        <n v="167"/>
        <n v="41"/>
        <n v="98"/>
        <n v="501"/>
        <n v="99"/>
        <n v="82"/>
        <n v="95"/>
        <n v="139"/>
        <n v="118"/>
        <n v="236"/>
        <n v="282"/>
        <n v="163"/>
        <n v="261"/>
        <n v="196"/>
        <n v="367"/>
        <n v="363"/>
        <n v="534"/>
        <n v="64"/>
        <n v="138"/>
        <n v="198"/>
        <n v="91"/>
        <n v="195"/>
        <n v="637"/>
        <n v="224"/>
        <n v="129"/>
        <n v="520"/>
        <n v="102"/>
        <n v="52"/>
        <n v="109"/>
        <n v="346"/>
        <n v="179"/>
        <n v="289"/>
        <n v="43"/>
        <n v="309"/>
        <n v="567"/>
        <n v="42"/>
        <n v="81"/>
        <n v="341"/>
        <n v="454"/>
        <n v="197"/>
        <n v="326"/>
        <n v="106"/>
        <n v="67"/>
        <n v="650"/>
        <n v="313"/>
        <n v="144"/>
        <n v="439"/>
        <n v="83"/>
        <n v="127"/>
        <n v="58"/>
        <n v="215"/>
        <n v="478"/>
        <n v="39"/>
        <n v="251"/>
        <n v="44"/>
        <n v="119"/>
        <n v="77"/>
        <n v="796"/>
        <n v="171"/>
        <n v="266"/>
        <n v="45"/>
        <n v="153"/>
        <n v="199"/>
        <n v="92"/>
        <n v="509"/>
        <n v="180"/>
        <n v="697"/>
        <n v="614"/>
        <n v="68"/>
        <n v="85"/>
        <n v="122"/>
        <n v="522"/>
        <n v="61"/>
        <n v="239"/>
        <n v="145"/>
        <n v="176"/>
        <n v="250"/>
        <n v="142"/>
        <n v="174"/>
        <n v="62"/>
        <n v="221"/>
        <n v="166"/>
        <n v="125"/>
        <n v="245"/>
        <n v="113"/>
        <n v="70"/>
        <n v="490"/>
        <n v="474"/>
        <n v="96"/>
        <n v="156"/>
        <n v="76"/>
        <n v="115"/>
        <n v="623"/>
        <n v="90"/>
        <n v="187"/>
        <n v="148"/>
        <n v="505"/>
        <n v="56"/>
        <n v="747"/>
        <n v="134"/>
        <n v="210"/>
        <n v="54"/>
        <n v="79"/>
        <n v="87"/>
        <n v="25"/>
        <n v="130"/>
        <n v="218"/>
        <n v="569"/>
        <n v="194"/>
        <n v="451"/>
        <n v="175"/>
        <n v="84"/>
        <n v="545"/>
        <n v="150"/>
        <n v="31"/>
        <n v="63"/>
        <n v="598"/>
        <n v="214"/>
        <n v="69"/>
        <n v="581"/>
        <n v="108"/>
        <n v="46"/>
        <n v="693"/>
        <n v="332"/>
        <n v="111"/>
        <n v="412"/>
        <n v="532"/>
        <n v="177"/>
        <n v="75"/>
        <n v="200"/>
        <n v="26"/>
        <n v="100"/>
        <n v="159"/>
        <n v="88"/>
        <n v="657"/>
        <n v="110"/>
        <n v="169"/>
        <n v="213"/>
        <n v="32"/>
        <n v="86"/>
        <n v="22"/>
        <n v="296"/>
        <n v="104"/>
        <n v="547"/>
        <n v="699"/>
        <n v="675"/>
        <n v="664"/>
        <n v="178"/>
        <n v="211"/>
        <n v="65"/>
        <n v="231"/>
        <n v="158"/>
        <n v="24"/>
        <n v="815"/>
        <n v="265"/>
        <n v="325"/>
        <n v="278"/>
        <n v="525"/>
        <n v="654"/>
        <n v="202"/>
        <n v="334"/>
        <n v="136"/>
        <n v="484"/>
        <n v="543"/>
        <n v="192"/>
        <n v="765"/>
        <n v="34"/>
        <n v="604"/>
        <n v="33"/>
        <n v="21"/>
        <n v="510"/>
        <n v="146"/>
        <n v="719"/>
        <n v="513"/>
      </sharedItems>
    </cacheField>
    <cacheField name="Cogs" numFmtId="8">
      <sharedItems containsSemiMixedTypes="0" containsString="0" containsNumber="1" containsInteger="1" minValue="0" maxValue="294"/>
    </cacheField>
    <cacheField name="Total Expenses" numFmtId="8">
      <sharedItems containsSemiMixedTypes="0" containsString="0" containsNumber="1" containsInteger="1" minValue="11" maxValue="156"/>
    </cacheField>
    <cacheField name="Profit" numFmtId="8">
      <sharedItems containsSemiMixedTypes="0" containsString="0" containsNumber="1" containsInteger="1" minValue="-605" maxValue="646"/>
    </cacheField>
    <cacheField name="Profit Margin" numFmtId="10">
      <sharedItems containsSemiMixedTypes="0" containsString="0" containsNumber="1" minValue="-24.5" maxValue="1.0663"/>
    </cacheField>
    <cacheField name="Target Sales" numFmtId="8">
      <sharedItems containsSemiMixedTypes="0" containsString="0" containsNumber="1" containsInteger="1" minValue="0" maxValue="960"/>
    </cacheField>
    <cacheField name="Target COGS" numFmtId="8">
      <sharedItems containsSemiMixedTypes="0" containsString="0" containsNumber="1" containsInteger="1" minValue="0" maxValue="380"/>
    </cacheField>
    <cacheField name="Target Profit" numFmtId="8">
      <sharedItems containsSemiMixedTypes="0" containsString="0" containsNumber="1" containsInteger="1" minValue="-320" maxValue="470"/>
    </cacheField>
    <cacheField name="Target Profit Margin" numFmtId="0">
      <sharedItems containsMixedTypes="1" containsNumber="1" minValue="-3.8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2">
  <r>
    <s v="TXN-00001"/>
    <d v="2024-01-01T00:00:00"/>
    <n v="715"/>
    <s v="Wisconsin"/>
    <s v="Central"/>
    <s v="Small Market"/>
    <s v="Leaves"/>
    <x v="0"/>
    <x v="0"/>
    <s v="Regular"/>
    <n v="454"/>
    <n v="15"/>
    <x v="0"/>
    <n v="49"/>
    <n v="38"/>
    <n v="49"/>
    <n v="0.38279999999999997"/>
    <n v="90"/>
    <n v="40"/>
    <n v="20"/>
    <n v="0.22220000000000001"/>
  </r>
  <r>
    <s v="TXN-00002"/>
    <d v="2024-01-01T00:00:00"/>
    <n v="719"/>
    <s v="Colorado"/>
    <s v="Central"/>
    <s v="Major Market"/>
    <s v="Beans"/>
    <x v="1"/>
    <x v="1"/>
    <s v="Regular"/>
    <n v="959"/>
    <n v="34"/>
    <x v="1"/>
    <n v="123"/>
    <n v="45"/>
    <n v="134"/>
    <n v="0.44369999999999998"/>
    <n v="290"/>
    <n v="120"/>
    <n v="130"/>
    <n v="0.44829999999999998"/>
  </r>
  <r>
    <s v="TXN-00003"/>
    <d v="2024-01-01T00:00:00"/>
    <n v="309"/>
    <s v="Illinois"/>
    <s v="Central"/>
    <s v="Major Market"/>
    <s v="Leaves"/>
    <x v="2"/>
    <x v="2"/>
    <s v="Decaf"/>
    <n v="959"/>
    <n v="34"/>
    <x v="1"/>
    <n v="123"/>
    <n v="46"/>
    <n v="133"/>
    <n v="0.44040000000000001"/>
    <n v="280"/>
    <n v="110"/>
    <n v="130"/>
    <n v="0.46429999999999999"/>
  </r>
  <r>
    <s v="TXN-00004"/>
    <d v="2024-01-02T00:00:00"/>
    <n v="719"/>
    <s v="Colorado"/>
    <s v="Central"/>
    <s v="Major Market"/>
    <s v="Leaves"/>
    <x v="0"/>
    <x v="3"/>
    <s v="Regular"/>
    <n v="1042"/>
    <n v="17"/>
    <x v="2"/>
    <n v="57"/>
    <n v="39"/>
    <n v="43"/>
    <n v="0.32329999999999998"/>
    <n v="100"/>
    <n v="40"/>
    <n v="30"/>
    <n v="0.3"/>
  </r>
  <r>
    <s v="TXN-00005"/>
    <d v="2024-01-02T00:00:00"/>
    <n v="505"/>
    <s v="New Mexico"/>
    <s v="South"/>
    <s v="Small Market"/>
    <s v="Leaves"/>
    <x v="2"/>
    <x v="4"/>
    <s v="Decaf"/>
    <n v="1000"/>
    <n v="9"/>
    <x v="3"/>
    <n v="31"/>
    <n v="31"/>
    <n v="9"/>
    <n v="0.125"/>
    <n v="50"/>
    <n v="10"/>
    <n v="30"/>
    <n v="0.6"/>
  </r>
  <r>
    <s v="TXN-00006"/>
    <d v="2024-01-03T00:00:00"/>
    <n v="262"/>
    <s v="Wisconsin"/>
    <s v="Central"/>
    <s v="Small Market"/>
    <s v="Leaves"/>
    <x v="0"/>
    <x v="3"/>
    <s v="Regular"/>
    <n v="627"/>
    <n v="49"/>
    <x v="4"/>
    <n v="55"/>
    <n v="79"/>
    <n v="-4"/>
    <n v="-2.86E-2"/>
    <n v="100"/>
    <n v="40"/>
    <n v="0"/>
    <n v="0"/>
  </r>
  <r>
    <s v="TXN-00007"/>
    <d v="2024-01-03T00:00:00"/>
    <n v="985"/>
    <s v="Louisiana"/>
    <s v="South"/>
    <s v="Small Market"/>
    <s v="Beans"/>
    <x v="1"/>
    <x v="5"/>
    <s v="Regular"/>
    <n v="845"/>
    <n v="13"/>
    <x v="0"/>
    <n v="49"/>
    <n v="25"/>
    <n v="68"/>
    <n v="0.53129999999999999"/>
    <n v="140"/>
    <n v="50"/>
    <n v="70"/>
    <n v="0.5"/>
  </r>
  <r>
    <s v="TXN-00008"/>
    <d v="2024-01-04T00:00:00"/>
    <n v="360"/>
    <s v="Washington"/>
    <s v="West"/>
    <s v="Small Market"/>
    <s v="Beans"/>
    <x v="3"/>
    <x v="6"/>
    <s v="Decaf"/>
    <n v="1079"/>
    <n v="24"/>
    <x v="5"/>
    <n v="80"/>
    <n v="45"/>
    <n v="76"/>
    <n v="0.40429999999999999"/>
    <n v="170"/>
    <n v="70"/>
    <n v="60"/>
    <n v="0.35289999999999999"/>
  </r>
  <r>
    <s v="TXN-00009"/>
    <d v="2024-01-05T00:00:00"/>
    <n v="715"/>
    <s v="Wisconsin"/>
    <s v="Central"/>
    <s v="Small Market"/>
    <s v="Beans"/>
    <x v="3"/>
    <x v="6"/>
    <s v="Decaf"/>
    <n v="573"/>
    <n v="7"/>
    <x v="6"/>
    <n v="22"/>
    <n v="19"/>
    <n v="10"/>
    <n v="0.1961"/>
    <n v="70"/>
    <n v="20"/>
    <n v="50"/>
    <n v="0.71430000000000005"/>
  </r>
  <r>
    <s v="TXN-00010"/>
    <d v="2024-01-05T00:00:00"/>
    <n v="314"/>
    <s v="Missouri"/>
    <s v="Central"/>
    <s v="Small Market"/>
    <s v="Leaves"/>
    <x v="0"/>
    <x v="7"/>
    <s v="Regular"/>
    <n v="243"/>
    <n v="12"/>
    <x v="7"/>
    <n v="33"/>
    <n v="45"/>
    <n v="-4"/>
    <n v="-5.4100000000000002E-2"/>
    <n v="60"/>
    <n v="20"/>
    <n v="0"/>
    <n v="0"/>
  </r>
  <r>
    <s v="TXN-00011"/>
    <d v="2024-01-05T00:00:00"/>
    <n v="985"/>
    <s v="Louisiana"/>
    <s v="South"/>
    <s v="Small Market"/>
    <s v="Leaves"/>
    <x v="2"/>
    <x v="2"/>
    <s v="Decaf"/>
    <n v="540"/>
    <n v="31"/>
    <x v="8"/>
    <n v="94"/>
    <n v="43"/>
    <n v="114"/>
    <n v="0.5"/>
    <n v="190"/>
    <n v="80"/>
    <n v="70"/>
    <n v="0.36840000000000001"/>
  </r>
  <r>
    <s v="TXN-00012"/>
    <d v="2024-01-07T00:00:00"/>
    <n v="209"/>
    <s v="California"/>
    <s v="West"/>
    <s v="Major Market"/>
    <s v="Leaves"/>
    <x v="0"/>
    <x v="7"/>
    <s v="Regular"/>
    <n v="659"/>
    <n v="24"/>
    <x v="9"/>
    <n v="75"/>
    <n v="55"/>
    <n v="88"/>
    <n v="0.43780000000000002"/>
    <n v="130"/>
    <n v="50"/>
    <n v="40"/>
    <n v="0.30769999999999997"/>
  </r>
  <r>
    <s v="TXN-00013"/>
    <d v="2024-01-07T00:00:00"/>
    <n v="970"/>
    <s v="Colorado"/>
    <s v="Central"/>
    <s v="Major Market"/>
    <s v="Beans"/>
    <x v="1"/>
    <x v="1"/>
    <s v="Regular"/>
    <n v="930"/>
    <n v="33"/>
    <x v="10"/>
    <n v="118"/>
    <n v="44"/>
    <n v="128"/>
    <n v="0.44140000000000001"/>
    <n v="280"/>
    <n v="110"/>
    <n v="130"/>
    <n v="0.46429999999999999"/>
  </r>
  <r>
    <s v="TXN-00014"/>
    <d v="2024-01-07T00:00:00"/>
    <n v="702"/>
    <s v="Nevada"/>
    <s v="West"/>
    <s v="Small Market"/>
    <s v="Leaves"/>
    <x v="2"/>
    <x v="8"/>
    <s v="Decaf"/>
    <n v="789"/>
    <n v="39"/>
    <x v="11"/>
    <n v="122"/>
    <n v="62"/>
    <n v="114"/>
    <n v="0.3826"/>
    <n v="240"/>
    <n v="90"/>
    <n v="130"/>
    <n v="0.54169999999999996"/>
  </r>
  <r>
    <s v="TXN-00015"/>
    <d v="2024-01-07T00:00:00"/>
    <n v="916"/>
    <s v="California"/>
    <s v="West"/>
    <s v="Major Market"/>
    <s v="Beans"/>
    <x v="3"/>
    <x v="9"/>
    <s v="Regular"/>
    <n v="912"/>
    <n v="109"/>
    <x v="12"/>
    <n v="121"/>
    <n v="142"/>
    <n v="39"/>
    <n v="0.12659999999999999"/>
    <n v="280"/>
    <n v="110"/>
    <n v="40"/>
    <n v="0.1429"/>
  </r>
  <r>
    <s v="TXN-00016"/>
    <d v="2024-01-08T00:00:00"/>
    <n v="920"/>
    <s v="Wisconsin"/>
    <s v="Central"/>
    <s v="Small Market"/>
    <s v="Leaves"/>
    <x v="2"/>
    <x v="2"/>
    <s v="Decaf"/>
    <n v="320"/>
    <n v="12"/>
    <x v="13"/>
    <n v="41"/>
    <n v="36"/>
    <n v="45"/>
    <n v="0.3947"/>
    <n v="90"/>
    <n v="30"/>
    <n v="30"/>
    <n v="0.33329999999999999"/>
  </r>
  <r>
    <s v="TXN-00017"/>
    <d v="2024-01-09T00:00:00"/>
    <n v="971"/>
    <s v="Oregon"/>
    <s v="West"/>
    <s v="Small Market"/>
    <s v="Beans"/>
    <x v="3"/>
    <x v="10"/>
    <s v="Regular"/>
    <n v="404"/>
    <n v="20"/>
    <x v="0"/>
    <n v="54"/>
    <n v="54"/>
    <n v="18"/>
    <n v="0.1406"/>
    <n v="100"/>
    <n v="40"/>
    <n v="40"/>
    <n v="0.4"/>
  </r>
  <r>
    <s v="TXN-00018"/>
    <d v="2024-01-09T00:00:00"/>
    <n v="541"/>
    <s v="Oregon"/>
    <s v="West"/>
    <s v="Small Market"/>
    <s v="Beans"/>
    <x v="3"/>
    <x v="9"/>
    <s v="Regular"/>
    <n v="411"/>
    <n v="19"/>
    <x v="14"/>
    <n v="59"/>
    <n v="46"/>
    <n v="49"/>
    <n v="0.33329999999999999"/>
    <n v="130"/>
    <n v="50"/>
    <n v="50"/>
    <n v="0.3846"/>
  </r>
  <r>
    <s v="TXN-00019"/>
    <d v="2024-01-09T00:00:00"/>
    <n v="816"/>
    <s v="Missouri"/>
    <s v="Central"/>
    <s v="Small Market"/>
    <s v="Leaves"/>
    <x v="0"/>
    <x v="3"/>
    <s v="Regular"/>
    <n v="218"/>
    <n v="7"/>
    <x v="15"/>
    <n v="20"/>
    <n v="41"/>
    <n v="-24"/>
    <n v="-0.5"/>
    <n v="30"/>
    <n v="10"/>
    <n v="-10"/>
    <n v="-0.33329999999999999"/>
  </r>
  <r>
    <s v="TXN-00020"/>
    <d v="2024-01-10T00:00:00"/>
    <n v="806"/>
    <s v="Texas"/>
    <s v="South"/>
    <s v="Major Market"/>
    <s v="Leaves"/>
    <x v="2"/>
    <x v="4"/>
    <s v="Decaf"/>
    <n v="424"/>
    <n v="14"/>
    <x v="16"/>
    <n v="46"/>
    <n v="37"/>
    <n v="46"/>
    <n v="0.38019999999999998"/>
    <n v="100"/>
    <n v="40"/>
    <n v="30"/>
    <n v="0.3"/>
  </r>
  <r>
    <s v="TXN-00021"/>
    <d v="2024-01-10T00:00:00"/>
    <n v="413"/>
    <s v="Massachusetts"/>
    <s v="East"/>
    <s v="Major Market"/>
    <s v="Leaves"/>
    <x v="0"/>
    <x v="7"/>
    <s v="Regular"/>
    <n v="480"/>
    <n v="5"/>
    <x v="17"/>
    <n v="21"/>
    <n v="17"/>
    <n v="15"/>
    <n v="0.28299999999999997"/>
    <n v="50"/>
    <n v="20"/>
    <n v="30"/>
    <n v="0.6"/>
  </r>
  <r>
    <s v="TXN-00022"/>
    <d v="2024-01-11T00:00:00"/>
    <n v="508"/>
    <s v="Massachusetts"/>
    <s v="East"/>
    <s v="Major Market"/>
    <s v="Leaves"/>
    <x v="2"/>
    <x v="4"/>
    <s v="Decaf"/>
    <n v="422"/>
    <n v="17"/>
    <x v="18"/>
    <n v="46"/>
    <n v="50"/>
    <n v="7"/>
    <n v="6.8000000000000005E-2"/>
    <n v="70"/>
    <n v="30"/>
    <n v="10"/>
    <n v="0.1429"/>
  </r>
  <r>
    <s v="TXN-00023"/>
    <d v="2024-01-11T00:00:00"/>
    <n v="573"/>
    <s v="Missouri"/>
    <s v="Central"/>
    <s v="Small Market"/>
    <s v="Beans"/>
    <x v="3"/>
    <x v="9"/>
    <s v="Regular"/>
    <n v="885"/>
    <n v="15"/>
    <x v="19"/>
    <n v="54"/>
    <n v="27"/>
    <n v="76"/>
    <n v="0.53900000000000003"/>
    <n v="160"/>
    <n v="60"/>
    <n v="80"/>
    <n v="0.5"/>
  </r>
  <r>
    <s v="TXN-00024"/>
    <d v="2024-01-11T00:00:00"/>
    <n v="414"/>
    <s v="Wisconsin"/>
    <s v="Central"/>
    <s v="Small Market"/>
    <s v="Beans"/>
    <x v="1"/>
    <x v="11"/>
    <s v="Decaf"/>
    <n v="575"/>
    <n v="27"/>
    <x v="20"/>
    <n v="83"/>
    <n v="55"/>
    <n v="85"/>
    <n v="0.40870000000000001"/>
    <n v="190"/>
    <n v="80"/>
    <n v="70"/>
    <n v="0.36840000000000001"/>
  </r>
  <r>
    <s v="TXN-00025"/>
    <d v="2024-01-12T00:00:00"/>
    <n v="937"/>
    <s v="Ohio"/>
    <s v="Central"/>
    <s v="Major Market"/>
    <s v="Leaves"/>
    <x v="2"/>
    <x v="2"/>
    <s v="Decaf"/>
    <n v="482"/>
    <n v="8"/>
    <x v="21"/>
    <n v="32"/>
    <n v="19"/>
    <n v="29"/>
    <n v="0.36249999999999999"/>
    <n v="70"/>
    <n v="30"/>
    <n v="30"/>
    <n v="0.42859999999999998"/>
  </r>
  <r>
    <s v="TXN-00026"/>
    <d v="2024-01-12T00:00:00"/>
    <n v="419"/>
    <s v="Ohio"/>
    <s v="Central"/>
    <s v="Major Market"/>
    <s v="Beans"/>
    <x v="1"/>
    <x v="11"/>
    <s v="Decaf"/>
    <n v="521"/>
    <n v="42"/>
    <x v="22"/>
    <n v="47"/>
    <n v="71"/>
    <n v="-6"/>
    <n v="-5.3600000000000002E-2"/>
    <n v="110"/>
    <n v="40"/>
    <n v="10"/>
    <n v="9.0899999999999995E-2"/>
  </r>
  <r>
    <s v="TXN-00027"/>
    <d v="2024-01-12T00:00:00"/>
    <n v="970"/>
    <s v="Colorado"/>
    <s v="Central"/>
    <s v="Major Market"/>
    <s v="Beans"/>
    <x v="3"/>
    <x v="6"/>
    <s v="Decaf"/>
    <n v="677"/>
    <n v="22"/>
    <x v="23"/>
    <n v="67"/>
    <n v="54"/>
    <n v="47"/>
    <n v="0.27979999999999999"/>
    <n v="210"/>
    <n v="80"/>
    <n v="80"/>
    <n v="0.38100000000000001"/>
  </r>
  <r>
    <s v="TXN-00028"/>
    <d v="2024-01-13T00:00:00"/>
    <n v="937"/>
    <s v="Ohio"/>
    <s v="Central"/>
    <s v="Major Market"/>
    <s v="Leaves"/>
    <x v="2"/>
    <x v="2"/>
    <s v="Decaf"/>
    <n v="490"/>
    <n v="8"/>
    <x v="24"/>
    <n v="29"/>
    <n v="19"/>
    <n v="25"/>
    <n v="0.34250000000000003"/>
    <n v="60"/>
    <n v="20"/>
    <n v="30"/>
    <n v="0.5"/>
  </r>
  <r>
    <s v="TXN-00029"/>
    <d v="2024-01-13T00:00:00"/>
    <n v="504"/>
    <s v="Louisiana"/>
    <s v="South"/>
    <s v="Small Market"/>
    <s v="Beans"/>
    <x v="3"/>
    <x v="10"/>
    <s v="Regular"/>
    <n v="-906"/>
    <n v="55"/>
    <x v="14"/>
    <n v="61"/>
    <n v="85"/>
    <n v="1"/>
    <n v="6.7999999999999996E-3"/>
    <n v="110"/>
    <n v="40"/>
    <n v="10"/>
    <n v="9.0899999999999995E-2"/>
  </r>
  <r>
    <s v="TXN-00030"/>
    <d v="2024-01-13T00:00:00"/>
    <n v="432"/>
    <s v="Texas"/>
    <s v="South"/>
    <s v="Major Market"/>
    <s v="Beans"/>
    <x v="1"/>
    <x v="5"/>
    <s v="Regular"/>
    <n v="1246"/>
    <n v="74"/>
    <x v="25"/>
    <n v="239"/>
    <n v="96"/>
    <n v="275"/>
    <n v="0.49640000000000001"/>
    <n v="770"/>
    <n v="350"/>
    <n v="340"/>
    <n v="0.44159999999999999"/>
  </r>
  <r>
    <s v="TXN-00031"/>
    <d v="2024-01-13T00:00:00"/>
    <n v="573"/>
    <s v="Missouri"/>
    <s v="Central"/>
    <s v="Small Market"/>
    <s v="Leaves"/>
    <x v="0"/>
    <x v="3"/>
    <s v="Regular"/>
    <n v="209"/>
    <n v="9"/>
    <x v="26"/>
    <n v="25"/>
    <n v="42"/>
    <n v="-16"/>
    <n v="-0.26669999999999999"/>
    <n v="30"/>
    <n v="10"/>
    <n v="0"/>
    <n v="0"/>
  </r>
  <r>
    <s v="TXN-00032"/>
    <d v="2024-01-13T00:00:00"/>
    <n v="775"/>
    <s v="Nevada"/>
    <s v="West"/>
    <s v="Small Market"/>
    <s v="Beans"/>
    <x v="3"/>
    <x v="9"/>
    <s v="Regular"/>
    <n v="846"/>
    <n v="5"/>
    <x v="27"/>
    <n v="21"/>
    <n v="17"/>
    <n v="21"/>
    <n v="0.38179999999999997"/>
    <n v="30"/>
    <n v="10"/>
    <n v="20"/>
    <n v="0.66669999999999996"/>
  </r>
  <r>
    <s v="TXN-00033"/>
    <d v="2024-01-14T00:00:00"/>
    <n v="262"/>
    <s v="Wisconsin"/>
    <s v="Central"/>
    <s v="Small Market"/>
    <s v="Leaves"/>
    <x v="2"/>
    <x v="4"/>
    <s v="Decaf"/>
    <n v="856"/>
    <n v="8"/>
    <x v="28"/>
    <n v="31"/>
    <n v="20"/>
    <n v="27"/>
    <n v="0.34620000000000001"/>
    <n v="70"/>
    <n v="20"/>
    <n v="40"/>
    <n v="0.57140000000000002"/>
  </r>
  <r>
    <s v="TXN-00034"/>
    <d v="2024-01-14T00:00:00"/>
    <n v="435"/>
    <s v="Utah"/>
    <s v="West"/>
    <s v="Small Market"/>
    <s v="Leaves"/>
    <x v="0"/>
    <x v="0"/>
    <s v="Regular"/>
    <n v="335"/>
    <n v="44"/>
    <x v="29"/>
    <n v="49"/>
    <n v="73"/>
    <n v="-6"/>
    <n v="-4.7600000000000003E-2"/>
    <n v="80"/>
    <n v="30"/>
    <n v="0"/>
    <n v="0"/>
  </r>
  <r>
    <s v="TXN-00035"/>
    <d v="2024-01-14T00:00:00"/>
    <n v="614"/>
    <s v="Ohio"/>
    <s v="Central"/>
    <s v="Major Market"/>
    <s v="Beans"/>
    <x v="1"/>
    <x v="1"/>
    <s v="Regular"/>
    <n v="405"/>
    <n v="17"/>
    <x v="30"/>
    <n v="52"/>
    <n v="45"/>
    <n v="39"/>
    <n v="0.29770000000000002"/>
    <n v="110"/>
    <n v="40"/>
    <n v="60"/>
    <n v="0.54549999999999998"/>
  </r>
  <r>
    <s v="TXN-00036"/>
    <d v="2024-01-14T00:00:00"/>
    <n v="409"/>
    <s v="Texas"/>
    <s v="South"/>
    <s v="Major Market"/>
    <s v="Beans"/>
    <x v="1"/>
    <x v="5"/>
    <s v="Regular"/>
    <n v="1321"/>
    <n v="74"/>
    <x v="31"/>
    <n v="241"/>
    <n v="96"/>
    <n v="279"/>
    <n v="0.49909999999999999"/>
    <n v="620"/>
    <n v="280"/>
    <n v="240"/>
    <n v="0.3871"/>
  </r>
  <r>
    <s v="TXN-00037"/>
    <d v="2024-01-15T00:00:00"/>
    <n v="212"/>
    <s v="New York"/>
    <s v="East"/>
    <s v="Major Market"/>
    <s v="Beans"/>
    <x v="3"/>
    <x v="9"/>
    <s v="Regular"/>
    <n v="3641"/>
    <n v="122"/>
    <x v="32"/>
    <n v="135"/>
    <n v="155"/>
    <n v="-224"/>
    <n v="-3.3938999999999999"/>
    <n v="60"/>
    <n v="130"/>
    <n v="-210"/>
    <n v="-3.5"/>
  </r>
  <r>
    <s v="TXN-00038"/>
    <d v="2024-01-15T00:00:00"/>
    <n v="518"/>
    <s v="New York"/>
    <s v="East"/>
    <s v="Major Market"/>
    <s v="Beans"/>
    <x v="3"/>
    <x v="12"/>
    <s v="Regular"/>
    <n v="723"/>
    <n v="70"/>
    <x v="33"/>
    <n v="250"/>
    <n v="95"/>
    <n v="463"/>
    <n v="0.66139999999999999"/>
    <n v="640"/>
    <n v="240"/>
    <n v="320"/>
    <n v="0.5"/>
  </r>
  <r>
    <s v="TXN-00039"/>
    <d v="2024-01-15T00:00:00"/>
    <n v="518"/>
    <s v="New York"/>
    <s v="East"/>
    <s v="Major Market"/>
    <s v="Leaves"/>
    <x v="0"/>
    <x v="3"/>
    <s v="Regular"/>
    <n v="959"/>
    <n v="34"/>
    <x v="34"/>
    <n v="123"/>
    <n v="46"/>
    <n v="197"/>
    <n v="0.61180000000000001"/>
    <n v="310"/>
    <n v="120"/>
    <n v="150"/>
    <n v="0.4839"/>
  </r>
  <r>
    <s v="TXN-00040"/>
    <d v="2024-01-15T00:00:00"/>
    <n v="715"/>
    <s v="Wisconsin"/>
    <s v="Central"/>
    <s v="Small Market"/>
    <s v="Beans"/>
    <x v="1"/>
    <x v="5"/>
    <s v="Regular"/>
    <n v="683"/>
    <n v="87"/>
    <x v="35"/>
    <n v="96"/>
    <n v="116"/>
    <n v="18"/>
    <n v="7.8299999999999995E-2"/>
    <n v="230"/>
    <n v="90"/>
    <n v="60"/>
    <n v="0.26090000000000002"/>
  </r>
  <r>
    <s v="TXN-00041"/>
    <d v="2024-01-15T00:00:00"/>
    <n v="775"/>
    <s v="Nevada"/>
    <s v="West"/>
    <s v="Small Market"/>
    <s v="Leaves"/>
    <x v="2"/>
    <x v="8"/>
    <s v="Decaf"/>
    <n v="830"/>
    <n v="40"/>
    <x v="36"/>
    <n v="127"/>
    <n v="63"/>
    <n v="122"/>
    <n v="0.39100000000000001"/>
    <n v="290"/>
    <n v="120"/>
    <n v="120"/>
    <n v="0.4138"/>
  </r>
  <r>
    <s v="TXN-00042"/>
    <d v="2024-01-16T00:00:00"/>
    <n v="541"/>
    <s v="Oregon"/>
    <s v="West"/>
    <s v="Small Market"/>
    <s v="Beans"/>
    <x v="3"/>
    <x v="10"/>
    <s v="Regular"/>
    <n v="410"/>
    <n v="20"/>
    <x v="37"/>
    <n v="55"/>
    <n v="53"/>
    <n v="16"/>
    <n v="0.129"/>
    <n v="120"/>
    <n v="50"/>
    <n v="30"/>
    <n v="0.25"/>
  </r>
  <r>
    <s v="TXN-00043"/>
    <d v="2024-01-16T00:00:00"/>
    <n v="503"/>
    <s v="Oregon"/>
    <s v="West"/>
    <s v="Small Market"/>
    <s v="Beans"/>
    <x v="1"/>
    <x v="11"/>
    <s v="Decaf"/>
    <n v="424"/>
    <n v="14"/>
    <x v="16"/>
    <n v="46"/>
    <n v="36"/>
    <n v="47"/>
    <n v="0.38840000000000002"/>
    <n v="130"/>
    <n v="50"/>
    <n v="50"/>
    <n v="0.3846"/>
  </r>
  <r>
    <s v="TXN-00044"/>
    <d v="2024-01-16T00:00:00"/>
    <n v="805"/>
    <s v="California"/>
    <s v="West"/>
    <s v="Major Market"/>
    <s v="Beans"/>
    <x v="3"/>
    <x v="9"/>
    <s v="Regular"/>
    <n v="898"/>
    <n v="113"/>
    <x v="38"/>
    <n v="125"/>
    <n v="146"/>
    <n v="40"/>
    <n v="0.1258"/>
    <n v="270"/>
    <n v="110"/>
    <n v="50"/>
    <n v="0.1852"/>
  </r>
  <r>
    <s v="TXN-00045"/>
    <d v="2024-01-17T00:00:00"/>
    <n v="603"/>
    <s v="New Hampshire"/>
    <s v="East"/>
    <s v="Small Market"/>
    <s v="Beans"/>
    <x v="1"/>
    <x v="1"/>
    <s v="Regular"/>
    <n v="327"/>
    <n v="16"/>
    <x v="39"/>
    <n v="52"/>
    <n v="38"/>
    <n v="55"/>
    <n v="0.40739999999999998"/>
    <n v="110"/>
    <n v="40"/>
    <n v="50"/>
    <n v="0.45450000000000002"/>
  </r>
  <r>
    <s v="TXN-00046"/>
    <d v="2024-01-17T00:00:00"/>
    <n v="318"/>
    <s v="Louisiana"/>
    <s v="South"/>
    <s v="Small Market"/>
    <s v="Beans"/>
    <x v="1"/>
    <x v="5"/>
    <s v="Regular"/>
    <n v="845"/>
    <n v="13"/>
    <x v="40"/>
    <n v="49"/>
    <n v="25"/>
    <n v="46"/>
    <n v="0.38329999999999997"/>
    <n v="140"/>
    <n v="50"/>
    <n v="70"/>
    <n v="0.5"/>
  </r>
  <r>
    <s v="TXN-00047"/>
    <d v="2024-01-17T00:00:00"/>
    <n v="720"/>
    <s v="Colorado"/>
    <s v="Central"/>
    <s v="Major Market"/>
    <s v="Leaves"/>
    <x v="0"/>
    <x v="7"/>
    <s v="Regular"/>
    <n v="572"/>
    <n v="29"/>
    <x v="41"/>
    <n v="90"/>
    <n v="41"/>
    <n v="74"/>
    <n v="0.36099999999999999"/>
    <n v="140"/>
    <n v="50"/>
    <n v="80"/>
    <n v="0.57140000000000002"/>
  </r>
  <r>
    <s v="TXN-00048"/>
    <d v="2024-01-17T00:00:00"/>
    <n v="262"/>
    <s v="Wisconsin"/>
    <s v="Central"/>
    <s v="Small Market"/>
    <s v="Beans"/>
    <x v="3"/>
    <x v="9"/>
    <s v="Regular"/>
    <n v="1055"/>
    <n v="24"/>
    <x v="42"/>
    <n v="80"/>
    <n v="46"/>
    <n v="71"/>
    <n v="0.38379999999999997"/>
    <n v="250"/>
    <n v="110"/>
    <n v="120"/>
    <n v="0.48"/>
  </r>
  <r>
    <s v="TXN-00049"/>
    <d v="2024-01-18T00:00:00"/>
    <n v="573"/>
    <s v="Missouri"/>
    <s v="Central"/>
    <s v="Small Market"/>
    <s v="Leaves"/>
    <x v="0"/>
    <x v="0"/>
    <s v="Regular"/>
    <n v="256"/>
    <n v="12"/>
    <x v="43"/>
    <n v="38"/>
    <n v="40"/>
    <n v="11"/>
    <n v="0.1236"/>
    <n v="70"/>
    <n v="30"/>
    <n v="10"/>
    <n v="0.1429"/>
  </r>
  <r>
    <s v="TXN-00050"/>
    <d v="2024-01-18T00:00:00"/>
    <n v="505"/>
    <s v="New Mexico"/>
    <s v="South"/>
    <s v="Small Market"/>
    <s v="Beans"/>
    <x v="1"/>
    <x v="5"/>
    <s v="Regular"/>
    <n v="452"/>
    <n v="14"/>
    <x v="44"/>
    <n v="43"/>
    <n v="46"/>
    <n v="30"/>
    <n v="0.2586"/>
    <n v="120"/>
    <n v="50"/>
    <n v="30"/>
    <n v="0.25"/>
  </r>
  <r>
    <s v="TXN-00051"/>
    <d v="2024-01-18T00:00:00"/>
    <n v="985"/>
    <s v="Louisiana"/>
    <s v="South"/>
    <s v="Small Market"/>
    <s v="Leaves"/>
    <x v="2"/>
    <x v="2"/>
    <s v="Decaf"/>
    <n v="552"/>
    <n v="33"/>
    <x v="45"/>
    <n v="101"/>
    <n v="45"/>
    <n v="126"/>
    <n v="0.51219999999999999"/>
    <n v="210"/>
    <n v="90"/>
    <n v="80"/>
    <n v="0.38100000000000001"/>
  </r>
  <r>
    <s v="TXN-00052"/>
    <d v="2024-01-18T00:00:00"/>
    <n v="239"/>
    <s v="Florida"/>
    <s v="East"/>
    <s v="Major Market"/>
    <s v="Beans"/>
    <x v="3"/>
    <x v="9"/>
    <s v="Regular"/>
    <n v="683"/>
    <n v="87"/>
    <x v="35"/>
    <n v="96"/>
    <n v="116"/>
    <n v="18"/>
    <n v="7.8299999999999995E-2"/>
    <n v="210"/>
    <n v="80"/>
    <n v="50"/>
    <n v="0.23810000000000001"/>
  </r>
  <r>
    <s v="TXN-00053"/>
    <d v="2024-01-18T00:00:00"/>
    <n v="815"/>
    <s v="Illinois"/>
    <s v="Central"/>
    <s v="Major Market"/>
    <s v="Beans"/>
    <x v="1"/>
    <x v="5"/>
    <s v="Regular"/>
    <n v="1132"/>
    <n v="50"/>
    <x v="46"/>
    <n v="154"/>
    <n v="93"/>
    <n v="178"/>
    <n v="0.45519999999999999"/>
    <n v="370"/>
    <n v="150"/>
    <n v="160"/>
    <n v="0.43240000000000001"/>
  </r>
  <r>
    <s v="TXN-00054"/>
    <d v="2024-01-19T00:00:00"/>
    <n v="305"/>
    <s v="Florida"/>
    <s v="East"/>
    <s v="Major Market"/>
    <s v="Leaves"/>
    <x v="2"/>
    <x v="4"/>
    <s v="Decaf"/>
    <n v="403"/>
    <n v="24"/>
    <x v="47"/>
    <n v="65"/>
    <n v="57"/>
    <n v="34"/>
    <n v="0.21940000000000001"/>
    <n v="100"/>
    <n v="40"/>
    <n v="20"/>
    <n v="0.2"/>
  </r>
  <r>
    <s v="TXN-00055"/>
    <d v="2024-01-19T00:00:00"/>
    <n v="775"/>
    <s v="Nevada"/>
    <s v="West"/>
    <s v="Small Market"/>
    <s v="Beans"/>
    <x v="1"/>
    <x v="11"/>
    <s v="Decaf"/>
    <n v="1009"/>
    <n v="9"/>
    <x v="7"/>
    <n v="31"/>
    <n v="30"/>
    <n v="12"/>
    <n v="0.16220000000000001"/>
    <n v="80"/>
    <n v="30"/>
    <n v="30"/>
    <n v="0.375"/>
  </r>
  <r>
    <s v="TXN-00056"/>
    <d v="2024-01-19T00:00:00"/>
    <n v="253"/>
    <s v="Washington"/>
    <s v="West"/>
    <s v="Small Market"/>
    <s v="Beans"/>
    <x v="3"/>
    <x v="9"/>
    <s v="Regular"/>
    <n v="385"/>
    <n v="21"/>
    <x v="29"/>
    <n v="56"/>
    <n v="54"/>
    <n v="16"/>
    <n v="0.127"/>
    <n v="110"/>
    <n v="40"/>
    <n v="50"/>
    <n v="0.45450000000000002"/>
  </r>
  <r>
    <s v="TXN-00057"/>
    <d v="2024-01-19T00:00:00"/>
    <n v="772"/>
    <s v="Florida"/>
    <s v="East"/>
    <s v="Major Market"/>
    <s v="Beans"/>
    <x v="1"/>
    <x v="11"/>
    <s v="Decaf"/>
    <n v="656"/>
    <n v="28"/>
    <x v="48"/>
    <n v="91"/>
    <n v="51"/>
    <n v="113"/>
    <n v="0.48709999999999998"/>
    <n v="180"/>
    <n v="70"/>
    <n v="90"/>
    <n v="0.5"/>
  </r>
  <r>
    <s v="TXN-00058"/>
    <d v="2024-01-19T00:00:00"/>
    <n v="641"/>
    <s v="Iowa"/>
    <s v="Central"/>
    <s v="Small Market"/>
    <s v="Beans"/>
    <x v="1"/>
    <x v="11"/>
    <s v="Decaf"/>
    <n v="598"/>
    <n v="3"/>
    <x v="49"/>
    <n v="10"/>
    <n v="15"/>
    <n v="-2"/>
    <n v="-8.6999999999999994E-2"/>
    <n v="10"/>
    <n v="0"/>
    <n v="10"/>
    <n v="1"/>
  </r>
  <r>
    <s v="TXN-00059"/>
    <d v="2024-01-20T00:00:00"/>
    <n v="719"/>
    <s v="Colorado"/>
    <s v="Central"/>
    <s v="Major Market"/>
    <s v="Leaves"/>
    <x v="0"/>
    <x v="0"/>
    <s v="Regular"/>
    <n v="410"/>
    <n v="20"/>
    <x v="50"/>
    <n v="55"/>
    <n v="54"/>
    <n v="22"/>
    <n v="0.16669999999999999"/>
    <n v="100"/>
    <n v="40"/>
    <n v="20"/>
    <n v="0.2"/>
  </r>
  <r>
    <s v="TXN-00060"/>
    <d v="2024-01-20T00:00:00"/>
    <n v="847"/>
    <s v="Illinois"/>
    <s v="Central"/>
    <s v="Major Market"/>
    <s v="Beans"/>
    <x v="3"/>
    <x v="6"/>
    <s v="Decaf"/>
    <n v="1778"/>
    <n v="59"/>
    <x v="51"/>
    <n v="211"/>
    <n v="83"/>
    <n v="129"/>
    <n v="0.30499999999999999"/>
    <n v="540"/>
    <n v="270"/>
    <n v="200"/>
    <n v="0.37040000000000001"/>
  </r>
  <r>
    <s v="TXN-00061"/>
    <d v="2024-01-20T00:00:00"/>
    <n v="530"/>
    <s v="California"/>
    <s v="West"/>
    <s v="Major Market"/>
    <s v="Beans"/>
    <x v="1"/>
    <x v="5"/>
    <s v="Regular"/>
    <n v="2642"/>
    <n v="97"/>
    <x v="52"/>
    <n v="279"/>
    <n v="149"/>
    <n v="402"/>
    <n v="0.53959999999999997"/>
    <n v="830"/>
    <n v="330"/>
    <n v="350"/>
    <n v="0.42170000000000002"/>
  </r>
  <r>
    <s v="TXN-00062"/>
    <d v="2024-01-21T00:00:00"/>
    <n v="614"/>
    <s v="Ohio"/>
    <s v="Central"/>
    <s v="Major Market"/>
    <s v="Leaves"/>
    <x v="2"/>
    <x v="2"/>
    <s v="Decaf"/>
    <n v="490"/>
    <n v="8"/>
    <x v="28"/>
    <n v="29"/>
    <n v="19"/>
    <n v="37"/>
    <n v="0.47439999999999999"/>
    <n v="60"/>
    <n v="20"/>
    <n v="30"/>
    <n v="0.5"/>
  </r>
  <r>
    <s v="TXN-00063"/>
    <d v="2024-01-21T00:00:00"/>
    <n v="715"/>
    <s v="Wisconsin"/>
    <s v="Central"/>
    <s v="Small Market"/>
    <s v="Leaves"/>
    <x v="0"/>
    <x v="3"/>
    <s v="Regular"/>
    <n v="613"/>
    <n v="55"/>
    <x v="53"/>
    <n v="61"/>
    <n v="84"/>
    <n v="3"/>
    <n v="1.9099999999999999E-2"/>
    <n v="120"/>
    <n v="50"/>
    <n v="0"/>
    <n v="0"/>
  </r>
  <r>
    <s v="TXN-00064"/>
    <d v="2024-01-21T00:00:00"/>
    <n v="503"/>
    <s v="Oregon"/>
    <s v="West"/>
    <s v="Small Market"/>
    <s v="Beans"/>
    <x v="1"/>
    <x v="11"/>
    <s v="Decaf"/>
    <n v="435"/>
    <n v="13"/>
    <x v="54"/>
    <n v="41"/>
    <n v="35"/>
    <n v="25"/>
    <n v="0.2475"/>
    <n v="120"/>
    <n v="40"/>
    <n v="50"/>
    <n v="0.41670000000000001"/>
  </r>
  <r>
    <s v="TXN-00065"/>
    <d v="2024-01-22T00:00:00"/>
    <n v="518"/>
    <s v="New York"/>
    <s v="East"/>
    <s v="Major Market"/>
    <s v="Leaves"/>
    <x v="0"/>
    <x v="7"/>
    <s v="Regular"/>
    <n v="601"/>
    <n v="15"/>
    <x v="2"/>
    <n v="54"/>
    <n v="27"/>
    <n v="52"/>
    <n v="0.39100000000000001"/>
    <n v="130"/>
    <n v="50"/>
    <n v="60"/>
    <n v="0.46150000000000002"/>
  </r>
  <r>
    <s v="TXN-00066"/>
    <d v="2024-01-22T00:00:00"/>
    <n v="631"/>
    <s v="New York"/>
    <s v="East"/>
    <s v="Major Market"/>
    <s v="Leaves"/>
    <x v="2"/>
    <x v="4"/>
    <s v="Decaf"/>
    <n v="1704"/>
    <n v="93"/>
    <x v="55"/>
    <n v="245"/>
    <n v="127"/>
    <n v="204"/>
    <n v="0.35420000000000001"/>
    <n v="420"/>
    <n v="180"/>
    <n v="140"/>
    <n v="0.33329999999999999"/>
  </r>
  <r>
    <s v="TXN-00067"/>
    <d v="2024-01-22T00:00:00"/>
    <n v="503"/>
    <s v="Oregon"/>
    <s v="West"/>
    <s v="Small Market"/>
    <s v="Leaves"/>
    <x v="0"/>
    <x v="7"/>
    <s v="Regular"/>
    <n v="690"/>
    <n v="41"/>
    <x v="56"/>
    <n v="134"/>
    <n v="65"/>
    <n v="121"/>
    <n v="0.37809999999999999"/>
    <n v="230"/>
    <n v="90"/>
    <n v="100"/>
    <n v="0.43480000000000002"/>
  </r>
  <r>
    <s v="TXN-00068"/>
    <d v="2024-01-23T00:00:00"/>
    <n v="860"/>
    <s v="Connecticut"/>
    <s v="East"/>
    <s v="Small Market"/>
    <s v="Leaves"/>
    <x v="0"/>
    <x v="0"/>
    <s v="Regular"/>
    <n v="898"/>
    <n v="14"/>
    <x v="57"/>
    <n v="50"/>
    <n v="26"/>
    <n v="47"/>
    <n v="0.3821"/>
    <n v="120"/>
    <n v="50"/>
    <n v="50"/>
    <n v="0.41670000000000001"/>
  </r>
  <r>
    <s v="TXN-00069"/>
    <d v="2024-01-23T00:00:00"/>
    <n v="801"/>
    <s v="Utah"/>
    <s v="West"/>
    <s v="Small Market"/>
    <s v="Beans"/>
    <x v="1"/>
    <x v="11"/>
    <s v="Decaf"/>
    <n v="601"/>
    <n v="31"/>
    <x v="58"/>
    <n v="82"/>
    <n v="64"/>
    <n v="38"/>
    <n v="0.20649999999999999"/>
    <n v="210"/>
    <n v="90"/>
    <n v="60"/>
    <n v="0.28570000000000001"/>
  </r>
  <r>
    <s v="TXN-00070"/>
    <d v="2024-01-24T00:00:00"/>
    <n v="573"/>
    <s v="Missouri"/>
    <s v="Central"/>
    <s v="Small Market"/>
    <s v="Leaves"/>
    <x v="2"/>
    <x v="4"/>
    <s v="Decaf"/>
    <n v="1898"/>
    <n v="28"/>
    <x v="59"/>
    <n v="92"/>
    <n v="52"/>
    <n v="16"/>
    <n v="0.1"/>
    <n v="140"/>
    <n v="80"/>
    <n v="20"/>
    <n v="0.1429"/>
  </r>
  <r>
    <s v="TXN-00071"/>
    <d v="2024-01-25T00:00:00"/>
    <n v="509"/>
    <s v="Washington"/>
    <s v="West"/>
    <s v="Small Market"/>
    <s v="Leaves"/>
    <x v="0"/>
    <x v="0"/>
    <s v="Regular"/>
    <n v="320"/>
    <n v="12"/>
    <x v="60"/>
    <n v="41"/>
    <n v="36"/>
    <n v="30"/>
    <n v="0.28039999999999998"/>
    <n v="70"/>
    <n v="30"/>
    <n v="20"/>
    <n v="0.28570000000000001"/>
  </r>
  <r>
    <s v="TXN-00072"/>
    <d v="2024-01-25T00:00:00"/>
    <n v="541"/>
    <s v="Oregon"/>
    <s v="West"/>
    <s v="Small Market"/>
    <s v="Beans"/>
    <x v="3"/>
    <x v="9"/>
    <s v="Regular"/>
    <n v="405"/>
    <n v="17"/>
    <x v="30"/>
    <n v="52"/>
    <n v="44"/>
    <n v="40"/>
    <n v="0.30530000000000002"/>
    <n v="100"/>
    <n v="30"/>
    <n v="60"/>
    <n v="0.6"/>
  </r>
  <r>
    <s v="TXN-00073"/>
    <d v="2024-01-25T00:00:00"/>
    <n v="203"/>
    <s v="Connecticut"/>
    <s v="East"/>
    <s v="Small Market"/>
    <s v="Beans"/>
    <x v="3"/>
    <x v="6"/>
    <s v="Decaf"/>
    <n v="380"/>
    <n v="17"/>
    <x v="50"/>
    <n v="53"/>
    <n v="45"/>
    <n v="39"/>
    <n v="0.29549999999999998"/>
    <n v="120"/>
    <n v="50"/>
    <n v="40"/>
    <n v="0.33329999999999999"/>
  </r>
  <r>
    <s v="TXN-00074"/>
    <d v="2024-01-25T00:00:00"/>
    <n v="351"/>
    <s v="Massachusetts"/>
    <s v="East"/>
    <s v="Major Market"/>
    <s v="Beans"/>
    <x v="3"/>
    <x v="12"/>
    <s v="Regular"/>
    <n v="1319"/>
    <n v="42"/>
    <x v="61"/>
    <n v="153"/>
    <n v="66"/>
    <n v="87"/>
    <n v="0.2843"/>
    <n v="290"/>
    <n v="150"/>
    <n v="80"/>
    <n v="0.27589999999999998"/>
  </r>
  <r>
    <s v="TXN-00075"/>
    <d v="2024-01-25T00:00:00"/>
    <n v="702"/>
    <s v="Nevada"/>
    <s v="West"/>
    <s v="Small Market"/>
    <s v="Leaves"/>
    <x v="0"/>
    <x v="3"/>
    <s v="Regular"/>
    <n v="1778"/>
    <n v="59"/>
    <x v="51"/>
    <n v="211"/>
    <n v="84"/>
    <n v="128"/>
    <n v="0.30259999999999998"/>
    <n v="300"/>
    <n v="150"/>
    <n v="80"/>
    <n v="0.26669999999999999"/>
  </r>
  <r>
    <s v="TXN-00076"/>
    <d v="2024-01-26T00:00:00"/>
    <n v="225"/>
    <s v="Louisiana"/>
    <s v="South"/>
    <s v="Small Market"/>
    <s v="Leaves"/>
    <x v="2"/>
    <x v="4"/>
    <s v="Decaf"/>
    <n v="593"/>
    <n v="30"/>
    <x v="62"/>
    <n v="79"/>
    <n v="64"/>
    <n v="50"/>
    <n v="0.2646"/>
    <n v="150"/>
    <n v="60"/>
    <n v="60"/>
    <n v="0.4"/>
  </r>
  <r>
    <s v="TXN-00077"/>
    <d v="2024-01-26T00:00:00"/>
    <n v="508"/>
    <s v="Massachusetts"/>
    <s v="East"/>
    <s v="Major Market"/>
    <s v="Beans"/>
    <x v="3"/>
    <x v="12"/>
    <s v="Regular"/>
    <n v="1267"/>
    <n v="45"/>
    <x v="63"/>
    <n v="161"/>
    <n v="69"/>
    <n v="137"/>
    <n v="0.39939999999999998"/>
    <n v="300"/>
    <n v="140"/>
    <n v="120"/>
    <n v="0.4"/>
  </r>
  <r>
    <s v="TXN-00078"/>
    <d v="2024-01-27T00:00:00"/>
    <n v="904"/>
    <s v="Florida"/>
    <s v="East"/>
    <s v="Major Market"/>
    <s v="Leaves"/>
    <x v="2"/>
    <x v="8"/>
    <s v="Decaf"/>
    <n v="1055"/>
    <n v="24"/>
    <x v="42"/>
    <n v="80"/>
    <n v="46"/>
    <n v="71"/>
    <n v="0.38379999999999997"/>
    <n v="90"/>
    <n v="40"/>
    <n v="40"/>
    <n v="0.44440000000000002"/>
  </r>
  <r>
    <s v="TXN-00079"/>
    <d v="2024-01-27T00:00:00"/>
    <n v="603"/>
    <s v="New Hampshire"/>
    <s v="East"/>
    <s v="Small Market"/>
    <s v="Leaves"/>
    <x v="2"/>
    <x v="4"/>
    <s v="Decaf"/>
    <n v="250"/>
    <n v="14"/>
    <x v="64"/>
    <n v="39"/>
    <n v="47"/>
    <n v="3"/>
    <n v="3.1899999999999998E-2"/>
    <n v="60"/>
    <n v="20"/>
    <n v="10"/>
    <n v="0.16669999999999999"/>
  </r>
  <r>
    <s v="TXN-00080"/>
    <d v="2024-01-27T00:00:00"/>
    <n v="918"/>
    <s v="Oklahoma"/>
    <s v="South"/>
    <s v="Small Market"/>
    <s v="Beans"/>
    <x v="1"/>
    <x v="5"/>
    <s v="Regular"/>
    <n v="572"/>
    <n v="29"/>
    <x v="41"/>
    <n v="90"/>
    <n v="41"/>
    <n v="74"/>
    <n v="0.36099999999999999"/>
    <n v="290"/>
    <n v="130"/>
    <n v="140"/>
    <n v="0.48280000000000001"/>
  </r>
  <r>
    <s v="TXN-00081"/>
    <d v="2024-01-27T00:00:00"/>
    <n v="617"/>
    <s v="Massachusetts"/>
    <s v="East"/>
    <s v="Major Market"/>
    <s v="Beans"/>
    <x v="3"/>
    <x v="12"/>
    <s v="Regular"/>
    <n v="1283"/>
    <n v="50"/>
    <x v="65"/>
    <n v="181"/>
    <n v="74"/>
    <n v="160"/>
    <n v="0.41339999999999999"/>
    <n v="350"/>
    <n v="170"/>
    <n v="120"/>
    <n v="0.34289999999999998"/>
  </r>
  <r>
    <s v="TXN-00082"/>
    <d v="2024-01-28T00:00:00"/>
    <n v="920"/>
    <s v="Wisconsin"/>
    <s v="Central"/>
    <s v="Small Market"/>
    <s v="Leaves"/>
    <x v="0"/>
    <x v="3"/>
    <s v="Regular"/>
    <n v="627"/>
    <n v="49"/>
    <x v="30"/>
    <n v="55"/>
    <n v="79"/>
    <n v="-3"/>
    <n v="-2.29E-2"/>
    <n v="100"/>
    <n v="40"/>
    <n v="0"/>
    <n v="0"/>
  </r>
  <r>
    <s v="TXN-00083"/>
    <d v="2024-01-28T00:00:00"/>
    <n v="203"/>
    <s v="Connecticut"/>
    <s v="East"/>
    <s v="Small Market"/>
    <s v="Leaves"/>
    <x v="2"/>
    <x v="8"/>
    <s v="Decaf"/>
    <n v="1053"/>
    <n v="20"/>
    <x v="66"/>
    <n v="65"/>
    <n v="42"/>
    <n v="52"/>
    <n v="0.34439999999999998"/>
    <n v="80"/>
    <n v="30"/>
    <n v="50"/>
    <n v="0.625"/>
  </r>
  <r>
    <s v="TXN-00084"/>
    <d v="2024-01-28T00:00:00"/>
    <n v="206"/>
    <s v="Washington"/>
    <s v="West"/>
    <s v="Small Market"/>
    <s v="Beans"/>
    <x v="3"/>
    <x v="6"/>
    <s v="Decaf"/>
    <n v="1063"/>
    <n v="23"/>
    <x v="67"/>
    <n v="75"/>
    <n v="44"/>
    <n v="45"/>
    <n v="0.27439999999999998"/>
    <n v="150"/>
    <n v="70"/>
    <n v="40"/>
    <n v="0.26669999999999999"/>
  </r>
  <r>
    <s v="TXN-00085"/>
    <d v="2024-01-28T00:00:00"/>
    <n v="817"/>
    <s v="Texas"/>
    <s v="South"/>
    <s v="Major Market"/>
    <s v="Beans"/>
    <x v="3"/>
    <x v="10"/>
    <s v="Regular"/>
    <n v="-1050"/>
    <n v="24"/>
    <x v="62"/>
    <n v="75"/>
    <n v="55"/>
    <n v="59"/>
    <n v="0.31219999999999998"/>
    <n v="140"/>
    <n v="50"/>
    <n v="40"/>
    <n v="0.28570000000000001"/>
  </r>
  <r>
    <s v="TXN-00086"/>
    <d v="2024-02-01T00:00:00"/>
    <n v="562"/>
    <s v="California"/>
    <s v="West"/>
    <s v="Major Market"/>
    <s v="Leaves"/>
    <x v="0"/>
    <x v="7"/>
    <s v="Regular"/>
    <n v="650"/>
    <n v="23"/>
    <x v="68"/>
    <n v="72"/>
    <n v="54"/>
    <n v="56"/>
    <n v="0.30769999999999997"/>
    <n v="80"/>
    <n v="20"/>
    <n v="50"/>
    <n v="0.625"/>
  </r>
  <r>
    <s v="TXN-00087"/>
    <d v="2024-02-01T00:00:00"/>
    <n v="206"/>
    <s v="Washington"/>
    <s v="West"/>
    <s v="Small Market"/>
    <s v="Beans"/>
    <x v="1"/>
    <x v="5"/>
    <s v="Regular"/>
    <n v="438"/>
    <n v="21"/>
    <x v="69"/>
    <n v="68"/>
    <n v="43"/>
    <n v="56"/>
    <n v="0.33529999999999999"/>
    <n v="230"/>
    <n v="90"/>
    <n v="110"/>
    <n v="0.4783"/>
  </r>
  <r>
    <s v="TXN-00088"/>
    <d v="2024-02-02T00:00:00"/>
    <n v="603"/>
    <s v="New Hampshire"/>
    <s v="East"/>
    <s v="Small Market"/>
    <s v="Leaves"/>
    <x v="0"/>
    <x v="0"/>
    <s v="Regular"/>
    <n v="851"/>
    <n v="4"/>
    <x v="70"/>
    <n v="16"/>
    <n v="15"/>
    <n v="10"/>
    <n v="0.24390000000000001"/>
    <n v="40"/>
    <n v="10"/>
    <n v="20"/>
    <n v="0.5"/>
  </r>
  <r>
    <s v="TXN-00089"/>
    <d v="2024-02-02T00:00:00"/>
    <n v="505"/>
    <s v="New Mexico"/>
    <s v="South"/>
    <s v="Small Market"/>
    <s v="Beans"/>
    <x v="3"/>
    <x v="6"/>
    <s v="Decaf"/>
    <n v="244"/>
    <n v="12"/>
    <x v="71"/>
    <n v="39"/>
    <n v="39"/>
    <n v="21"/>
    <n v="0.21429999999999999"/>
    <n v="50"/>
    <n v="20"/>
    <n v="20"/>
    <n v="0.4"/>
  </r>
  <r>
    <s v="TXN-00090"/>
    <d v="2024-02-02T00:00:00"/>
    <n v="314"/>
    <s v="Missouri"/>
    <s v="Central"/>
    <s v="Small Market"/>
    <s v="Beans"/>
    <x v="3"/>
    <x v="9"/>
    <s v="Regular"/>
    <n v="898"/>
    <n v="14"/>
    <x v="57"/>
    <n v="50"/>
    <n v="25"/>
    <n v="48"/>
    <n v="0.39019999999999999"/>
    <n v="150"/>
    <n v="60"/>
    <n v="70"/>
    <n v="0.4667"/>
  </r>
  <r>
    <s v="TXN-00091"/>
    <d v="2024-02-02T00:00:00"/>
    <n v="641"/>
    <s v="Iowa"/>
    <s v="Central"/>
    <s v="Small Market"/>
    <s v="Leaves"/>
    <x v="0"/>
    <x v="0"/>
    <s v="Regular"/>
    <n v="1820"/>
    <n v="70"/>
    <x v="72"/>
    <n v="250"/>
    <n v="95"/>
    <n v="156"/>
    <n v="0.31140000000000001"/>
    <n v="410"/>
    <n v="210"/>
    <n v="120"/>
    <n v="0.29270000000000002"/>
  </r>
  <r>
    <s v="TXN-00092"/>
    <d v="2024-02-03T00:00:00"/>
    <n v="339"/>
    <s v="Massachusetts"/>
    <s v="East"/>
    <s v="Major Market"/>
    <s v="Beans"/>
    <x v="3"/>
    <x v="9"/>
    <s v="Regular"/>
    <n v="571"/>
    <n v="42"/>
    <x v="73"/>
    <n v="47"/>
    <n v="72"/>
    <n v="-20"/>
    <n v="-0.20200000000000001"/>
    <n v="90"/>
    <n v="40"/>
    <n v="-10"/>
    <n v="-0.1111"/>
  </r>
  <r>
    <s v="TXN-00093"/>
    <d v="2024-02-04T00:00:00"/>
    <n v="214"/>
    <s v="Texas"/>
    <s v="South"/>
    <s v="Major Market"/>
    <s v="Beans"/>
    <x v="3"/>
    <x v="6"/>
    <s v="Decaf"/>
    <n v="601"/>
    <n v="15"/>
    <x v="2"/>
    <n v="54"/>
    <n v="27"/>
    <n v="52"/>
    <n v="0.39100000000000001"/>
    <n v="100"/>
    <n v="40"/>
    <n v="40"/>
    <n v="0.4"/>
  </r>
  <r>
    <s v="TXN-00094"/>
    <d v="2024-02-04T00:00:00"/>
    <n v="435"/>
    <s v="Utah"/>
    <s v="West"/>
    <s v="Small Market"/>
    <s v="Beans"/>
    <x v="3"/>
    <x v="10"/>
    <s v="Regular"/>
    <n v="844"/>
    <n v="8"/>
    <x v="74"/>
    <n v="31"/>
    <n v="20"/>
    <n v="39"/>
    <n v="0.47560000000000002"/>
    <n v="70"/>
    <n v="30"/>
    <n v="30"/>
    <n v="0.42859999999999998"/>
  </r>
  <r>
    <s v="TXN-00095"/>
    <d v="2024-02-04T00:00:00"/>
    <n v="314"/>
    <s v="Missouri"/>
    <s v="Central"/>
    <s v="Small Market"/>
    <s v="Leaves"/>
    <x v="0"/>
    <x v="0"/>
    <s v="Regular"/>
    <n v="256"/>
    <n v="12"/>
    <x v="75"/>
    <n v="38"/>
    <n v="40"/>
    <n v="16"/>
    <n v="0.16839999999999999"/>
    <n v="70"/>
    <n v="30"/>
    <n v="10"/>
    <n v="0.1429"/>
  </r>
  <r>
    <s v="TXN-00096"/>
    <d v="2024-02-04T00:00:00"/>
    <n v="405"/>
    <s v="Oklahoma"/>
    <s v="South"/>
    <s v="Small Market"/>
    <s v="Leaves"/>
    <x v="2"/>
    <x v="2"/>
    <s v="Decaf"/>
    <n v="385"/>
    <n v="21"/>
    <x v="29"/>
    <n v="56"/>
    <n v="54"/>
    <n v="16"/>
    <n v="0.127"/>
    <n v="110"/>
    <n v="40"/>
    <n v="50"/>
    <n v="0.45450000000000002"/>
  </r>
  <r>
    <s v="TXN-00097"/>
    <d v="2024-02-05T00:00:00"/>
    <n v="816"/>
    <s v="Missouri"/>
    <s v="Central"/>
    <s v="Small Market"/>
    <s v="Beans"/>
    <x v="1"/>
    <x v="11"/>
    <s v="Decaf"/>
    <n v="1075"/>
    <n v="19"/>
    <x v="76"/>
    <n v="63"/>
    <n v="40"/>
    <n v="36"/>
    <n v="0.25900000000000001"/>
    <n v="130"/>
    <n v="60"/>
    <n v="40"/>
    <n v="0.30769999999999997"/>
  </r>
  <r>
    <s v="TXN-00098"/>
    <d v="2024-02-05T00:00:00"/>
    <n v="918"/>
    <s v="Oklahoma"/>
    <s v="South"/>
    <s v="Small Market"/>
    <s v="Beans"/>
    <x v="3"/>
    <x v="10"/>
    <s v="Regular"/>
    <n v="-2248"/>
    <n v="41"/>
    <x v="56"/>
    <n v="134"/>
    <n v="65"/>
    <n v="121"/>
    <n v="0.37809999999999999"/>
    <n v="240"/>
    <n v="100"/>
    <n v="90"/>
    <n v="0.375"/>
  </r>
  <r>
    <s v="TXN-00099"/>
    <d v="2024-02-05T00:00:00"/>
    <n v="435"/>
    <s v="Utah"/>
    <s v="West"/>
    <s v="Small Market"/>
    <s v="Beans"/>
    <x v="1"/>
    <x v="5"/>
    <s v="Regular"/>
    <n v="375"/>
    <n v="15"/>
    <x v="77"/>
    <n v="47"/>
    <n v="42"/>
    <n v="33"/>
    <n v="0.2797"/>
    <n v="150"/>
    <n v="50"/>
    <n v="80"/>
    <n v="0.5333"/>
  </r>
  <r>
    <s v="TXN-00100"/>
    <d v="2024-02-05T00:00:00"/>
    <n v="971"/>
    <s v="Oregon"/>
    <s v="West"/>
    <s v="Small Market"/>
    <s v="Leaves"/>
    <x v="0"/>
    <x v="3"/>
    <s v="Regular"/>
    <n v="817"/>
    <n v="29"/>
    <x v="78"/>
    <n v="88"/>
    <n v="60"/>
    <n v="108"/>
    <n v="0.45760000000000001"/>
    <n v="160"/>
    <n v="60"/>
    <n v="60"/>
    <n v="0.375"/>
  </r>
  <r>
    <s v="TXN-00101"/>
    <d v="2024-02-06T00:00:00"/>
    <n v="925"/>
    <s v="California"/>
    <s v="West"/>
    <s v="Major Market"/>
    <s v="Leaves"/>
    <x v="2"/>
    <x v="2"/>
    <s v="Decaf"/>
    <n v="971"/>
    <n v="30"/>
    <x v="79"/>
    <n v="108"/>
    <n v="42"/>
    <n v="171"/>
    <n v="0.60640000000000005"/>
    <n v="210"/>
    <n v="80"/>
    <n v="120"/>
    <n v="0.57140000000000002"/>
  </r>
  <r>
    <s v="TXN-00102"/>
    <d v="2024-02-07T00:00:00"/>
    <n v="561"/>
    <s v="Florida"/>
    <s v="East"/>
    <s v="Major Market"/>
    <s v="Leaves"/>
    <x v="0"/>
    <x v="7"/>
    <s v="Regular"/>
    <n v="856"/>
    <n v="8"/>
    <x v="28"/>
    <n v="31"/>
    <n v="19"/>
    <n v="28"/>
    <n v="0.35899999999999999"/>
    <n v="80"/>
    <n v="30"/>
    <n v="40"/>
    <n v="0.5"/>
  </r>
  <r>
    <s v="TXN-00103"/>
    <d v="2024-02-07T00:00:00"/>
    <n v="253"/>
    <s v="Washington"/>
    <s v="West"/>
    <s v="Small Market"/>
    <s v="Leaves"/>
    <x v="0"/>
    <x v="0"/>
    <s v="Regular"/>
    <n v="320"/>
    <n v="12"/>
    <x v="13"/>
    <n v="41"/>
    <n v="36"/>
    <n v="45"/>
    <n v="0.3947"/>
    <n v="70"/>
    <n v="30"/>
    <n v="20"/>
    <n v="0.28570000000000001"/>
  </r>
  <r>
    <s v="TXN-00104"/>
    <d v="2024-02-07T00:00:00"/>
    <n v="573"/>
    <s v="Missouri"/>
    <s v="Central"/>
    <s v="Small Market"/>
    <s v="Beans"/>
    <x v="1"/>
    <x v="5"/>
    <s v="Regular"/>
    <n v="619"/>
    <n v="25"/>
    <x v="80"/>
    <n v="68"/>
    <n v="59"/>
    <n v="39"/>
    <n v="0.23930000000000001"/>
    <n v="150"/>
    <n v="60"/>
    <n v="40"/>
    <n v="0.26669999999999999"/>
  </r>
  <r>
    <s v="TXN-00105"/>
    <d v="2024-02-08T00:00:00"/>
    <n v="918"/>
    <s v="Oklahoma"/>
    <s v="South"/>
    <s v="Small Market"/>
    <s v="Leaves"/>
    <x v="2"/>
    <x v="2"/>
    <s v="Decaf"/>
    <n v="391"/>
    <n v="20"/>
    <x v="16"/>
    <n v="54"/>
    <n v="54"/>
    <n v="13"/>
    <n v="0.1074"/>
    <n v="110"/>
    <n v="50"/>
    <n v="20"/>
    <n v="0.18179999999999999"/>
  </r>
  <r>
    <s v="TXN-00106"/>
    <d v="2024-02-08T00:00:00"/>
    <n v="580"/>
    <s v="Oklahoma"/>
    <s v="South"/>
    <s v="Small Market"/>
    <s v="Beans"/>
    <x v="3"/>
    <x v="9"/>
    <s v="Regular"/>
    <n v="490"/>
    <n v="8"/>
    <x v="28"/>
    <n v="29"/>
    <n v="20"/>
    <n v="36"/>
    <n v="0.46150000000000002"/>
    <n v="50"/>
    <n v="20"/>
    <n v="20"/>
    <n v="0.4"/>
  </r>
  <r>
    <s v="TXN-00107"/>
    <d v="2024-02-08T00:00:00"/>
    <n v="971"/>
    <s v="Oregon"/>
    <s v="West"/>
    <s v="Small Market"/>
    <s v="Leaves"/>
    <x v="0"/>
    <x v="7"/>
    <s v="Regular"/>
    <n v="666"/>
    <n v="31"/>
    <x v="81"/>
    <n v="102"/>
    <n v="54"/>
    <n v="132"/>
    <n v="0.50570000000000004"/>
    <n v="170"/>
    <n v="70"/>
    <n v="70"/>
    <n v="0.4118"/>
  </r>
  <r>
    <s v="TXN-00108"/>
    <d v="2024-02-09T00:00:00"/>
    <n v="337"/>
    <s v="Louisiana"/>
    <s v="South"/>
    <s v="Small Market"/>
    <s v="Leaves"/>
    <x v="2"/>
    <x v="4"/>
    <s v="Decaf"/>
    <n v="601"/>
    <n v="31"/>
    <x v="82"/>
    <n v="82"/>
    <n v="64"/>
    <n v="56"/>
    <n v="0.28570000000000001"/>
    <n v="170"/>
    <n v="70"/>
    <n v="40"/>
    <n v="0.23530000000000001"/>
  </r>
  <r>
    <s v="TXN-00109"/>
    <d v="2024-02-09T00:00:00"/>
    <n v="702"/>
    <s v="Nevada"/>
    <s v="West"/>
    <s v="Small Market"/>
    <s v="Leaves"/>
    <x v="2"/>
    <x v="4"/>
    <s v="Decaf"/>
    <n v="1132"/>
    <n v="50"/>
    <x v="83"/>
    <n v="154"/>
    <n v="93"/>
    <n v="120"/>
    <n v="0.32700000000000001"/>
    <n v="290"/>
    <n v="120"/>
    <n v="120"/>
    <n v="0.4138"/>
  </r>
  <r>
    <s v="TXN-00110"/>
    <d v="2024-02-10T00:00:00"/>
    <n v="417"/>
    <s v="Missouri"/>
    <s v="Central"/>
    <s v="Small Market"/>
    <s v="Leaves"/>
    <x v="2"/>
    <x v="2"/>
    <s v="Decaf"/>
    <n v="335"/>
    <n v="44"/>
    <x v="77"/>
    <n v="49"/>
    <n v="74"/>
    <n v="-5"/>
    <n v="-4.24E-2"/>
    <n v="100"/>
    <n v="40"/>
    <n v="0"/>
    <n v="0"/>
  </r>
  <r>
    <s v="TXN-00111"/>
    <d v="2024-02-10T00:00:00"/>
    <n v="971"/>
    <s v="Oregon"/>
    <s v="West"/>
    <s v="Small Market"/>
    <s v="Beans"/>
    <x v="3"/>
    <x v="9"/>
    <s v="Regular"/>
    <n v="405"/>
    <n v="17"/>
    <x v="57"/>
    <n v="52"/>
    <n v="44"/>
    <n v="27"/>
    <n v="0.2195"/>
    <n v="100"/>
    <n v="30"/>
    <n v="60"/>
    <n v="0.6"/>
  </r>
  <r>
    <s v="TXN-00112"/>
    <d v="2024-02-10T00:00:00"/>
    <n v="970"/>
    <s v="Colorado"/>
    <s v="Central"/>
    <s v="Major Market"/>
    <s v="Leaves"/>
    <x v="2"/>
    <x v="2"/>
    <s v="Decaf"/>
    <n v="1283"/>
    <n v="50"/>
    <x v="84"/>
    <n v="181"/>
    <n v="75"/>
    <n v="107"/>
    <n v="0.29480000000000001"/>
    <n v="330"/>
    <n v="170"/>
    <n v="100"/>
    <n v="0.30299999999999999"/>
  </r>
  <r>
    <s v="TXN-00113"/>
    <d v="2024-02-11T00:00:00"/>
    <n v="773"/>
    <s v="Illinois"/>
    <s v="Central"/>
    <s v="Major Market"/>
    <s v="Beans"/>
    <x v="3"/>
    <x v="6"/>
    <s v="Decaf"/>
    <n v="1820"/>
    <n v="70"/>
    <x v="85"/>
    <n v="250"/>
    <n v="94"/>
    <n v="233"/>
    <n v="0.43630000000000002"/>
    <n v="640"/>
    <n v="320"/>
    <n v="240"/>
    <n v="0.375"/>
  </r>
  <r>
    <s v="TXN-00114"/>
    <d v="2024-02-12T00:00:00"/>
    <n v="775"/>
    <s v="Nevada"/>
    <s v="West"/>
    <s v="Small Market"/>
    <s v="Beans"/>
    <x v="1"/>
    <x v="11"/>
    <s v="Decaf"/>
    <n v="1003"/>
    <n v="8"/>
    <x v="86"/>
    <n v="29"/>
    <n v="30"/>
    <n v="5"/>
    <n v="7.8100000000000003E-2"/>
    <n v="70"/>
    <n v="30"/>
    <n v="20"/>
    <n v="0.28570000000000001"/>
  </r>
  <r>
    <s v="TXN-00115"/>
    <d v="2024-02-12T00:00:00"/>
    <n v="720"/>
    <s v="Colorado"/>
    <s v="Central"/>
    <s v="Major Market"/>
    <s v="Leaves"/>
    <x v="2"/>
    <x v="8"/>
    <s v="Decaf"/>
    <n v="411"/>
    <n v="19"/>
    <x v="87"/>
    <n v="59"/>
    <n v="47"/>
    <n v="32"/>
    <n v="0.2319"/>
    <n v="120"/>
    <n v="50"/>
    <n v="40"/>
    <n v="0.33329999999999999"/>
  </r>
  <r>
    <s v="TXN-00116"/>
    <d v="2024-02-12T00:00:00"/>
    <n v="630"/>
    <s v="Illinois"/>
    <s v="Central"/>
    <s v="Major Market"/>
    <s v="Leaves"/>
    <x v="2"/>
    <x v="8"/>
    <s v="Decaf"/>
    <n v="984"/>
    <n v="22"/>
    <x v="88"/>
    <n v="81"/>
    <n v="33"/>
    <n v="84"/>
    <n v="0.42420000000000002"/>
    <n v="180"/>
    <n v="70"/>
    <n v="80"/>
    <n v="0.44440000000000002"/>
  </r>
  <r>
    <s v="TXN-00117"/>
    <d v="2024-02-13T00:00:00"/>
    <n v="985"/>
    <s v="Louisiana"/>
    <s v="South"/>
    <s v="Small Market"/>
    <s v="Beans"/>
    <x v="3"/>
    <x v="10"/>
    <s v="Regular"/>
    <n v="-1053"/>
    <n v="49"/>
    <x v="30"/>
    <n v="55"/>
    <n v="79"/>
    <n v="-3"/>
    <n v="-2.29E-2"/>
    <n v="100"/>
    <n v="40"/>
    <n v="0"/>
    <n v="0"/>
  </r>
  <r>
    <s v="TXN-00118"/>
    <d v="2024-02-13T00:00:00"/>
    <n v="860"/>
    <s v="Connecticut"/>
    <s v="East"/>
    <s v="Small Market"/>
    <s v="Leaves"/>
    <x v="2"/>
    <x v="4"/>
    <s v="Decaf"/>
    <n v="619"/>
    <n v="25"/>
    <x v="80"/>
    <n v="68"/>
    <n v="58"/>
    <n v="40"/>
    <n v="0.24540000000000001"/>
    <n v="110"/>
    <n v="50"/>
    <n v="20"/>
    <n v="0.18179999999999999"/>
  </r>
  <r>
    <s v="TXN-00119"/>
    <d v="2024-02-13T00:00:00"/>
    <n v="321"/>
    <s v="Florida"/>
    <s v="East"/>
    <s v="Major Market"/>
    <s v="Leaves"/>
    <x v="0"/>
    <x v="7"/>
    <s v="Regular"/>
    <n v="863"/>
    <n v="9"/>
    <x v="89"/>
    <n v="34"/>
    <n v="21"/>
    <n v="45"/>
    <n v="0.4945"/>
    <n v="80"/>
    <n v="30"/>
    <n v="40"/>
    <n v="0.5"/>
  </r>
  <r>
    <s v="TXN-00120"/>
    <d v="2024-02-13T00:00:00"/>
    <n v="715"/>
    <s v="Wisconsin"/>
    <s v="Central"/>
    <s v="Small Market"/>
    <s v="Beans"/>
    <x v="1"/>
    <x v="11"/>
    <s v="Decaf"/>
    <n v="575"/>
    <n v="27"/>
    <x v="90"/>
    <n v="83"/>
    <n v="55"/>
    <n v="57"/>
    <n v="0.2923"/>
    <n v="190"/>
    <n v="80"/>
    <n v="70"/>
    <n v="0.36840000000000001"/>
  </r>
  <r>
    <s v="TXN-00121"/>
    <d v="2024-02-13T00:00:00"/>
    <n v="702"/>
    <s v="Nevada"/>
    <s v="West"/>
    <s v="Small Market"/>
    <s v="Leaves"/>
    <x v="2"/>
    <x v="2"/>
    <s v="Decaf"/>
    <n v="940"/>
    <n v="122"/>
    <x v="34"/>
    <n v="135"/>
    <n v="155"/>
    <n v="32"/>
    <n v="9.9400000000000002E-2"/>
    <n v="290"/>
    <n v="120"/>
    <n v="30"/>
    <n v="0.10340000000000001"/>
  </r>
  <r>
    <s v="TXN-00122"/>
    <d v="2024-02-13T00:00:00"/>
    <n v="415"/>
    <s v="California"/>
    <s v="West"/>
    <s v="Major Market"/>
    <s v="Beans"/>
    <x v="3"/>
    <x v="6"/>
    <s v="Decaf"/>
    <n v="1662"/>
    <n v="84"/>
    <x v="91"/>
    <n v="257"/>
    <n v="116"/>
    <n v="334"/>
    <n v="0.52429999999999999"/>
    <n v="550"/>
    <n v="230"/>
    <n v="240"/>
    <n v="0.43640000000000001"/>
  </r>
  <r>
    <s v="TXN-00123"/>
    <d v="2024-02-14T00:00:00"/>
    <n v="504"/>
    <s v="Louisiana"/>
    <s v="South"/>
    <s v="Small Market"/>
    <s v="Beans"/>
    <x v="1"/>
    <x v="11"/>
    <s v="Decaf"/>
    <n v="856"/>
    <n v="8"/>
    <x v="28"/>
    <n v="31"/>
    <n v="19"/>
    <n v="28"/>
    <n v="0.35899999999999999"/>
    <n v="90"/>
    <n v="30"/>
    <n v="50"/>
    <n v="0.55559999999999998"/>
  </r>
  <r>
    <s v="TXN-00124"/>
    <d v="2024-02-14T00:00:00"/>
    <n v="503"/>
    <s v="Oregon"/>
    <s v="West"/>
    <s v="Small Market"/>
    <s v="Beans"/>
    <x v="3"/>
    <x v="10"/>
    <s v="Regular"/>
    <n v="410"/>
    <n v="20"/>
    <x v="50"/>
    <n v="55"/>
    <n v="53"/>
    <n v="24"/>
    <n v="0.18179999999999999"/>
    <n v="120"/>
    <n v="50"/>
    <n v="30"/>
    <n v="0.25"/>
  </r>
  <r>
    <s v="TXN-00125"/>
    <d v="2024-02-14T00:00:00"/>
    <n v="503"/>
    <s v="Oregon"/>
    <s v="West"/>
    <s v="Small Market"/>
    <s v="Beans"/>
    <x v="1"/>
    <x v="11"/>
    <s v="Decaf"/>
    <n v="424"/>
    <n v="14"/>
    <x v="13"/>
    <n v="46"/>
    <n v="36"/>
    <n v="32"/>
    <n v="0.28070000000000001"/>
    <n v="130"/>
    <n v="50"/>
    <n v="50"/>
    <n v="0.3846"/>
  </r>
  <r>
    <s v="TXN-00126"/>
    <d v="2024-02-14T00:00:00"/>
    <n v="303"/>
    <s v="Colorado"/>
    <s v="Central"/>
    <s v="Major Market"/>
    <s v="Beans"/>
    <x v="3"/>
    <x v="6"/>
    <s v="Decaf"/>
    <n v="650"/>
    <n v="23"/>
    <x v="68"/>
    <n v="72"/>
    <n v="54"/>
    <n v="56"/>
    <n v="0.30769999999999997"/>
    <n v="260"/>
    <n v="100"/>
    <n v="130"/>
    <n v="0.5"/>
  </r>
  <r>
    <s v="TXN-00127"/>
    <d v="2024-02-14T00:00:00"/>
    <n v="262"/>
    <s v="Wisconsin"/>
    <s v="Central"/>
    <s v="Small Market"/>
    <s v="Beans"/>
    <x v="1"/>
    <x v="5"/>
    <s v="Regular"/>
    <n v="694"/>
    <n v="85"/>
    <x v="92"/>
    <n v="94"/>
    <n v="114"/>
    <n v="16"/>
    <n v="7.1400000000000005E-2"/>
    <n v="220"/>
    <n v="90"/>
    <n v="30"/>
    <n v="0.13639999999999999"/>
  </r>
  <r>
    <s v="TXN-00128"/>
    <d v="2024-02-15T00:00:00"/>
    <n v="775"/>
    <s v="Nevada"/>
    <s v="West"/>
    <s v="Small Market"/>
    <s v="Beans"/>
    <x v="3"/>
    <x v="6"/>
    <s v="Decaf"/>
    <n v="802"/>
    <n v="6"/>
    <x v="26"/>
    <n v="22"/>
    <n v="17"/>
    <n v="25"/>
    <n v="0.41670000000000001"/>
    <n v="50"/>
    <n v="20"/>
    <n v="20"/>
    <n v="0.4"/>
  </r>
  <r>
    <s v="TXN-00129"/>
    <d v="2024-02-16T00:00:00"/>
    <n v="206"/>
    <s v="Washington"/>
    <s v="West"/>
    <s v="Small Market"/>
    <s v="Beans"/>
    <x v="3"/>
    <x v="9"/>
    <s v="Regular"/>
    <n v="391"/>
    <n v="20"/>
    <x v="93"/>
    <n v="54"/>
    <n v="54"/>
    <n v="19"/>
    <n v="0.14729999999999999"/>
    <n v="110"/>
    <n v="50"/>
    <n v="20"/>
    <n v="0.18179999999999999"/>
  </r>
  <r>
    <s v="TXN-00130"/>
    <d v="2024-02-16T00:00:00"/>
    <n v="562"/>
    <s v="California"/>
    <s v="West"/>
    <s v="Major Market"/>
    <s v="Leaves"/>
    <x v="2"/>
    <x v="4"/>
    <s v="Decaf"/>
    <n v="1246"/>
    <n v="74"/>
    <x v="94"/>
    <n v="239"/>
    <n v="95"/>
    <n v="186"/>
    <n v="0.35770000000000002"/>
    <n v="410"/>
    <n v="190"/>
    <n v="170"/>
    <n v="0.41460000000000002"/>
  </r>
  <r>
    <s v="TXN-00131"/>
    <d v="2024-02-17T00:00:00"/>
    <n v="505"/>
    <s v="New Mexico"/>
    <s v="South"/>
    <s v="Small Market"/>
    <s v="Leaves"/>
    <x v="2"/>
    <x v="4"/>
    <s v="Decaf"/>
    <n v="1009"/>
    <n v="9"/>
    <x v="7"/>
    <n v="31"/>
    <n v="31"/>
    <n v="10"/>
    <n v="0.1351"/>
    <n v="60"/>
    <n v="20"/>
    <n v="20"/>
    <n v="0.33329999999999999"/>
  </r>
  <r>
    <s v="TXN-00132"/>
    <d v="2024-02-17T00:00:00"/>
    <n v="435"/>
    <s v="Utah"/>
    <s v="West"/>
    <s v="Small Market"/>
    <s v="Leaves"/>
    <x v="2"/>
    <x v="2"/>
    <s v="Decaf"/>
    <n v="327"/>
    <n v="16"/>
    <x v="39"/>
    <n v="52"/>
    <n v="39"/>
    <n v="53"/>
    <n v="0.3926"/>
    <n v="110"/>
    <n v="40"/>
    <n v="40"/>
    <n v="0.36359999999999998"/>
  </r>
  <r>
    <s v="TXN-00133"/>
    <d v="2024-02-17T00:00:00"/>
    <n v="417"/>
    <s v="Missouri"/>
    <s v="Central"/>
    <s v="Small Market"/>
    <s v="Beans"/>
    <x v="1"/>
    <x v="11"/>
    <s v="Decaf"/>
    <n v="1060"/>
    <n v="21"/>
    <x v="59"/>
    <n v="69"/>
    <n v="43"/>
    <n v="56"/>
    <n v="0.35"/>
    <n v="140"/>
    <n v="60"/>
    <n v="40"/>
    <n v="0.28570000000000001"/>
  </r>
  <r>
    <s v="TXN-00134"/>
    <d v="2024-02-17T00:00:00"/>
    <n v="951"/>
    <s v="California"/>
    <s v="West"/>
    <s v="Major Market"/>
    <s v="Beans"/>
    <x v="1"/>
    <x v="1"/>
    <s v="Regular"/>
    <n v="2947"/>
    <n v="40"/>
    <x v="95"/>
    <n v="127"/>
    <n v="63"/>
    <n v="-88"/>
    <n v="-0.86270000000000002"/>
    <n v="120"/>
    <n v="150"/>
    <n v="-90"/>
    <n v="-0.75"/>
  </r>
  <r>
    <s v="TXN-00135"/>
    <d v="2024-02-17T00:00:00"/>
    <n v="775"/>
    <s v="Nevada"/>
    <s v="West"/>
    <s v="Small Market"/>
    <s v="Leaves"/>
    <x v="2"/>
    <x v="4"/>
    <s v="Decaf"/>
    <n v="1132"/>
    <n v="50"/>
    <x v="46"/>
    <n v="154"/>
    <n v="93"/>
    <n v="178"/>
    <n v="0.45519999999999999"/>
    <n v="290"/>
    <n v="120"/>
    <n v="120"/>
    <n v="0.4138"/>
  </r>
  <r>
    <s v="TXN-00136"/>
    <d v="2024-02-18T00:00:00"/>
    <n v="801"/>
    <s v="Utah"/>
    <s v="West"/>
    <s v="Small Market"/>
    <s v="Leaves"/>
    <x v="2"/>
    <x v="2"/>
    <s v="Decaf"/>
    <n v="310"/>
    <n v="15"/>
    <x v="0"/>
    <n v="49"/>
    <n v="38"/>
    <n v="49"/>
    <n v="0.38279999999999997"/>
    <n v="90"/>
    <n v="30"/>
    <n v="60"/>
    <n v="0.66669999999999996"/>
  </r>
  <r>
    <s v="TXN-00137"/>
    <d v="2024-02-18T00:00:00"/>
    <n v="351"/>
    <s v="Massachusetts"/>
    <s v="East"/>
    <s v="Major Market"/>
    <s v="Leaves"/>
    <x v="0"/>
    <x v="0"/>
    <s v="Regular"/>
    <n v="862"/>
    <n v="10"/>
    <x v="64"/>
    <n v="36"/>
    <n v="21"/>
    <n v="46"/>
    <n v="0.4894"/>
    <n v="90"/>
    <n v="30"/>
    <n v="40"/>
    <n v="0.44440000000000002"/>
  </r>
  <r>
    <s v="TXN-00138"/>
    <d v="2024-02-18T00:00:00"/>
    <n v="509"/>
    <s v="Washington"/>
    <s v="West"/>
    <s v="Small Market"/>
    <s v="Leaves"/>
    <x v="0"/>
    <x v="7"/>
    <s v="Regular"/>
    <n v="613"/>
    <n v="55"/>
    <x v="53"/>
    <n v="61"/>
    <n v="85"/>
    <n v="1"/>
    <n v="6.4000000000000003E-3"/>
    <n v="100"/>
    <n v="40"/>
    <n v="0"/>
    <n v="0"/>
  </r>
  <r>
    <s v="TXN-00139"/>
    <d v="2024-02-18T00:00:00"/>
    <n v="715"/>
    <s v="Wisconsin"/>
    <s v="Central"/>
    <s v="Small Market"/>
    <s v="Leaves"/>
    <x v="2"/>
    <x v="4"/>
    <s v="Decaf"/>
    <n v="863"/>
    <n v="9"/>
    <x v="89"/>
    <n v="34"/>
    <n v="21"/>
    <n v="45"/>
    <n v="0.4945"/>
    <n v="70"/>
    <n v="30"/>
    <n v="30"/>
    <n v="0.42859999999999998"/>
  </r>
  <r>
    <s v="TXN-00140"/>
    <d v="2024-02-18T00:00:00"/>
    <n v="203"/>
    <s v="Connecticut"/>
    <s v="East"/>
    <s v="Small Market"/>
    <s v="Beans"/>
    <x v="3"/>
    <x v="6"/>
    <s v="Decaf"/>
    <n v="392"/>
    <n v="16"/>
    <x v="16"/>
    <n v="49"/>
    <n v="44"/>
    <n v="31"/>
    <n v="0.25619999999999998"/>
    <n v="110"/>
    <n v="40"/>
    <n v="40"/>
    <n v="0.36359999999999998"/>
  </r>
  <r>
    <s v="TXN-00141"/>
    <d v="2024-02-18T00:00:00"/>
    <n v="561"/>
    <s v="Florida"/>
    <s v="East"/>
    <s v="Major Market"/>
    <s v="Leaves"/>
    <x v="2"/>
    <x v="2"/>
    <s v="Decaf"/>
    <n v="570"/>
    <n v="7"/>
    <x v="96"/>
    <n v="22"/>
    <n v="19"/>
    <n v="11"/>
    <n v="0.21149999999999999"/>
    <n v="30"/>
    <n v="10"/>
    <n v="10"/>
    <n v="0.33329999999999999"/>
  </r>
  <r>
    <s v="TXN-00142"/>
    <d v="2024-02-18T00:00:00"/>
    <n v="435"/>
    <s v="Utah"/>
    <s v="West"/>
    <s v="Small Market"/>
    <s v="Leaves"/>
    <x v="2"/>
    <x v="8"/>
    <s v="Decaf"/>
    <n v="1698"/>
    <n v="26"/>
    <x v="97"/>
    <n v="86"/>
    <n v="50"/>
    <n v="-27"/>
    <n v="-0.2477"/>
    <n v="80"/>
    <n v="60"/>
    <n v="0"/>
    <n v="0"/>
  </r>
  <r>
    <s v="TXN-00143"/>
    <d v="2024-02-19T00:00:00"/>
    <n v="203"/>
    <s v="Connecticut"/>
    <s v="East"/>
    <s v="Small Market"/>
    <s v="Beans"/>
    <x v="1"/>
    <x v="5"/>
    <s v="Regular"/>
    <n v="1134"/>
    <n v="42"/>
    <x v="98"/>
    <n v="130"/>
    <n v="73"/>
    <n v="181"/>
    <n v="0.52310000000000001"/>
    <n v="290"/>
    <n v="110"/>
    <n v="130"/>
    <n v="0.44829999999999998"/>
  </r>
  <r>
    <s v="TXN-00144"/>
    <d v="2024-02-20T00:00:00"/>
    <n v="262"/>
    <s v="Wisconsin"/>
    <s v="Central"/>
    <s v="Small Market"/>
    <s v="Leaves"/>
    <x v="2"/>
    <x v="4"/>
    <s v="Decaf"/>
    <n v="851"/>
    <n v="13"/>
    <x v="77"/>
    <n v="48"/>
    <n v="25"/>
    <n v="45"/>
    <n v="0.38140000000000002"/>
    <n v="90"/>
    <n v="30"/>
    <n v="60"/>
    <n v="0.66669999999999996"/>
  </r>
  <r>
    <s v="TXN-00145"/>
    <d v="2024-02-20T00:00:00"/>
    <n v="361"/>
    <s v="Texas"/>
    <s v="South"/>
    <s v="Major Market"/>
    <s v="Beans"/>
    <x v="3"/>
    <x v="10"/>
    <s v="Regular"/>
    <n v="-1239"/>
    <n v="22"/>
    <x v="99"/>
    <n v="67"/>
    <n v="54"/>
    <n v="70"/>
    <n v="0.3911"/>
    <n v="120"/>
    <n v="50"/>
    <n v="30"/>
    <n v="0.25"/>
  </r>
  <r>
    <s v="TXN-00146"/>
    <d v="2024-02-20T00:00:00"/>
    <n v="509"/>
    <s v="Washington"/>
    <s v="West"/>
    <s v="Small Market"/>
    <s v="Leaves"/>
    <x v="2"/>
    <x v="2"/>
    <s v="Decaf"/>
    <n v="1166"/>
    <n v="37"/>
    <x v="100"/>
    <n v="115"/>
    <n v="69"/>
    <n v="105"/>
    <n v="0.36330000000000001"/>
    <n v="260"/>
    <n v="100"/>
    <n v="110"/>
    <n v="0.42309999999999998"/>
  </r>
  <r>
    <s v="TXN-00147"/>
    <d v="2024-02-21T00:00:00"/>
    <n v="702"/>
    <s v="Nevada"/>
    <s v="West"/>
    <s v="Small Market"/>
    <s v="Beans"/>
    <x v="3"/>
    <x v="10"/>
    <s v="Regular"/>
    <n v="344"/>
    <n v="0"/>
    <x v="101"/>
    <n v="0"/>
    <n v="12"/>
    <n v="31"/>
    <n v="0.72089999999999999"/>
    <n v="40"/>
    <n v="0"/>
    <n v="30"/>
    <n v="0.75"/>
  </r>
  <r>
    <s v="TXN-00148"/>
    <d v="2024-02-21T00:00:00"/>
    <n v="203"/>
    <s v="Connecticut"/>
    <s v="East"/>
    <s v="Small Market"/>
    <s v="Leaves"/>
    <x v="0"/>
    <x v="7"/>
    <s v="Regular"/>
    <n v="806"/>
    <n v="6"/>
    <x v="86"/>
    <n v="24"/>
    <n v="18"/>
    <n v="27"/>
    <n v="0.4219"/>
    <n v="60"/>
    <n v="20"/>
    <n v="40"/>
    <n v="0.66669999999999996"/>
  </r>
  <r>
    <s v="TXN-00149"/>
    <d v="2024-02-21T00:00:00"/>
    <n v="915"/>
    <s v="Texas"/>
    <s v="South"/>
    <s v="Major Market"/>
    <s v="Beans"/>
    <x v="3"/>
    <x v="9"/>
    <s v="Regular"/>
    <n v="930"/>
    <n v="33"/>
    <x v="102"/>
    <n v="118"/>
    <n v="45"/>
    <n v="188"/>
    <n v="0.60840000000000005"/>
    <n v="220"/>
    <n v="90"/>
    <n v="100"/>
    <n v="0.45450000000000002"/>
  </r>
  <r>
    <s v="TXN-00150"/>
    <d v="2024-02-21T00:00:00"/>
    <n v="641"/>
    <s v="Iowa"/>
    <s v="Central"/>
    <s v="Small Market"/>
    <s v="Leaves"/>
    <x v="2"/>
    <x v="2"/>
    <s v="Decaf"/>
    <n v="1691"/>
    <n v="75"/>
    <x v="103"/>
    <n v="228"/>
    <n v="108"/>
    <n v="291"/>
    <n v="0.51319999999999999"/>
    <n v="490"/>
    <n v="210"/>
    <n v="180"/>
    <n v="0.36730000000000002"/>
  </r>
  <r>
    <s v="TXN-00151"/>
    <d v="2024-02-22T00:00:00"/>
    <n v="760"/>
    <s v="California"/>
    <s v="West"/>
    <s v="Major Market"/>
    <s v="Leaves"/>
    <x v="0"/>
    <x v="3"/>
    <s v="Regular"/>
    <n v="589"/>
    <n v="14"/>
    <x v="30"/>
    <n v="50"/>
    <n v="26"/>
    <n v="70"/>
    <n v="0.53439999999999999"/>
    <n v="80"/>
    <n v="30"/>
    <n v="40"/>
    <n v="0.5"/>
  </r>
  <r>
    <s v="TXN-00152"/>
    <d v="2024-02-22T00:00:00"/>
    <n v="775"/>
    <s v="Nevada"/>
    <s v="West"/>
    <s v="Small Market"/>
    <s v="Beans"/>
    <x v="3"/>
    <x v="9"/>
    <s v="Regular"/>
    <n v="848"/>
    <n v="4"/>
    <x v="104"/>
    <n v="15"/>
    <n v="15"/>
    <n v="13"/>
    <n v="0.3095"/>
    <n v="30"/>
    <n v="10"/>
    <n v="10"/>
    <n v="0.33329999999999999"/>
  </r>
  <r>
    <s v="TXN-00153"/>
    <d v="2024-02-23T00:00:00"/>
    <n v="505"/>
    <s v="New Mexico"/>
    <s v="South"/>
    <s v="Small Market"/>
    <s v="Beans"/>
    <x v="3"/>
    <x v="10"/>
    <s v="Regular"/>
    <n v="-522"/>
    <n v="12"/>
    <x v="105"/>
    <n v="34"/>
    <n v="46"/>
    <n v="-6"/>
    <n v="-7.4099999999999999E-2"/>
    <n v="50"/>
    <n v="20"/>
    <n v="-10"/>
    <n v="-0.2"/>
  </r>
  <r>
    <s v="TXN-00154"/>
    <d v="2024-02-23T00:00:00"/>
    <n v="435"/>
    <s v="Utah"/>
    <s v="West"/>
    <s v="Small Market"/>
    <s v="Beans"/>
    <x v="1"/>
    <x v="5"/>
    <s v="Regular"/>
    <n v="392"/>
    <n v="16"/>
    <x v="16"/>
    <n v="49"/>
    <n v="44"/>
    <n v="31"/>
    <n v="0.25619999999999998"/>
    <n v="130"/>
    <n v="50"/>
    <n v="50"/>
    <n v="0.3846"/>
  </r>
  <r>
    <s v="TXN-00155"/>
    <d v="2024-02-23T00:00:00"/>
    <n v="918"/>
    <s v="Oklahoma"/>
    <s v="South"/>
    <s v="Small Market"/>
    <s v="Beans"/>
    <x v="3"/>
    <x v="10"/>
    <s v="Regular"/>
    <n v="-2248"/>
    <n v="41"/>
    <x v="106"/>
    <n v="134"/>
    <n v="65"/>
    <n v="180"/>
    <n v="0.52790000000000004"/>
    <n v="240"/>
    <n v="100"/>
    <n v="90"/>
    <n v="0.375"/>
  </r>
  <r>
    <s v="TXN-00156"/>
    <d v="2024-02-23T00:00:00"/>
    <n v="978"/>
    <s v="Massachusetts"/>
    <s v="East"/>
    <s v="Major Market"/>
    <s v="Beans"/>
    <x v="1"/>
    <x v="5"/>
    <s v="Regular"/>
    <n v="-3287"/>
    <n v="24"/>
    <x v="107"/>
    <n v="75"/>
    <n v="55"/>
    <n v="324"/>
    <n v="0.7137"/>
    <n v="400"/>
    <n v="60"/>
    <n v="300"/>
    <n v="0.75"/>
  </r>
  <r>
    <s v="TXN-00157"/>
    <d v="2024-02-23T00:00:00"/>
    <n v="971"/>
    <s v="Oregon"/>
    <s v="West"/>
    <s v="Small Market"/>
    <s v="Leaves"/>
    <x v="0"/>
    <x v="3"/>
    <s v="Regular"/>
    <n v="798"/>
    <n v="25"/>
    <x v="108"/>
    <n v="78"/>
    <n v="57"/>
    <n v="62"/>
    <n v="0.31469999999999998"/>
    <n v="140"/>
    <n v="50"/>
    <n v="50"/>
    <n v="0.35709999999999997"/>
  </r>
  <r>
    <s v="TXN-00158"/>
    <d v="2024-02-23T00:00:00"/>
    <n v="435"/>
    <s v="Utah"/>
    <s v="West"/>
    <s v="Small Market"/>
    <s v="Leaves"/>
    <x v="0"/>
    <x v="7"/>
    <s v="Regular"/>
    <n v="218"/>
    <n v="7"/>
    <x v="15"/>
    <n v="20"/>
    <n v="40"/>
    <n v="-22"/>
    <n v="-0.45829999999999999"/>
    <n v="30"/>
    <n v="10"/>
    <n v="0"/>
    <n v="0"/>
  </r>
  <r>
    <s v="TXN-00159"/>
    <d v="2024-02-24T00:00:00"/>
    <n v="970"/>
    <s v="Colorado"/>
    <s v="Central"/>
    <s v="Major Market"/>
    <s v="Leaves"/>
    <x v="2"/>
    <x v="2"/>
    <s v="Decaf"/>
    <n v="1319"/>
    <n v="42"/>
    <x v="109"/>
    <n v="153"/>
    <n v="66"/>
    <n v="129"/>
    <n v="0.3957"/>
    <n v="280"/>
    <n v="140"/>
    <n v="80"/>
    <n v="0.28570000000000001"/>
  </r>
  <r>
    <s v="TXN-00160"/>
    <d v="2024-02-25T00:00:00"/>
    <n v="262"/>
    <s v="Wisconsin"/>
    <s v="Central"/>
    <s v="Small Market"/>
    <s v="Leaves"/>
    <x v="0"/>
    <x v="0"/>
    <s v="Regular"/>
    <n v="466"/>
    <n v="13"/>
    <x v="110"/>
    <n v="43"/>
    <n v="35"/>
    <n v="28"/>
    <n v="0.26419999999999999"/>
    <n v="80"/>
    <n v="30"/>
    <n v="20"/>
    <n v="0.25"/>
  </r>
  <r>
    <s v="TXN-00161"/>
    <d v="2024-02-26T00:00:00"/>
    <n v="603"/>
    <s v="New Hampshire"/>
    <s v="East"/>
    <s v="Small Market"/>
    <s v="Beans"/>
    <x v="3"/>
    <x v="12"/>
    <s v="Regular"/>
    <n v="218"/>
    <n v="7"/>
    <x v="15"/>
    <n v="20"/>
    <n v="41"/>
    <n v="-24"/>
    <n v="-0.5"/>
    <n v="40"/>
    <n v="10"/>
    <n v="0"/>
    <n v="0"/>
  </r>
  <r>
    <s v="TXN-00162"/>
    <d v="2024-02-27T00:00:00"/>
    <n v="541"/>
    <s v="Oregon"/>
    <s v="West"/>
    <s v="Small Market"/>
    <s v="Leaves"/>
    <x v="2"/>
    <x v="2"/>
    <s v="Decaf"/>
    <n v="823"/>
    <n v="7"/>
    <x v="111"/>
    <n v="25"/>
    <n v="19"/>
    <n v="28"/>
    <n v="0.41789999999999999"/>
    <n v="50"/>
    <n v="20"/>
    <n v="20"/>
    <n v="0.4"/>
  </r>
  <r>
    <s v="TXN-00163"/>
    <d v="2024-02-27T00:00:00"/>
    <n v="315"/>
    <s v="New York"/>
    <s v="East"/>
    <s v="Major Market"/>
    <s v="Beans"/>
    <x v="1"/>
    <x v="5"/>
    <s v="Regular"/>
    <n v="2548"/>
    <n v="91"/>
    <x v="112"/>
    <n v="260"/>
    <n v="143"/>
    <n v="247"/>
    <n v="0.38"/>
    <n v="540"/>
    <n v="210"/>
    <n v="230"/>
    <n v="0.4259"/>
  </r>
  <r>
    <s v="TXN-00164"/>
    <d v="2024-02-27T00:00:00"/>
    <n v="206"/>
    <s v="Washington"/>
    <s v="West"/>
    <s v="Small Market"/>
    <s v="Leaves"/>
    <x v="2"/>
    <x v="2"/>
    <s v="Decaf"/>
    <n v="1119"/>
    <n v="41"/>
    <x v="113"/>
    <n v="125"/>
    <n v="73"/>
    <n v="115"/>
    <n v="0.3674"/>
    <n v="250"/>
    <n v="90"/>
    <n v="130"/>
    <n v="0.52"/>
  </r>
  <r>
    <s v="TXN-00165"/>
    <d v="2024-02-28T00:00:00"/>
    <n v="203"/>
    <s v="Connecticut"/>
    <s v="East"/>
    <s v="Small Market"/>
    <s v="Beans"/>
    <x v="3"/>
    <x v="9"/>
    <s v="Regular"/>
    <n v="606"/>
    <n v="54"/>
    <x v="114"/>
    <n v="60"/>
    <n v="83"/>
    <n v="1"/>
    <n v="6.8999999999999999E-3"/>
    <n v="130"/>
    <n v="40"/>
    <n v="40"/>
    <n v="0.30769999999999997"/>
  </r>
  <r>
    <s v="TXN-00166"/>
    <d v="2024-02-28T00:00:00"/>
    <n v="719"/>
    <s v="Colorado"/>
    <s v="Central"/>
    <s v="Major Market"/>
    <s v="Leaves"/>
    <x v="0"/>
    <x v="7"/>
    <s v="Regular"/>
    <n v="551"/>
    <n v="26"/>
    <x v="108"/>
    <n v="81"/>
    <n v="38"/>
    <n v="98"/>
    <n v="0.4975"/>
    <n v="150"/>
    <n v="60"/>
    <n v="60"/>
    <n v="0.4"/>
  </r>
  <r>
    <s v="TXN-00167"/>
    <d v="2024-02-28T00:00:00"/>
    <n v="702"/>
    <s v="Nevada"/>
    <s v="West"/>
    <s v="Small Market"/>
    <s v="Leaves"/>
    <x v="2"/>
    <x v="4"/>
    <s v="Decaf"/>
    <n v="1150"/>
    <n v="57"/>
    <x v="115"/>
    <n v="173"/>
    <n v="101"/>
    <n v="205"/>
    <n v="0.46700000000000003"/>
    <n v="380"/>
    <n v="160"/>
    <n v="130"/>
    <n v="0.34210000000000002"/>
  </r>
  <r>
    <s v="TXN-00168"/>
    <d v="2024-03-01T00:00:00"/>
    <n v="580"/>
    <s v="Oklahoma"/>
    <s v="South"/>
    <s v="Small Market"/>
    <s v="Beans"/>
    <x v="1"/>
    <x v="11"/>
    <s v="Decaf"/>
    <n v="870"/>
    <n v="9"/>
    <x v="74"/>
    <n v="33"/>
    <n v="21"/>
    <n v="28"/>
    <n v="0.34150000000000003"/>
    <n v="90"/>
    <n v="30"/>
    <n v="50"/>
    <n v="0.55559999999999998"/>
  </r>
  <r>
    <s v="TXN-00169"/>
    <d v="2024-03-01T00:00:00"/>
    <n v="337"/>
    <s v="Louisiana"/>
    <s v="South"/>
    <s v="Small Market"/>
    <s v="Beans"/>
    <x v="1"/>
    <x v="11"/>
    <s v="Decaf"/>
    <n v="863"/>
    <n v="9"/>
    <x v="89"/>
    <n v="34"/>
    <n v="20"/>
    <n v="46"/>
    <n v="0.50549999999999995"/>
    <n v="100"/>
    <n v="40"/>
    <n v="50"/>
    <n v="0.5"/>
  </r>
  <r>
    <s v="TXN-00170"/>
    <d v="2024-03-01T00:00:00"/>
    <n v="904"/>
    <s v="Florida"/>
    <s v="East"/>
    <s v="Major Market"/>
    <s v="Leaves"/>
    <x v="0"/>
    <x v="7"/>
    <s v="Regular"/>
    <n v="856"/>
    <n v="8"/>
    <x v="116"/>
    <n v="31"/>
    <n v="19"/>
    <n v="42"/>
    <n v="0.50600000000000001"/>
    <n v="80"/>
    <n v="30"/>
    <n v="40"/>
    <n v="0.5"/>
  </r>
  <r>
    <s v="TXN-00171"/>
    <d v="2024-03-01T00:00:00"/>
    <n v="781"/>
    <s v="Massachusetts"/>
    <s v="East"/>
    <s v="Major Market"/>
    <s v="Beans"/>
    <x v="3"/>
    <x v="12"/>
    <s v="Regular"/>
    <n v="1267"/>
    <n v="45"/>
    <x v="34"/>
    <n v="161"/>
    <n v="69"/>
    <n v="92"/>
    <n v="0.28570000000000001"/>
    <n v="300"/>
    <n v="140"/>
    <n v="120"/>
    <n v="0.4"/>
  </r>
  <r>
    <s v="TXN-00172"/>
    <d v="2024-03-02T00:00:00"/>
    <n v="303"/>
    <s v="Colorado"/>
    <s v="Central"/>
    <s v="Major Market"/>
    <s v="Leaves"/>
    <x v="2"/>
    <x v="8"/>
    <s v="Decaf"/>
    <n v="424"/>
    <n v="17"/>
    <x v="117"/>
    <n v="54"/>
    <n v="44"/>
    <n v="29"/>
    <n v="0.2283"/>
    <n v="110"/>
    <n v="50"/>
    <n v="30"/>
    <n v="0.2727"/>
  </r>
  <r>
    <s v="TXN-00173"/>
    <d v="2024-03-02T00:00:00"/>
    <n v="702"/>
    <s v="Nevada"/>
    <s v="West"/>
    <s v="Small Market"/>
    <s v="Beans"/>
    <x v="3"/>
    <x v="6"/>
    <s v="Decaf"/>
    <n v="800"/>
    <n v="6"/>
    <x v="118"/>
    <n v="23"/>
    <n v="18"/>
    <n v="17"/>
    <n v="0.29310000000000003"/>
    <n v="40"/>
    <n v="10"/>
    <n v="30"/>
    <n v="0.75"/>
  </r>
  <r>
    <s v="TXN-00174"/>
    <d v="2024-03-02T00:00:00"/>
    <n v="818"/>
    <s v="California"/>
    <s v="West"/>
    <s v="Major Market"/>
    <s v="Beans"/>
    <x v="1"/>
    <x v="1"/>
    <s v="Regular"/>
    <n v="2555"/>
    <n v="39"/>
    <x v="97"/>
    <n v="122"/>
    <n v="61"/>
    <n v="-74"/>
    <n v="-0.67889999999999995"/>
    <n v="150"/>
    <n v="170"/>
    <n v="-60"/>
    <n v="-0.4"/>
  </r>
  <r>
    <s v="TXN-00175"/>
    <d v="2024-03-03T00:00:00"/>
    <n v="225"/>
    <s v="Louisiana"/>
    <s v="South"/>
    <s v="Small Market"/>
    <s v="Beans"/>
    <x v="3"/>
    <x v="10"/>
    <s v="Regular"/>
    <n v="-1053"/>
    <n v="49"/>
    <x v="4"/>
    <n v="55"/>
    <n v="79"/>
    <n v="-4"/>
    <n v="-2.86E-2"/>
    <n v="100"/>
    <n v="40"/>
    <n v="0"/>
    <n v="0"/>
  </r>
  <r>
    <s v="TXN-00176"/>
    <d v="2024-03-03T00:00:00"/>
    <n v="978"/>
    <s v="Massachusetts"/>
    <s v="East"/>
    <s v="Major Market"/>
    <s v="Beans"/>
    <x v="3"/>
    <x v="9"/>
    <s v="Regular"/>
    <n v="571"/>
    <n v="42"/>
    <x v="110"/>
    <n v="47"/>
    <n v="72"/>
    <n v="-30"/>
    <n v="-0.28299999999999997"/>
    <n v="90"/>
    <n v="40"/>
    <n v="-10"/>
    <n v="-0.1111"/>
  </r>
  <r>
    <s v="TXN-00177"/>
    <d v="2024-03-03T00:00:00"/>
    <n v="936"/>
    <s v="Texas"/>
    <s v="South"/>
    <s v="Major Market"/>
    <s v="Beans"/>
    <x v="1"/>
    <x v="5"/>
    <s v="Regular"/>
    <n v="1246"/>
    <n v="74"/>
    <x v="94"/>
    <n v="239"/>
    <n v="96"/>
    <n v="185"/>
    <n v="0.35580000000000001"/>
    <n v="770"/>
    <n v="350"/>
    <n v="340"/>
    <n v="0.44159999999999999"/>
  </r>
  <r>
    <s v="TXN-00178"/>
    <d v="2024-03-03T00:00:00"/>
    <n v="321"/>
    <s v="Florida"/>
    <s v="East"/>
    <s v="Major Market"/>
    <s v="Beans"/>
    <x v="3"/>
    <x v="6"/>
    <s v="Decaf"/>
    <n v="547"/>
    <n v="28"/>
    <x v="119"/>
    <n v="86"/>
    <n v="56"/>
    <n v="89"/>
    <n v="0.41399999999999998"/>
    <n v="180"/>
    <n v="70"/>
    <n v="90"/>
    <n v="0.5"/>
  </r>
  <r>
    <s v="TXN-00179"/>
    <d v="2024-03-04T00:00:00"/>
    <n v="435"/>
    <s v="Utah"/>
    <s v="West"/>
    <s v="Small Market"/>
    <s v="Leaves"/>
    <x v="0"/>
    <x v="0"/>
    <s v="Regular"/>
    <n v="335"/>
    <n v="44"/>
    <x v="77"/>
    <n v="49"/>
    <n v="73"/>
    <n v="-4"/>
    <n v="-3.39E-2"/>
    <n v="80"/>
    <n v="30"/>
    <n v="0"/>
    <n v="0"/>
  </r>
  <r>
    <s v="TXN-00180"/>
    <d v="2024-03-05T00:00:00"/>
    <n v="325"/>
    <s v="Texas"/>
    <s v="South"/>
    <s v="Major Market"/>
    <s v="Leaves"/>
    <x v="2"/>
    <x v="2"/>
    <s v="Decaf"/>
    <n v="424"/>
    <n v="17"/>
    <x v="39"/>
    <n v="54"/>
    <n v="45"/>
    <n v="42"/>
    <n v="0.31109999999999999"/>
    <n v="110"/>
    <n v="50"/>
    <n v="30"/>
    <n v="0.2727"/>
  </r>
  <r>
    <s v="TXN-00181"/>
    <d v="2024-03-05T00:00:00"/>
    <n v="918"/>
    <s v="Oklahoma"/>
    <s v="South"/>
    <s v="Small Market"/>
    <s v="Beans"/>
    <x v="3"/>
    <x v="6"/>
    <s v="Decaf"/>
    <n v="798"/>
    <n v="25"/>
    <x v="108"/>
    <n v="78"/>
    <n v="57"/>
    <n v="62"/>
    <n v="0.31469999999999998"/>
    <n v="150"/>
    <n v="60"/>
    <n v="40"/>
    <n v="0.26669999999999999"/>
  </r>
  <r>
    <s v="TXN-00182"/>
    <d v="2024-03-05T00:00:00"/>
    <n v="562"/>
    <s v="California"/>
    <s v="West"/>
    <s v="Major Market"/>
    <s v="Beans"/>
    <x v="3"/>
    <x v="10"/>
    <s v="Regular"/>
    <n v="1755"/>
    <n v="66"/>
    <x v="120"/>
    <n v="239"/>
    <n v="90"/>
    <n v="149"/>
    <n v="0.31169999999999998"/>
    <n v="430"/>
    <n v="210"/>
    <n v="160"/>
    <n v="0.37209999999999999"/>
  </r>
  <r>
    <s v="TXN-00183"/>
    <d v="2024-03-06T00:00:00"/>
    <n v="435"/>
    <s v="Utah"/>
    <s v="West"/>
    <s v="Small Market"/>
    <s v="Beans"/>
    <x v="3"/>
    <x v="6"/>
    <s v="Decaf"/>
    <n v="885"/>
    <n v="15"/>
    <x v="19"/>
    <n v="54"/>
    <n v="26"/>
    <n v="77"/>
    <n v="0.54610000000000003"/>
    <n v="120"/>
    <n v="50"/>
    <n v="50"/>
    <n v="0.41670000000000001"/>
  </r>
  <r>
    <s v="TXN-00184"/>
    <d v="2024-03-06T00:00:00"/>
    <n v="505"/>
    <s v="New Mexico"/>
    <s v="South"/>
    <s v="Small Market"/>
    <s v="Leaves"/>
    <x v="2"/>
    <x v="2"/>
    <s v="Decaf"/>
    <n v="848"/>
    <n v="4"/>
    <x v="121"/>
    <n v="15"/>
    <n v="15"/>
    <n v="9"/>
    <n v="0.23080000000000001"/>
    <n v="30"/>
    <n v="10"/>
    <n v="10"/>
    <n v="0.33329999999999999"/>
  </r>
  <r>
    <s v="TXN-00185"/>
    <d v="2024-03-06T00:00:00"/>
    <n v="959"/>
    <s v="Connecticut"/>
    <s v="East"/>
    <s v="Small Market"/>
    <s v="Beans"/>
    <x v="1"/>
    <x v="5"/>
    <s v="Regular"/>
    <n v="1166"/>
    <n v="37"/>
    <x v="12"/>
    <n v="115"/>
    <n v="69"/>
    <n v="156"/>
    <n v="0.50649999999999995"/>
    <n v="260"/>
    <n v="100"/>
    <n v="110"/>
    <n v="0.42309999999999998"/>
  </r>
  <r>
    <s v="TXN-00186"/>
    <d v="2024-03-07T00:00:00"/>
    <n v="847"/>
    <s v="Illinois"/>
    <s v="Central"/>
    <s v="Major Market"/>
    <s v="Leaves"/>
    <x v="0"/>
    <x v="3"/>
    <s v="Regular"/>
    <n v="650"/>
    <n v="23"/>
    <x v="68"/>
    <n v="72"/>
    <n v="55"/>
    <n v="55"/>
    <n v="0.30220000000000002"/>
    <n v="130"/>
    <n v="50"/>
    <n v="50"/>
    <n v="0.3846"/>
  </r>
  <r>
    <s v="TXN-00187"/>
    <d v="2024-03-07T00:00:00"/>
    <n v="213"/>
    <s v="California"/>
    <s v="West"/>
    <s v="Major Market"/>
    <s v="Leaves"/>
    <x v="2"/>
    <x v="2"/>
    <s v="Decaf"/>
    <n v="984"/>
    <n v="22"/>
    <x v="88"/>
    <n v="81"/>
    <n v="33"/>
    <n v="84"/>
    <n v="0.42420000000000002"/>
    <n v="180"/>
    <n v="70"/>
    <n v="80"/>
    <n v="0.44440000000000002"/>
  </r>
  <r>
    <s v="TXN-00188"/>
    <d v="2024-03-08T00:00:00"/>
    <n v="435"/>
    <s v="Utah"/>
    <s v="West"/>
    <s v="Small Market"/>
    <s v="Beans"/>
    <x v="1"/>
    <x v="1"/>
    <s v="Regular"/>
    <n v="1053"/>
    <n v="20"/>
    <x v="66"/>
    <n v="65"/>
    <n v="41"/>
    <n v="53"/>
    <n v="0.35099999999999998"/>
    <n v="200"/>
    <n v="90"/>
    <n v="90"/>
    <n v="0.45"/>
  </r>
  <r>
    <s v="TXN-00189"/>
    <d v="2024-03-09T00:00:00"/>
    <n v="515"/>
    <s v="Iowa"/>
    <s v="Central"/>
    <s v="Small Market"/>
    <s v="Beans"/>
    <x v="3"/>
    <x v="9"/>
    <s v="Regular"/>
    <n v="807"/>
    <n v="6"/>
    <x v="118"/>
    <n v="23"/>
    <n v="18"/>
    <n v="17"/>
    <n v="0.29310000000000003"/>
    <n v="70"/>
    <n v="20"/>
    <n v="40"/>
    <n v="0.57140000000000002"/>
  </r>
  <r>
    <s v="TXN-00190"/>
    <d v="2024-03-09T00:00:00"/>
    <n v="309"/>
    <s v="Illinois"/>
    <s v="Central"/>
    <s v="Major Market"/>
    <s v="Leaves"/>
    <x v="0"/>
    <x v="3"/>
    <s v="Regular"/>
    <n v="659"/>
    <n v="24"/>
    <x v="9"/>
    <n v="75"/>
    <n v="55"/>
    <n v="88"/>
    <n v="0.43780000000000002"/>
    <n v="150"/>
    <n v="60"/>
    <n v="50"/>
    <n v="0.33329999999999999"/>
  </r>
  <r>
    <s v="TXN-00191"/>
    <d v="2024-03-09T00:00:00"/>
    <n v="740"/>
    <s v="Ohio"/>
    <s v="Central"/>
    <s v="Major Market"/>
    <s v="Leaves"/>
    <x v="0"/>
    <x v="3"/>
    <s v="Regular"/>
    <n v="666"/>
    <n v="31"/>
    <x v="81"/>
    <n v="102"/>
    <n v="54"/>
    <n v="132"/>
    <n v="0.50570000000000004"/>
    <n v="200"/>
    <n v="80"/>
    <n v="70"/>
    <n v="0.35"/>
  </r>
  <r>
    <s v="TXN-00192"/>
    <d v="2024-03-10T00:00:00"/>
    <n v="318"/>
    <s v="Louisiana"/>
    <s v="South"/>
    <s v="Small Market"/>
    <s v="Leaves"/>
    <x v="2"/>
    <x v="2"/>
    <s v="Decaf"/>
    <n v="564"/>
    <n v="33"/>
    <x v="122"/>
    <n v="103"/>
    <n v="46"/>
    <n v="129"/>
    <n v="0.51390000000000002"/>
    <n v="210"/>
    <n v="80"/>
    <n v="110"/>
    <n v="0.52380000000000004"/>
  </r>
  <r>
    <s v="TXN-00193"/>
    <d v="2024-03-10T00:00:00"/>
    <n v="775"/>
    <s v="Nevada"/>
    <s v="West"/>
    <s v="Small Market"/>
    <s v="Beans"/>
    <x v="3"/>
    <x v="9"/>
    <s v="Regular"/>
    <n v="851"/>
    <n v="4"/>
    <x v="123"/>
    <n v="16"/>
    <n v="15"/>
    <n v="15"/>
    <n v="0.34089999999999998"/>
    <n v="30"/>
    <n v="10"/>
    <n v="10"/>
    <n v="0.33329999999999999"/>
  </r>
  <r>
    <s v="TXN-00194"/>
    <d v="2024-03-11T00:00:00"/>
    <n v="425"/>
    <s v="Washington"/>
    <s v="West"/>
    <s v="Small Market"/>
    <s v="Leaves"/>
    <x v="2"/>
    <x v="4"/>
    <s v="Decaf"/>
    <n v="829"/>
    <n v="13"/>
    <x v="124"/>
    <n v="48"/>
    <n v="24"/>
    <n v="47"/>
    <n v="0.39500000000000002"/>
    <n v="90"/>
    <n v="30"/>
    <n v="60"/>
    <n v="0.66669999999999996"/>
  </r>
  <r>
    <s v="TXN-00195"/>
    <d v="2024-03-12T00:00:00"/>
    <n v="435"/>
    <s v="Utah"/>
    <s v="West"/>
    <s v="Small Market"/>
    <s v="Beans"/>
    <x v="3"/>
    <x v="10"/>
    <s v="Regular"/>
    <n v="844"/>
    <n v="8"/>
    <x v="125"/>
    <n v="31"/>
    <n v="20"/>
    <n v="26"/>
    <n v="0.3377"/>
    <n v="70"/>
    <n v="30"/>
    <n v="30"/>
    <n v="0.42859999999999998"/>
  </r>
  <r>
    <s v="TXN-00196"/>
    <d v="2024-03-12T00:00:00"/>
    <n v="631"/>
    <s v="New York"/>
    <s v="East"/>
    <s v="Major Market"/>
    <s v="Leaves"/>
    <x v="2"/>
    <x v="4"/>
    <s v="Decaf"/>
    <n v="1727"/>
    <n v="111"/>
    <x v="126"/>
    <n v="294"/>
    <n v="144"/>
    <n v="459"/>
    <n v="0.5766"/>
    <n v="540"/>
    <n v="220"/>
    <n v="210"/>
    <n v="0.38890000000000002"/>
  </r>
  <r>
    <s v="TXN-00197"/>
    <d v="2024-03-12T00:00:00"/>
    <n v="515"/>
    <s v="Iowa"/>
    <s v="Central"/>
    <s v="Small Market"/>
    <s v="Leaves"/>
    <x v="2"/>
    <x v="4"/>
    <s v="Decaf"/>
    <n v="789"/>
    <n v="39"/>
    <x v="38"/>
    <n v="122"/>
    <n v="62"/>
    <n v="169"/>
    <n v="0.53139999999999998"/>
    <n v="240"/>
    <n v="90"/>
    <n v="130"/>
    <n v="0.54169999999999996"/>
  </r>
  <r>
    <s v="TXN-00198"/>
    <d v="2024-03-13T00:00:00"/>
    <n v="847"/>
    <s v="Illinois"/>
    <s v="Central"/>
    <s v="Major Market"/>
    <s v="Leaves"/>
    <x v="0"/>
    <x v="0"/>
    <s v="Regular"/>
    <n v="589"/>
    <n v="14"/>
    <x v="57"/>
    <n v="50"/>
    <n v="25"/>
    <n v="48"/>
    <n v="0.39019999999999999"/>
    <n v="100"/>
    <n v="40"/>
    <n v="40"/>
    <n v="0.4"/>
  </r>
  <r>
    <s v="TXN-00199"/>
    <d v="2024-03-13T00:00:00"/>
    <n v="518"/>
    <s v="New York"/>
    <s v="East"/>
    <s v="Major Market"/>
    <s v="Leaves"/>
    <x v="2"/>
    <x v="8"/>
    <s v="Decaf"/>
    <n v="4742"/>
    <n v="69"/>
    <x v="127"/>
    <n v="225"/>
    <n v="91"/>
    <n v="-232"/>
    <n v="-1.3567"/>
    <n v="110"/>
    <n v="160"/>
    <n v="-120"/>
    <n v="-1.0909"/>
  </r>
  <r>
    <s v="TXN-00200"/>
    <d v="2024-03-13T00:00:00"/>
    <n v="206"/>
    <s v="Washington"/>
    <s v="West"/>
    <s v="Small Market"/>
    <s v="Beans"/>
    <x v="1"/>
    <x v="11"/>
    <s v="Decaf"/>
    <n v="716"/>
    <n v="95"/>
    <x v="128"/>
    <n v="105"/>
    <n v="125"/>
    <n v="30"/>
    <n v="0.1128"/>
    <n v="290"/>
    <n v="120"/>
    <n v="50"/>
    <n v="0.1724"/>
  </r>
  <r>
    <s v="TXN-00201"/>
    <d v="2024-03-14T00:00:00"/>
    <n v="603"/>
    <s v="New Hampshire"/>
    <s v="East"/>
    <s v="Small Market"/>
    <s v="Leaves"/>
    <x v="0"/>
    <x v="7"/>
    <s v="Regular"/>
    <n v="387"/>
    <n v="0"/>
    <x v="101"/>
    <n v="0"/>
    <n v="11"/>
    <n v="32"/>
    <n v="0.74419999999999997"/>
    <n v="40"/>
    <n v="0"/>
    <n v="30"/>
    <n v="0.75"/>
  </r>
  <r>
    <s v="TXN-00202"/>
    <d v="2024-03-14T00:00:00"/>
    <n v="515"/>
    <s v="Iowa"/>
    <s v="Central"/>
    <s v="Small Market"/>
    <s v="Beans"/>
    <x v="1"/>
    <x v="5"/>
    <s v="Regular"/>
    <n v="1000"/>
    <n v="9"/>
    <x v="3"/>
    <n v="31"/>
    <n v="30"/>
    <n v="10"/>
    <n v="0.1389"/>
    <n v="60"/>
    <n v="20"/>
    <n v="30"/>
    <n v="0.5"/>
  </r>
  <r>
    <s v="TXN-00203"/>
    <d v="2024-03-14T00:00:00"/>
    <n v="985"/>
    <s v="Louisiana"/>
    <s v="South"/>
    <s v="Small Market"/>
    <s v="Beans"/>
    <x v="1"/>
    <x v="11"/>
    <s v="Decaf"/>
    <n v="851"/>
    <n v="13"/>
    <x v="29"/>
    <n v="48"/>
    <n v="25"/>
    <n v="67"/>
    <n v="0.53169999999999995"/>
    <n v="160"/>
    <n v="70"/>
    <n v="80"/>
    <n v="0.5"/>
  </r>
  <r>
    <s v="TXN-00204"/>
    <d v="2024-03-14T00:00:00"/>
    <n v="740"/>
    <s v="Ohio"/>
    <s v="Central"/>
    <s v="Major Market"/>
    <s v="Beans"/>
    <x v="3"/>
    <x v="9"/>
    <s v="Regular"/>
    <n v="1319"/>
    <n v="42"/>
    <x v="61"/>
    <n v="153"/>
    <n v="66"/>
    <n v="87"/>
    <n v="0.2843"/>
    <n v="390"/>
    <n v="190"/>
    <n v="140"/>
    <n v="0.35899999999999999"/>
  </r>
  <r>
    <s v="TXN-00205"/>
    <d v="2024-03-14T00:00:00"/>
    <n v="435"/>
    <s v="Utah"/>
    <s v="West"/>
    <s v="Small Market"/>
    <s v="Leaves"/>
    <x v="0"/>
    <x v="7"/>
    <s v="Regular"/>
    <n v="218"/>
    <n v="7"/>
    <x v="129"/>
    <n v="20"/>
    <n v="40"/>
    <n v="-15"/>
    <n v="-0.33329999999999999"/>
    <n v="30"/>
    <n v="10"/>
    <n v="0"/>
    <n v="0"/>
  </r>
  <r>
    <s v="TXN-00206"/>
    <d v="2024-03-15T00:00:00"/>
    <n v="262"/>
    <s v="Wisconsin"/>
    <s v="Central"/>
    <s v="Small Market"/>
    <s v="Beans"/>
    <x v="1"/>
    <x v="1"/>
    <s v="Regular"/>
    <n v="391"/>
    <n v="20"/>
    <x v="16"/>
    <n v="54"/>
    <n v="53"/>
    <n v="14"/>
    <n v="0.1157"/>
    <n v="110"/>
    <n v="50"/>
    <n v="20"/>
    <n v="0.18179999999999999"/>
  </r>
  <r>
    <s v="TXN-00207"/>
    <d v="2024-03-15T00:00:00"/>
    <n v="206"/>
    <s v="Washington"/>
    <s v="West"/>
    <s v="Small Market"/>
    <s v="Leaves"/>
    <x v="0"/>
    <x v="7"/>
    <s v="Regular"/>
    <n v="606"/>
    <n v="54"/>
    <x v="130"/>
    <n v="60"/>
    <n v="84"/>
    <n v="0"/>
    <n v="0"/>
    <n v="60"/>
    <n v="20"/>
    <n v="10"/>
    <n v="0.16669999999999999"/>
  </r>
  <r>
    <s v="TXN-00208"/>
    <d v="2024-03-15T00:00:00"/>
    <n v="541"/>
    <s v="Oregon"/>
    <s v="West"/>
    <s v="Small Market"/>
    <s v="Leaves"/>
    <x v="0"/>
    <x v="0"/>
    <s v="Regular"/>
    <n v="490"/>
    <n v="8"/>
    <x v="28"/>
    <n v="29"/>
    <n v="19"/>
    <n v="37"/>
    <n v="0.47439999999999999"/>
    <n v="50"/>
    <n v="20"/>
    <n v="30"/>
    <n v="0.6"/>
  </r>
  <r>
    <s v="TXN-00209"/>
    <d v="2024-03-15T00:00:00"/>
    <n v="607"/>
    <s v="New York"/>
    <s v="East"/>
    <s v="Major Market"/>
    <s v="Leaves"/>
    <x v="0"/>
    <x v="7"/>
    <s v="Regular"/>
    <n v="580"/>
    <n v="21"/>
    <x v="131"/>
    <n v="76"/>
    <n v="33"/>
    <n v="116"/>
    <n v="0.58289999999999997"/>
    <n v="200"/>
    <n v="80"/>
    <n v="100"/>
    <n v="0.5"/>
  </r>
  <r>
    <s v="TXN-00210"/>
    <d v="2024-03-16T00:00:00"/>
    <n v="603"/>
    <s v="New Hampshire"/>
    <s v="East"/>
    <s v="Small Market"/>
    <s v="Leaves"/>
    <x v="0"/>
    <x v="7"/>
    <s v="Regular"/>
    <n v="344"/>
    <n v="0"/>
    <x v="101"/>
    <n v="0"/>
    <n v="11"/>
    <n v="32"/>
    <n v="0.74419999999999997"/>
    <n v="40"/>
    <n v="0"/>
    <n v="30"/>
    <n v="0.75"/>
  </r>
  <r>
    <s v="TXN-00211"/>
    <d v="2024-03-16T00:00:00"/>
    <n v="425"/>
    <s v="Washington"/>
    <s v="West"/>
    <s v="Small Market"/>
    <s v="Leaves"/>
    <x v="0"/>
    <x v="0"/>
    <s v="Regular"/>
    <n v="321"/>
    <n v="16"/>
    <x v="19"/>
    <n v="53"/>
    <n v="39"/>
    <n v="49"/>
    <n v="0.34749999999999998"/>
    <n v="100"/>
    <n v="30"/>
    <n v="50"/>
    <n v="0.5"/>
  </r>
  <r>
    <s v="TXN-00212"/>
    <d v="2024-03-16T00:00:00"/>
    <n v="971"/>
    <s v="Oregon"/>
    <s v="West"/>
    <s v="Small Market"/>
    <s v="Beans"/>
    <x v="3"/>
    <x v="6"/>
    <s v="Decaf"/>
    <n v="1319"/>
    <n v="42"/>
    <x v="61"/>
    <n v="153"/>
    <n v="66"/>
    <n v="87"/>
    <n v="0.2843"/>
    <n v="290"/>
    <n v="150"/>
    <n v="80"/>
    <n v="0.27589999999999998"/>
  </r>
  <r>
    <s v="TXN-00213"/>
    <d v="2024-03-17T00:00:00"/>
    <n v="603"/>
    <s v="New Hampshire"/>
    <s v="East"/>
    <s v="Small Market"/>
    <s v="Beans"/>
    <x v="1"/>
    <x v="1"/>
    <s v="Regular"/>
    <n v="316"/>
    <n v="14"/>
    <x v="40"/>
    <n v="46"/>
    <n v="37"/>
    <n v="45"/>
    <n v="0.375"/>
    <n v="100"/>
    <n v="40"/>
    <n v="40"/>
    <n v="0.4"/>
  </r>
  <r>
    <s v="TXN-00214"/>
    <d v="2024-03-17T00:00:00"/>
    <n v="505"/>
    <s v="New Mexico"/>
    <s v="South"/>
    <s v="Small Market"/>
    <s v="Beans"/>
    <x v="3"/>
    <x v="6"/>
    <s v="Decaf"/>
    <n v="244"/>
    <n v="12"/>
    <x v="132"/>
    <n v="39"/>
    <n v="39"/>
    <n v="14"/>
    <n v="0.1522"/>
    <n v="50"/>
    <n v="20"/>
    <n v="20"/>
    <n v="0.4"/>
  </r>
  <r>
    <s v="TXN-00215"/>
    <d v="2024-03-17T00:00:00"/>
    <n v="330"/>
    <s v="Ohio"/>
    <s v="Central"/>
    <s v="Major Market"/>
    <s v="Beans"/>
    <x v="1"/>
    <x v="1"/>
    <s v="Regular"/>
    <n v="411"/>
    <n v="19"/>
    <x v="87"/>
    <n v="59"/>
    <n v="46"/>
    <n v="33"/>
    <n v="0.23910000000000001"/>
    <n v="130"/>
    <n v="50"/>
    <n v="50"/>
    <n v="0.3846"/>
  </r>
  <r>
    <s v="TXN-00216"/>
    <d v="2024-03-17T00:00:00"/>
    <n v="920"/>
    <s v="Wisconsin"/>
    <s v="Central"/>
    <s v="Small Market"/>
    <s v="Leaves"/>
    <x v="2"/>
    <x v="2"/>
    <s v="Decaf"/>
    <n v="321"/>
    <n v="16"/>
    <x v="19"/>
    <n v="53"/>
    <n v="40"/>
    <n v="48"/>
    <n v="0.34039999999999998"/>
    <n v="130"/>
    <n v="50"/>
    <n v="50"/>
    <n v="0.3846"/>
  </r>
  <r>
    <s v="TXN-00217"/>
    <d v="2024-03-17T00:00:00"/>
    <n v="405"/>
    <s v="Oklahoma"/>
    <s v="South"/>
    <s v="Small Market"/>
    <s v="Leaves"/>
    <x v="2"/>
    <x v="4"/>
    <s v="Decaf"/>
    <n v="683"/>
    <n v="87"/>
    <x v="35"/>
    <n v="96"/>
    <n v="117"/>
    <n v="17"/>
    <n v="7.3899999999999993E-2"/>
    <n v="200"/>
    <n v="80"/>
    <n v="40"/>
    <n v="0.2"/>
  </r>
  <r>
    <s v="TXN-00218"/>
    <d v="2024-03-17T00:00:00"/>
    <n v="773"/>
    <s v="Illinois"/>
    <s v="Central"/>
    <s v="Major Market"/>
    <s v="Beans"/>
    <x v="3"/>
    <x v="6"/>
    <s v="Decaf"/>
    <n v="1755"/>
    <n v="66"/>
    <x v="133"/>
    <n v="239"/>
    <n v="90"/>
    <n v="221"/>
    <n v="0.43419999999999997"/>
    <n v="710"/>
    <n v="340"/>
    <n v="300"/>
    <n v="0.42249999999999999"/>
  </r>
  <r>
    <s v="TXN-00219"/>
    <d v="2024-03-17T00:00:00"/>
    <n v="720"/>
    <s v="Colorado"/>
    <s v="Central"/>
    <s v="Major Market"/>
    <s v="Beans"/>
    <x v="1"/>
    <x v="11"/>
    <s v="Decaf"/>
    <n v="1003"/>
    <n v="24"/>
    <x v="92"/>
    <n v="86"/>
    <n v="36"/>
    <n v="131"/>
    <n v="0.58479999999999999"/>
    <n v="200"/>
    <n v="80"/>
    <n v="90"/>
    <n v="0.45"/>
  </r>
  <r>
    <s v="TXN-00220"/>
    <d v="2024-03-17T00:00:00"/>
    <n v="916"/>
    <s v="California"/>
    <s v="West"/>
    <s v="Major Market"/>
    <s v="Beans"/>
    <x v="3"/>
    <x v="10"/>
    <s v="Regular"/>
    <n v="1820"/>
    <n v="70"/>
    <x v="72"/>
    <n v="250"/>
    <n v="94"/>
    <n v="157"/>
    <n v="0.31340000000000001"/>
    <n v="480"/>
    <n v="240"/>
    <n v="160"/>
    <n v="0.33329999999999999"/>
  </r>
  <r>
    <s v="TXN-00221"/>
    <d v="2024-03-18T00:00:00"/>
    <n v="850"/>
    <s v="Florida"/>
    <s v="East"/>
    <s v="Major Market"/>
    <s v="Leaves"/>
    <x v="0"/>
    <x v="0"/>
    <s v="Regular"/>
    <n v="871"/>
    <n v="10"/>
    <x v="64"/>
    <n v="38"/>
    <n v="21"/>
    <n v="35"/>
    <n v="0.37230000000000002"/>
    <n v="100"/>
    <n v="40"/>
    <n v="50"/>
    <n v="0.5"/>
  </r>
  <r>
    <s v="TXN-00222"/>
    <d v="2024-03-18T00:00:00"/>
    <n v="262"/>
    <s v="Wisconsin"/>
    <s v="Central"/>
    <s v="Small Market"/>
    <s v="Beans"/>
    <x v="1"/>
    <x v="11"/>
    <s v="Decaf"/>
    <n v="557"/>
    <n v="25"/>
    <x v="134"/>
    <n v="77"/>
    <n v="52"/>
    <n v="51"/>
    <n v="0.2833"/>
    <n v="170"/>
    <n v="70"/>
    <n v="60"/>
    <n v="0.35289999999999999"/>
  </r>
  <r>
    <s v="TXN-00223"/>
    <d v="2024-03-18T00:00:00"/>
    <n v="563"/>
    <s v="Iowa"/>
    <s v="Central"/>
    <s v="Small Market"/>
    <s v="Leaves"/>
    <x v="0"/>
    <x v="3"/>
    <s v="Regular"/>
    <n v="1838"/>
    <n v="111"/>
    <x v="135"/>
    <n v="294"/>
    <n v="144"/>
    <n v="321"/>
    <n v="0.46050000000000002"/>
    <n v="540"/>
    <n v="240"/>
    <n v="170"/>
    <n v="0.31480000000000002"/>
  </r>
  <r>
    <s v="TXN-00224"/>
    <d v="2024-03-19T00:00:00"/>
    <n v="580"/>
    <s v="Oklahoma"/>
    <s v="South"/>
    <s v="Small Market"/>
    <s v="Beans"/>
    <x v="1"/>
    <x v="11"/>
    <s v="Decaf"/>
    <n v="862"/>
    <n v="10"/>
    <x v="64"/>
    <n v="36"/>
    <n v="22"/>
    <n v="45"/>
    <n v="0.47870000000000001"/>
    <n v="100"/>
    <n v="40"/>
    <n v="40"/>
    <n v="0.4"/>
  </r>
  <r>
    <s v="TXN-00225"/>
    <d v="2024-03-19T00:00:00"/>
    <n v="505"/>
    <s v="New Mexico"/>
    <s v="South"/>
    <s v="Small Market"/>
    <s v="Beans"/>
    <x v="3"/>
    <x v="9"/>
    <s v="Regular"/>
    <n v="325"/>
    <n v="40"/>
    <x v="110"/>
    <n v="44"/>
    <n v="69"/>
    <n v="-7"/>
    <n v="-6.6000000000000003E-2"/>
    <n v="80"/>
    <n v="30"/>
    <n v="0"/>
    <n v="0"/>
  </r>
  <r>
    <s v="TXN-00226"/>
    <d v="2024-03-19T00:00:00"/>
    <n v="727"/>
    <s v="Florida"/>
    <s v="East"/>
    <s v="Major Market"/>
    <s v="Beans"/>
    <x v="1"/>
    <x v="11"/>
    <s v="Decaf"/>
    <n v="690"/>
    <n v="41"/>
    <x v="106"/>
    <n v="134"/>
    <n v="64"/>
    <n v="181"/>
    <n v="0.53080000000000005"/>
    <n v="280"/>
    <n v="120"/>
    <n v="110"/>
    <n v="0.39290000000000003"/>
  </r>
  <r>
    <s v="TXN-00227"/>
    <d v="2024-03-19T00:00:00"/>
    <n v="515"/>
    <s v="Iowa"/>
    <s v="Central"/>
    <s v="Small Market"/>
    <s v="Leaves"/>
    <x v="2"/>
    <x v="2"/>
    <s v="Decaf"/>
    <n v="1744"/>
    <n v="81"/>
    <x v="136"/>
    <n v="247"/>
    <n v="113"/>
    <n v="321"/>
    <n v="0.52280000000000004"/>
    <n v="530"/>
    <n v="230"/>
    <n v="200"/>
    <n v="0.37740000000000001"/>
  </r>
  <r>
    <s v="TXN-00228"/>
    <d v="2024-03-20T00:00:00"/>
    <n v="505"/>
    <s v="New Mexico"/>
    <s v="South"/>
    <s v="Small Market"/>
    <s v="Leaves"/>
    <x v="2"/>
    <x v="4"/>
    <s v="Decaf"/>
    <n v="1000"/>
    <n v="9"/>
    <x v="137"/>
    <n v="31"/>
    <n v="31"/>
    <n v="6"/>
    <n v="8.8200000000000001E-2"/>
    <n v="50"/>
    <n v="10"/>
    <n v="30"/>
    <n v="0.6"/>
  </r>
  <r>
    <s v="TXN-00229"/>
    <d v="2024-03-20T00:00:00"/>
    <n v="774"/>
    <s v="Massachusetts"/>
    <s v="East"/>
    <s v="Major Market"/>
    <s v="Beans"/>
    <x v="3"/>
    <x v="9"/>
    <s v="Regular"/>
    <n v="542"/>
    <n v="46"/>
    <x v="37"/>
    <n v="51"/>
    <n v="76"/>
    <n v="-16"/>
    <n v="-0.129"/>
    <n v="100"/>
    <n v="30"/>
    <n v="30"/>
    <n v="0.3"/>
  </r>
  <r>
    <s v="TXN-00230"/>
    <d v="2024-03-20T00:00:00"/>
    <n v="503"/>
    <s v="Oregon"/>
    <s v="West"/>
    <s v="Small Market"/>
    <s v="Leaves"/>
    <x v="0"/>
    <x v="0"/>
    <s v="Regular"/>
    <n v="482"/>
    <n v="8"/>
    <x v="138"/>
    <n v="32"/>
    <n v="20"/>
    <n v="42"/>
    <n v="0.49409999999999998"/>
    <n v="50"/>
    <n v="20"/>
    <n v="30"/>
    <n v="0.6"/>
  </r>
  <r>
    <s v="TXN-00231"/>
    <d v="2024-03-20T00:00:00"/>
    <n v="971"/>
    <s v="Oregon"/>
    <s v="West"/>
    <s v="Small Market"/>
    <s v="Leaves"/>
    <x v="2"/>
    <x v="4"/>
    <s v="Decaf"/>
    <n v="572"/>
    <n v="29"/>
    <x v="41"/>
    <n v="90"/>
    <n v="42"/>
    <n v="73"/>
    <n v="0.35610000000000003"/>
    <n v="160"/>
    <n v="60"/>
    <n v="90"/>
    <n v="0.5625"/>
  </r>
  <r>
    <s v="TXN-00232"/>
    <d v="2024-03-21T00:00:00"/>
    <n v="216"/>
    <s v="Ohio"/>
    <s v="Central"/>
    <s v="Major Market"/>
    <s v="Beans"/>
    <x v="1"/>
    <x v="11"/>
    <s v="Decaf"/>
    <n v="503"/>
    <n v="46"/>
    <x v="139"/>
    <n v="51"/>
    <n v="76"/>
    <n v="-5"/>
    <n v="-4.1000000000000002E-2"/>
    <n v="110"/>
    <n v="40"/>
    <n v="30"/>
    <n v="0.2727"/>
  </r>
  <r>
    <s v="TXN-00233"/>
    <d v="2024-03-21T00:00:00"/>
    <n v="702"/>
    <s v="Nevada"/>
    <s v="West"/>
    <s v="Small Market"/>
    <s v="Beans"/>
    <x v="3"/>
    <x v="10"/>
    <s v="Regular"/>
    <n v="430"/>
    <n v="0"/>
    <x v="101"/>
    <n v="0"/>
    <n v="11"/>
    <n v="32"/>
    <n v="0.74419999999999997"/>
    <n v="30"/>
    <n v="0"/>
    <n v="30"/>
    <n v="1"/>
  </r>
  <r>
    <s v="TXN-00234"/>
    <d v="2024-03-21T00:00:00"/>
    <n v="432"/>
    <s v="Texas"/>
    <s v="South"/>
    <s v="Major Market"/>
    <s v="Beans"/>
    <x v="1"/>
    <x v="5"/>
    <s v="Regular"/>
    <n v="1272"/>
    <n v="69"/>
    <x v="140"/>
    <n v="225"/>
    <n v="91"/>
    <n v="258"/>
    <n v="0.49430000000000002"/>
    <n v="580"/>
    <n v="260"/>
    <n v="230"/>
    <n v="0.39660000000000001"/>
  </r>
  <r>
    <s v="TXN-00235"/>
    <d v="2024-03-21T00:00:00"/>
    <n v="347"/>
    <s v="New York"/>
    <s v="East"/>
    <s v="Major Market"/>
    <s v="Beans"/>
    <x v="3"/>
    <x v="9"/>
    <s v="Regular"/>
    <n v="3385"/>
    <n v="109"/>
    <x v="141"/>
    <n v="121"/>
    <n v="142"/>
    <n v="-202"/>
    <n v="-3.3115000000000001"/>
    <n v="50"/>
    <n v="110"/>
    <n v="-190"/>
    <n v="-3.8"/>
  </r>
  <r>
    <s v="TXN-00236"/>
    <d v="2024-03-21T00:00:00"/>
    <n v="509"/>
    <s v="Washington"/>
    <s v="West"/>
    <s v="Small Market"/>
    <s v="Beans"/>
    <x v="1"/>
    <x v="11"/>
    <s v="Decaf"/>
    <n v="694"/>
    <n v="85"/>
    <x v="142"/>
    <n v="94"/>
    <n v="114"/>
    <n v="24"/>
    <n v="0.1004"/>
    <n v="260"/>
    <n v="110"/>
    <n v="40"/>
    <n v="0.15379999999999999"/>
  </r>
  <r>
    <s v="TXN-00237"/>
    <d v="2024-03-22T00:00:00"/>
    <n v="702"/>
    <s v="Nevada"/>
    <s v="West"/>
    <s v="Small Market"/>
    <s v="Beans"/>
    <x v="1"/>
    <x v="5"/>
    <s v="Regular"/>
    <n v="240"/>
    <n v="12"/>
    <x v="74"/>
    <n v="34"/>
    <n v="45"/>
    <n v="-3"/>
    <n v="-3.6600000000000001E-2"/>
    <n v="100"/>
    <n v="40"/>
    <n v="30"/>
    <n v="0.3"/>
  </r>
  <r>
    <s v="TXN-00238"/>
    <d v="2024-03-22T00:00:00"/>
    <n v="715"/>
    <s v="Wisconsin"/>
    <s v="Central"/>
    <s v="Small Market"/>
    <s v="Beans"/>
    <x v="1"/>
    <x v="1"/>
    <s v="Regular"/>
    <n v="385"/>
    <n v="21"/>
    <x v="29"/>
    <n v="56"/>
    <n v="55"/>
    <n v="15"/>
    <n v="0.11899999999999999"/>
    <n v="120"/>
    <n v="40"/>
    <n v="50"/>
    <n v="0.41670000000000001"/>
  </r>
  <r>
    <s v="TXN-00239"/>
    <d v="2024-03-22T00:00:00"/>
    <n v="815"/>
    <s v="Illinois"/>
    <s v="Central"/>
    <s v="Major Market"/>
    <s v="Beans"/>
    <x v="1"/>
    <x v="5"/>
    <s v="Regular"/>
    <n v="1150"/>
    <n v="57"/>
    <x v="115"/>
    <n v="173"/>
    <n v="100"/>
    <n v="206"/>
    <n v="0.46920000000000001"/>
    <n v="400"/>
    <n v="170"/>
    <n v="140"/>
    <n v="0.35"/>
  </r>
  <r>
    <s v="TXN-00240"/>
    <d v="2024-03-22T00:00:00"/>
    <n v="503"/>
    <s v="Oregon"/>
    <s v="West"/>
    <s v="Small Market"/>
    <s v="Beans"/>
    <x v="3"/>
    <x v="6"/>
    <s v="Decaf"/>
    <n v="1267"/>
    <n v="45"/>
    <x v="34"/>
    <n v="161"/>
    <n v="70"/>
    <n v="91"/>
    <n v="0.28260000000000002"/>
    <n v="290"/>
    <n v="140"/>
    <n v="110"/>
    <n v="0.37930000000000003"/>
  </r>
  <r>
    <s v="TXN-00241"/>
    <d v="2024-03-22T00:00:00"/>
    <n v="435"/>
    <s v="Utah"/>
    <s v="West"/>
    <s v="Small Market"/>
    <s v="Beans"/>
    <x v="1"/>
    <x v="1"/>
    <s v="Regular"/>
    <n v="1060"/>
    <n v="21"/>
    <x v="59"/>
    <n v="69"/>
    <n v="42"/>
    <n v="58"/>
    <n v="0.36249999999999999"/>
    <n v="170"/>
    <n v="80"/>
    <n v="50"/>
    <n v="0.29409999999999997"/>
  </r>
  <r>
    <s v="TXN-00242"/>
    <d v="2024-03-23T00:00:00"/>
    <n v="715"/>
    <s v="Wisconsin"/>
    <s v="Central"/>
    <s v="Small Market"/>
    <s v="Beans"/>
    <x v="1"/>
    <x v="1"/>
    <s v="Regular"/>
    <n v="403"/>
    <n v="24"/>
    <x v="143"/>
    <n v="65"/>
    <n v="58"/>
    <n v="22"/>
    <n v="0.1517"/>
    <n v="140"/>
    <n v="60"/>
    <n v="30"/>
    <n v="0.21429999999999999"/>
  </r>
  <r>
    <s v="TXN-00243"/>
    <d v="2024-03-24T00:00:00"/>
    <n v="262"/>
    <s v="Wisconsin"/>
    <s v="Central"/>
    <s v="Small Market"/>
    <s v="Leaves"/>
    <x v="0"/>
    <x v="0"/>
    <s v="Regular"/>
    <n v="449"/>
    <n v="14"/>
    <x v="40"/>
    <n v="46"/>
    <n v="37"/>
    <n v="45"/>
    <n v="0.375"/>
    <n v="70"/>
    <n v="20"/>
    <n v="40"/>
    <n v="0.57140000000000002"/>
  </r>
  <r>
    <s v="TXN-00244"/>
    <d v="2024-03-24T00:00:00"/>
    <n v="405"/>
    <s v="Oklahoma"/>
    <s v="South"/>
    <s v="Small Market"/>
    <s v="Leaves"/>
    <x v="2"/>
    <x v="2"/>
    <s v="Decaf"/>
    <n v="403"/>
    <n v="24"/>
    <x v="47"/>
    <n v="65"/>
    <n v="58"/>
    <n v="33"/>
    <n v="0.21290000000000001"/>
    <n v="130"/>
    <n v="60"/>
    <n v="20"/>
    <n v="0.15379999999999999"/>
  </r>
  <r>
    <s v="TXN-00245"/>
    <d v="2024-03-25T00:00:00"/>
    <n v="351"/>
    <s v="Massachusetts"/>
    <s v="East"/>
    <s v="Major Market"/>
    <s v="Leaves"/>
    <x v="0"/>
    <x v="7"/>
    <s v="Regular"/>
    <n v="482"/>
    <n v="8"/>
    <x v="21"/>
    <n v="32"/>
    <n v="19"/>
    <n v="29"/>
    <n v="0.36249999999999999"/>
    <n v="80"/>
    <n v="30"/>
    <n v="40"/>
    <n v="0.5"/>
  </r>
  <r>
    <s v="TXN-00246"/>
    <d v="2024-03-25T00:00:00"/>
    <n v="970"/>
    <s v="Colorado"/>
    <s v="Central"/>
    <s v="Major Market"/>
    <s v="Beans"/>
    <x v="3"/>
    <x v="9"/>
    <s v="Regular"/>
    <n v="601"/>
    <n v="15"/>
    <x v="2"/>
    <n v="54"/>
    <n v="26"/>
    <n v="53"/>
    <n v="0.39850000000000002"/>
    <n v="170"/>
    <n v="60"/>
    <n v="90"/>
    <n v="0.52939999999999998"/>
  </r>
  <r>
    <s v="TXN-00247"/>
    <d v="2024-03-25T00:00:00"/>
    <n v="715"/>
    <s v="Wisconsin"/>
    <s v="Central"/>
    <s v="Small Market"/>
    <s v="Beans"/>
    <x v="3"/>
    <x v="9"/>
    <s v="Regular"/>
    <n v="1079"/>
    <n v="24"/>
    <x v="144"/>
    <n v="80"/>
    <n v="46"/>
    <n v="50"/>
    <n v="0.28410000000000002"/>
    <n v="220"/>
    <n v="100"/>
    <n v="80"/>
    <n v="0.36359999999999998"/>
  </r>
  <r>
    <s v="TXN-00248"/>
    <d v="2024-03-26T00:00:00"/>
    <n v="715"/>
    <s v="Wisconsin"/>
    <s v="Central"/>
    <s v="Small Market"/>
    <s v="Leaves"/>
    <x v="2"/>
    <x v="4"/>
    <s v="Decaf"/>
    <n v="856"/>
    <n v="8"/>
    <x v="116"/>
    <n v="31"/>
    <n v="20"/>
    <n v="40"/>
    <n v="0.4819"/>
    <n v="70"/>
    <n v="20"/>
    <n v="40"/>
    <n v="0.57140000000000002"/>
  </r>
  <r>
    <s v="TXN-00249"/>
    <d v="2024-03-26T00:00:00"/>
    <n v="435"/>
    <s v="Utah"/>
    <s v="West"/>
    <s v="Small Market"/>
    <s v="Leaves"/>
    <x v="0"/>
    <x v="3"/>
    <s v="Regular"/>
    <n v="244"/>
    <n v="12"/>
    <x v="132"/>
    <n v="39"/>
    <n v="39"/>
    <n v="14"/>
    <n v="0.1522"/>
    <n v="40"/>
    <n v="10"/>
    <n v="20"/>
    <n v="0.5"/>
  </r>
  <r>
    <s v="TXN-00250"/>
    <d v="2024-03-26T00:00:00"/>
    <n v="580"/>
    <s v="Oklahoma"/>
    <s v="South"/>
    <s v="Small Market"/>
    <s v="Leaves"/>
    <x v="2"/>
    <x v="4"/>
    <s v="Decaf"/>
    <n v="716"/>
    <n v="95"/>
    <x v="145"/>
    <n v="105"/>
    <n v="125"/>
    <n v="20"/>
    <n v="0.08"/>
    <n v="230"/>
    <n v="90"/>
    <n v="30"/>
    <n v="0.13039999999999999"/>
  </r>
  <r>
    <s v="TXN-00251"/>
    <d v="2024-03-26T00:00:00"/>
    <n v="435"/>
    <s v="Utah"/>
    <s v="West"/>
    <s v="Small Market"/>
    <s v="Beans"/>
    <x v="1"/>
    <x v="11"/>
    <s v="Decaf"/>
    <n v="601"/>
    <n v="31"/>
    <x v="82"/>
    <n v="82"/>
    <n v="64"/>
    <n v="56"/>
    <n v="0.28570000000000001"/>
    <n v="210"/>
    <n v="90"/>
    <n v="60"/>
    <n v="0.28570000000000001"/>
  </r>
  <r>
    <s v="TXN-00252"/>
    <d v="2024-03-27T00:00:00"/>
    <n v="234"/>
    <s v="Ohio"/>
    <s v="Central"/>
    <s v="Major Market"/>
    <s v="Beans"/>
    <x v="1"/>
    <x v="1"/>
    <s v="Regular"/>
    <n v="424"/>
    <n v="17"/>
    <x v="39"/>
    <n v="54"/>
    <n v="44"/>
    <n v="43"/>
    <n v="0.31850000000000001"/>
    <n v="120"/>
    <n v="50"/>
    <n v="40"/>
    <n v="0.33329999999999999"/>
  </r>
  <r>
    <s v="TXN-00253"/>
    <d v="2024-03-28T00:00:00"/>
    <n v="636"/>
    <s v="Missouri"/>
    <s v="Central"/>
    <s v="Small Market"/>
    <s v="Beans"/>
    <x v="1"/>
    <x v="11"/>
    <s v="Decaf"/>
    <n v="1053"/>
    <n v="20"/>
    <x v="66"/>
    <n v="65"/>
    <n v="42"/>
    <n v="52"/>
    <n v="0.34439999999999998"/>
    <n v="130"/>
    <n v="50"/>
    <n v="70"/>
    <n v="0.53849999999999998"/>
  </r>
  <r>
    <s v="TXN-00254"/>
    <d v="2024-04-01T00:00:00"/>
    <n v="503"/>
    <s v="Oregon"/>
    <s v="West"/>
    <s v="Small Market"/>
    <s v="Leaves"/>
    <x v="0"/>
    <x v="7"/>
    <s v="Regular"/>
    <n v="690"/>
    <n v="41"/>
    <x v="106"/>
    <n v="134"/>
    <n v="65"/>
    <n v="180"/>
    <n v="0.52790000000000004"/>
    <n v="230"/>
    <n v="90"/>
    <n v="100"/>
    <n v="0.43480000000000002"/>
  </r>
  <r>
    <s v="TXN-00255"/>
    <d v="2024-04-02T00:00:00"/>
    <n v="630"/>
    <s v="Illinois"/>
    <s v="Central"/>
    <s v="Major Market"/>
    <s v="Leaves"/>
    <x v="0"/>
    <x v="0"/>
    <s v="Regular"/>
    <n v="601"/>
    <n v="15"/>
    <x v="146"/>
    <n v="54"/>
    <n v="26"/>
    <n v="79"/>
    <n v="0.55630000000000002"/>
    <n v="110"/>
    <n v="40"/>
    <n v="50"/>
    <n v="0.45450000000000002"/>
  </r>
  <r>
    <s v="TXN-00256"/>
    <d v="2024-04-02T00:00:00"/>
    <n v="563"/>
    <s v="Iowa"/>
    <s v="Central"/>
    <s v="Small Market"/>
    <s v="Beans"/>
    <x v="1"/>
    <x v="1"/>
    <s v="Regular"/>
    <n v="846"/>
    <n v="5"/>
    <x v="96"/>
    <n v="21"/>
    <n v="16"/>
    <n v="15"/>
    <n v="0.28849999999999998"/>
    <n v="40"/>
    <n v="10"/>
    <n v="30"/>
    <n v="0.75"/>
  </r>
  <r>
    <s v="TXN-00257"/>
    <d v="2024-04-02T00:00:00"/>
    <n v="608"/>
    <s v="Wisconsin"/>
    <s v="Central"/>
    <s v="Small Market"/>
    <s v="Beans"/>
    <x v="3"/>
    <x v="9"/>
    <s v="Regular"/>
    <n v="1055"/>
    <n v="24"/>
    <x v="147"/>
    <n v="80"/>
    <n v="46"/>
    <n v="48"/>
    <n v="0.27589999999999998"/>
    <n v="250"/>
    <n v="110"/>
    <n v="120"/>
    <n v="0.48"/>
  </r>
  <r>
    <s v="TXN-00258"/>
    <d v="2024-04-03T00:00:00"/>
    <n v="515"/>
    <s v="Iowa"/>
    <s v="Central"/>
    <s v="Small Market"/>
    <s v="Beans"/>
    <x v="3"/>
    <x v="9"/>
    <s v="Regular"/>
    <n v="807"/>
    <n v="6"/>
    <x v="148"/>
    <n v="23"/>
    <n v="18"/>
    <n v="25"/>
    <n v="0.4032"/>
    <n v="70"/>
    <n v="20"/>
    <n v="40"/>
    <n v="0.57140000000000002"/>
  </r>
  <r>
    <s v="TXN-00259"/>
    <d v="2024-04-03T00:00:00"/>
    <n v="303"/>
    <s v="Colorado"/>
    <s v="Central"/>
    <s v="Major Market"/>
    <s v="Beans"/>
    <x v="3"/>
    <x v="6"/>
    <s v="Decaf"/>
    <n v="659"/>
    <n v="24"/>
    <x v="62"/>
    <n v="75"/>
    <n v="56"/>
    <n v="58"/>
    <n v="0.30690000000000001"/>
    <n v="240"/>
    <n v="90"/>
    <n v="100"/>
    <n v="0.41670000000000001"/>
  </r>
  <r>
    <s v="TXN-00260"/>
    <d v="2024-04-04T00:00:00"/>
    <n v="959"/>
    <s v="Connecticut"/>
    <s v="East"/>
    <s v="Small Market"/>
    <s v="Beans"/>
    <x v="3"/>
    <x v="9"/>
    <s v="Regular"/>
    <n v="606"/>
    <n v="54"/>
    <x v="130"/>
    <n v="60"/>
    <n v="83"/>
    <n v="1"/>
    <n v="6.4999999999999997E-3"/>
    <n v="130"/>
    <n v="40"/>
    <n v="40"/>
    <n v="0.30769999999999997"/>
  </r>
  <r>
    <s v="TXN-00261"/>
    <d v="2024-04-04T00:00:00"/>
    <n v="754"/>
    <s v="Florida"/>
    <s v="East"/>
    <s v="Major Market"/>
    <s v="Beans"/>
    <x v="1"/>
    <x v="5"/>
    <s v="Regular"/>
    <n v="817"/>
    <n v="29"/>
    <x v="149"/>
    <n v="88"/>
    <n v="60"/>
    <n v="73"/>
    <n v="0.33029999999999998"/>
    <n v="190"/>
    <n v="70"/>
    <n v="80"/>
    <n v="0.42109999999999997"/>
  </r>
  <r>
    <s v="TXN-00262"/>
    <d v="2024-04-04T00:00:00"/>
    <n v="857"/>
    <s v="Massachusetts"/>
    <s v="East"/>
    <s v="Major Market"/>
    <s v="Beans"/>
    <x v="3"/>
    <x v="12"/>
    <s v="Regular"/>
    <n v="1319"/>
    <n v="42"/>
    <x v="109"/>
    <n v="153"/>
    <n v="66"/>
    <n v="129"/>
    <n v="0.3957"/>
    <n v="290"/>
    <n v="150"/>
    <n v="80"/>
    <n v="0.27589999999999998"/>
  </r>
  <r>
    <s v="TXN-00263"/>
    <d v="2024-04-05T00:00:00"/>
    <n v="509"/>
    <s v="Washington"/>
    <s v="West"/>
    <s v="Small Market"/>
    <s v="Leaves"/>
    <x v="0"/>
    <x v="7"/>
    <s v="Regular"/>
    <n v="627"/>
    <n v="49"/>
    <x v="4"/>
    <n v="55"/>
    <n v="79"/>
    <n v="-4"/>
    <n v="-2.86E-2"/>
    <n v="90"/>
    <n v="40"/>
    <n v="-10"/>
    <n v="-0.1111"/>
  </r>
  <r>
    <s v="TXN-00264"/>
    <d v="2024-04-05T00:00:00"/>
    <n v="970"/>
    <s v="Colorado"/>
    <s v="Central"/>
    <s v="Major Market"/>
    <s v="Beans"/>
    <x v="1"/>
    <x v="11"/>
    <s v="Decaf"/>
    <n v="984"/>
    <n v="22"/>
    <x v="88"/>
    <n v="81"/>
    <n v="33"/>
    <n v="84"/>
    <n v="0.42420000000000002"/>
    <n v="190"/>
    <n v="80"/>
    <n v="80"/>
    <n v="0.42109999999999997"/>
  </r>
  <r>
    <s v="TXN-00265"/>
    <d v="2024-04-05T00:00:00"/>
    <n v="971"/>
    <s v="Oregon"/>
    <s v="West"/>
    <s v="Small Market"/>
    <s v="Beans"/>
    <x v="3"/>
    <x v="6"/>
    <s v="Decaf"/>
    <n v="1283"/>
    <n v="50"/>
    <x v="65"/>
    <n v="181"/>
    <n v="74"/>
    <n v="160"/>
    <n v="0.41339999999999999"/>
    <n v="350"/>
    <n v="170"/>
    <n v="120"/>
    <n v="0.34289999999999998"/>
  </r>
  <r>
    <s v="TXN-00266"/>
    <d v="2024-04-05T00:00:00"/>
    <n v="253"/>
    <s v="Washington"/>
    <s v="West"/>
    <s v="Small Market"/>
    <s v="Beans"/>
    <x v="1"/>
    <x v="5"/>
    <s v="Regular"/>
    <n v="446"/>
    <n v="20"/>
    <x v="150"/>
    <n v="63"/>
    <n v="43"/>
    <n v="74"/>
    <n v="0.44579999999999997"/>
    <n v="180"/>
    <n v="70"/>
    <n v="70"/>
    <n v="0.38890000000000002"/>
  </r>
  <r>
    <s v="TXN-00267"/>
    <d v="2024-04-05T00:00:00"/>
    <n v="775"/>
    <s v="Nevada"/>
    <s v="West"/>
    <s v="Small Market"/>
    <s v="Leaves"/>
    <x v="0"/>
    <x v="0"/>
    <s v="Regular"/>
    <n v="1691"/>
    <n v="75"/>
    <x v="103"/>
    <n v="228"/>
    <n v="108"/>
    <n v="291"/>
    <n v="0.51319999999999999"/>
    <n v="380"/>
    <n v="160"/>
    <n v="140"/>
    <n v="0.36840000000000001"/>
  </r>
  <r>
    <s v="TXN-00268"/>
    <d v="2024-04-05T00:00:00"/>
    <n v="949"/>
    <s v="California"/>
    <s v="West"/>
    <s v="Major Market"/>
    <s v="Beans"/>
    <x v="3"/>
    <x v="10"/>
    <s v="Regular"/>
    <n v="1820"/>
    <n v="70"/>
    <x v="85"/>
    <n v="250"/>
    <n v="94"/>
    <n v="233"/>
    <n v="0.43630000000000002"/>
    <n v="480"/>
    <n v="240"/>
    <n v="160"/>
    <n v="0.33329999999999999"/>
  </r>
  <r>
    <s v="TXN-00269"/>
    <d v="2024-04-06T00:00:00"/>
    <n v="303"/>
    <s v="Colorado"/>
    <s v="Central"/>
    <s v="Major Market"/>
    <s v="Leaves"/>
    <x v="2"/>
    <x v="4"/>
    <s v="Decaf"/>
    <n v="509"/>
    <n v="47"/>
    <x v="151"/>
    <n v="52"/>
    <n v="77"/>
    <n v="-4"/>
    <n v="-3.2000000000000001E-2"/>
    <n v="110"/>
    <n v="40"/>
    <n v="10"/>
    <n v="9.0899999999999995E-2"/>
  </r>
  <r>
    <s v="TXN-00270"/>
    <d v="2024-04-06T00:00:00"/>
    <n v="772"/>
    <s v="Florida"/>
    <s v="East"/>
    <s v="Major Market"/>
    <s v="Beans"/>
    <x v="1"/>
    <x v="11"/>
    <s v="Decaf"/>
    <n v="666"/>
    <n v="31"/>
    <x v="152"/>
    <n v="102"/>
    <n v="54"/>
    <n v="89"/>
    <n v="0.36330000000000001"/>
    <n v="220"/>
    <n v="90"/>
    <n v="90"/>
    <n v="0.40910000000000002"/>
  </r>
  <r>
    <s v="TXN-00271"/>
    <d v="2024-04-06T00:00:00"/>
    <n v="330"/>
    <s v="Ohio"/>
    <s v="Central"/>
    <s v="Major Market"/>
    <s v="Leaves"/>
    <x v="0"/>
    <x v="0"/>
    <s v="Regular"/>
    <n v="798"/>
    <n v="25"/>
    <x v="108"/>
    <n v="78"/>
    <n v="57"/>
    <n v="62"/>
    <n v="0.31469999999999998"/>
    <n v="160"/>
    <n v="60"/>
    <n v="60"/>
    <n v="0.375"/>
  </r>
  <r>
    <s v="TXN-00272"/>
    <d v="2024-04-06T00:00:00"/>
    <n v="262"/>
    <s v="Wisconsin"/>
    <s v="Central"/>
    <s v="Small Market"/>
    <s v="Beans"/>
    <x v="3"/>
    <x v="9"/>
    <s v="Regular"/>
    <n v="1079"/>
    <n v="24"/>
    <x v="5"/>
    <n v="80"/>
    <n v="46"/>
    <n v="74"/>
    <n v="0.39360000000000001"/>
    <n v="220"/>
    <n v="100"/>
    <n v="80"/>
    <n v="0.36359999999999998"/>
  </r>
  <r>
    <s v="TXN-00273"/>
    <d v="2024-04-07T00:00:00"/>
    <n v="603"/>
    <s v="New Hampshire"/>
    <s v="East"/>
    <s v="Small Market"/>
    <s v="Beans"/>
    <x v="3"/>
    <x v="9"/>
    <s v="Regular"/>
    <n v="325"/>
    <n v="40"/>
    <x v="153"/>
    <n v="44"/>
    <n v="70"/>
    <n v="-12"/>
    <n v="-0.1062"/>
    <n v="100"/>
    <n v="40"/>
    <n v="10"/>
    <n v="0.1"/>
  </r>
  <r>
    <s v="TXN-00274"/>
    <d v="2024-04-07T00:00:00"/>
    <n v="352"/>
    <s v="Florida"/>
    <s v="East"/>
    <s v="Major Market"/>
    <s v="Leaves"/>
    <x v="0"/>
    <x v="0"/>
    <s v="Regular"/>
    <n v="875"/>
    <n v="7"/>
    <x v="154"/>
    <n v="28"/>
    <n v="19"/>
    <n v="23"/>
    <n v="0.3286"/>
    <n v="70"/>
    <n v="20"/>
    <n v="40"/>
    <n v="0.57140000000000002"/>
  </r>
  <r>
    <s v="TXN-00275"/>
    <d v="2024-04-07T00:00:00"/>
    <n v="956"/>
    <s v="Texas"/>
    <s v="South"/>
    <s v="Major Market"/>
    <s v="Beans"/>
    <x v="1"/>
    <x v="5"/>
    <s v="Regular"/>
    <n v="1272"/>
    <n v="69"/>
    <x v="155"/>
    <n v="225"/>
    <n v="91"/>
    <n v="174"/>
    <n v="0.35510000000000003"/>
    <n v="580"/>
    <n v="260"/>
    <n v="230"/>
    <n v="0.39660000000000001"/>
  </r>
  <r>
    <s v="TXN-00276"/>
    <d v="2024-04-07T00:00:00"/>
    <n v="951"/>
    <s v="California"/>
    <s v="West"/>
    <s v="Major Market"/>
    <s v="Beans"/>
    <x v="1"/>
    <x v="11"/>
    <s v="Decaf"/>
    <n v="4216"/>
    <n v="73"/>
    <x v="41"/>
    <n v="224"/>
    <n v="117"/>
    <n v="-221"/>
    <n v="-1.0780000000000001"/>
    <n v="220"/>
    <n v="260"/>
    <n v="-150"/>
    <n v="-0.68179999999999996"/>
  </r>
  <r>
    <s v="TXN-00277"/>
    <d v="2024-04-08T00:00:00"/>
    <n v="580"/>
    <s v="Oklahoma"/>
    <s v="South"/>
    <s v="Small Market"/>
    <s v="Leaves"/>
    <x v="2"/>
    <x v="2"/>
    <s v="Decaf"/>
    <n v="391"/>
    <n v="20"/>
    <x v="93"/>
    <n v="54"/>
    <n v="54"/>
    <n v="19"/>
    <n v="0.14729999999999999"/>
    <n v="110"/>
    <n v="50"/>
    <n v="20"/>
    <n v="0.18179999999999999"/>
  </r>
  <r>
    <s v="TXN-00278"/>
    <d v="2024-04-08T00:00:00"/>
    <n v="660"/>
    <s v="Missouri"/>
    <s v="Central"/>
    <s v="Small Market"/>
    <s v="Leaves"/>
    <x v="0"/>
    <x v="7"/>
    <s v="Regular"/>
    <n v="250"/>
    <n v="14"/>
    <x v="64"/>
    <n v="39"/>
    <n v="47"/>
    <n v="3"/>
    <n v="3.1899999999999998E-2"/>
    <n v="70"/>
    <n v="30"/>
    <n v="0"/>
    <n v="0"/>
  </r>
  <r>
    <s v="TXN-00279"/>
    <d v="2024-04-08T00:00:00"/>
    <n v="857"/>
    <s v="Massachusetts"/>
    <s v="East"/>
    <s v="Major Market"/>
    <s v="Beans"/>
    <x v="1"/>
    <x v="5"/>
    <s v="Regular"/>
    <n v="-3004"/>
    <n v="23"/>
    <x v="156"/>
    <n v="72"/>
    <n v="54"/>
    <n v="348"/>
    <n v="0.73419999999999996"/>
    <n v="400"/>
    <n v="50"/>
    <n v="330"/>
    <n v="0.82499999999999996"/>
  </r>
  <r>
    <s v="TXN-00280"/>
    <d v="2024-04-09T00:00:00"/>
    <n v="312"/>
    <s v="Illinois"/>
    <s v="Central"/>
    <s v="Major Market"/>
    <s v="Leaves"/>
    <x v="2"/>
    <x v="4"/>
    <s v="Decaf"/>
    <n v="541"/>
    <n v="12"/>
    <x v="157"/>
    <n v="39"/>
    <n v="24"/>
    <n v="40"/>
    <n v="0.41670000000000001"/>
    <n v="60"/>
    <n v="20"/>
    <n v="40"/>
    <n v="0.66669999999999996"/>
  </r>
  <r>
    <s v="TXN-00281"/>
    <d v="2024-04-09T00:00:00"/>
    <n v="815"/>
    <s v="Illinois"/>
    <s v="Central"/>
    <s v="Major Market"/>
    <s v="Leaves"/>
    <x v="2"/>
    <x v="8"/>
    <s v="Decaf"/>
    <n v="971"/>
    <n v="30"/>
    <x v="79"/>
    <n v="108"/>
    <n v="41"/>
    <n v="172"/>
    <n v="0.6099"/>
    <n v="210"/>
    <n v="80"/>
    <n v="120"/>
    <n v="0.57140000000000002"/>
  </r>
  <r>
    <s v="TXN-00282"/>
    <d v="2024-04-11T00:00:00"/>
    <n v="505"/>
    <s v="New Mexico"/>
    <s v="South"/>
    <s v="Small Market"/>
    <s v="Beans"/>
    <x v="3"/>
    <x v="6"/>
    <s v="Decaf"/>
    <n v="248"/>
    <n v="11"/>
    <x v="74"/>
    <n v="35"/>
    <n v="39"/>
    <n v="8"/>
    <n v="9.7600000000000006E-2"/>
    <n v="60"/>
    <n v="20"/>
    <n v="20"/>
    <n v="0.33329999999999999"/>
  </r>
  <r>
    <s v="TXN-00283"/>
    <d v="2024-04-11T00:00:00"/>
    <n v="718"/>
    <s v="New York"/>
    <s v="East"/>
    <s v="Major Market"/>
    <s v="Leaves"/>
    <x v="0"/>
    <x v="7"/>
    <s v="Regular"/>
    <n v="589"/>
    <n v="14"/>
    <x v="57"/>
    <n v="50"/>
    <n v="26"/>
    <n v="47"/>
    <n v="0.3821"/>
    <n v="120"/>
    <n v="50"/>
    <n v="50"/>
    <n v="0.41670000000000001"/>
  </r>
  <r>
    <s v="TXN-00284"/>
    <d v="2024-04-11T00:00:00"/>
    <n v="573"/>
    <s v="Missouri"/>
    <s v="Central"/>
    <s v="Small Market"/>
    <s v="Beans"/>
    <x v="1"/>
    <x v="5"/>
    <s v="Regular"/>
    <n v="619"/>
    <n v="25"/>
    <x v="130"/>
    <n v="68"/>
    <n v="59"/>
    <n v="26"/>
    <n v="0.1699"/>
    <n v="150"/>
    <n v="60"/>
    <n v="40"/>
    <n v="0.26669999999999999"/>
  </r>
  <r>
    <s v="TXN-00285"/>
    <d v="2024-04-11T00:00:00"/>
    <n v="626"/>
    <s v="California"/>
    <s v="West"/>
    <s v="Major Market"/>
    <s v="Beans"/>
    <x v="1"/>
    <x v="11"/>
    <s v="Decaf"/>
    <n v="3909"/>
    <n v="57"/>
    <x v="158"/>
    <n v="173"/>
    <n v="100"/>
    <n v="-188"/>
    <n v="-1.2051000000000001"/>
    <n v="170"/>
    <n v="200"/>
    <n v="-130"/>
    <n v="-0.76470000000000005"/>
  </r>
  <r>
    <s v="TXN-00286"/>
    <d v="2024-04-12T00:00:00"/>
    <n v="505"/>
    <s v="New Mexico"/>
    <s v="South"/>
    <s v="Small Market"/>
    <s v="Beans"/>
    <x v="3"/>
    <x v="10"/>
    <s v="Regular"/>
    <n v="-522"/>
    <n v="12"/>
    <x v="159"/>
    <n v="34"/>
    <n v="46"/>
    <n v="-4"/>
    <n v="-5.2600000000000001E-2"/>
    <n v="50"/>
    <n v="20"/>
    <n v="-10"/>
    <n v="-0.2"/>
  </r>
  <r>
    <s v="TXN-00287"/>
    <d v="2024-04-12T00:00:00"/>
    <n v="225"/>
    <s v="Louisiana"/>
    <s v="South"/>
    <s v="Small Market"/>
    <s v="Beans"/>
    <x v="1"/>
    <x v="5"/>
    <s v="Regular"/>
    <n v="834"/>
    <n v="13"/>
    <x v="160"/>
    <n v="47"/>
    <n v="24"/>
    <n v="44"/>
    <n v="0.3826"/>
    <n v="130"/>
    <n v="50"/>
    <n v="60"/>
    <n v="0.46150000000000002"/>
  </r>
  <r>
    <s v="TXN-00288"/>
    <d v="2024-04-12T00:00:00"/>
    <n v="505"/>
    <s v="New Mexico"/>
    <s v="South"/>
    <s v="Small Market"/>
    <s v="Beans"/>
    <x v="1"/>
    <x v="5"/>
    <s v="Regular"/>
    <n v="462"/>
    <n v="15"/>
    <x v="139"/>
    <n v="48"/>
    <n v="47"/>
    <n v="27"/>
    <n v="0.2213"/>
    <n v="140"/>
    <n v="50"/>
    <n v="50"/>
    <n v="0.35709999999999997"/>
  </r>
  <r>
    <s v="TXN-00289"/>
    <d v="2024-04-12T00:00:00"/>
    <n v="951"/>
    <s v="California"/>
    <s v="West"/>
    <s v="Major Market"/>
    <s v="Beans"/>
    <x v="1"/>
    <x v="5"/>
    <s v="Regular"/>
    <n v="2580"/>
    <n v="87"/>
    <x v="161"/>
    <n v="249"/>
    <n v="139"/>
    <n v="235"/>
    <n v="0.37719999999999998"/>
    <n v="740"/>
    <n v="290"/>
    <n v="310"/>
    <n v="0.41889999999999999"/>
  </r>
  <r>
    <s v="TXN-00290"/>
    <d v="2024-04-13T00:00:00"/>
    <n v="603"/>
    <s v="New Hampshire"/>
    <s v="East"/>
    <s v="Small Market"/>
    <s v="Beans"/>
    <x v="1"/>
    <x v="5"/>
    <s v="Regular"/>
    <n v="462"/>
    <n v="15"/>
    <x v="139"/>
    <n v="48"/>
    <n v="46"/>
    <n v="28"/>
    <n v="0.22950000000000001"/>
    <n v="100"/>
    <n v="40"/>
    <n v="30"/>
    <n v="0.3"/>
  </r>
  <r>
    <s v="TXN-00291"/>
    <d v="2024-04-13T00:00:00"/>
    <n v="209"/>
    <s v="California"/>
    <s v="West"/>
    <s v="Major Market"/>
    <s v="Leaves"/>
    <x v="2"/>
    <x v="8"/>
    <s v="Decaf"/>
    <n v="541"/>
    <n v="12"/>
    <x v="162"/>
    <n v="39"/>
    <n v="25"/>
    <n v="26"/>
    <n v="0.28889999999999999"/>
    <n v="60"/>
    <n v="20"/>
    <n v="40"/>
    <n v="0.66669999999999996"/>
  </r>
  <r>
    <s v="TXN-00292"/>
    <d v="2024-04-13T00:00:00"/>
    <n v="509"/>
    <s v="Washington"/>
    <s v="West"/>
    <s v="Small Market"/>
    <s v="Beans"/>
    <x v="1"/>
    <x v="11"/>
    <s v="Decaf"/>
    <n v="716"/>
    <n v="95"/>
    <x v="145"/>
    <n v="105"/>
    <n v="125"/>
    <n v="20"/>
    <n v="0.08"/>
    <n v="290"/>
    <n v="120"/>
    <n v="50"/>
    <n v="0.1724"/>
  </r>
  <r>
    <s v="TXN-00293"/>
    <d v="2024-04-13T00:00:00"/>
    <n v="661"/>
    <s v="California"/>
    <s v="West"/>
    <s v="Major Market"/>
    <s v="Leaves"/>
    <x v="2"/>
    <x v="4"/>
    <s v="Decaf"/>
    <n v="1321"/>
    <n v="74"/>
    <x v="31"/>
    <n v="241"/>
    <n v="96"/>
    <n v="279"/>
    <n v="0.49909999999999999"/>
    <n v="480"/>
    <n v="220"/>
    <n v="170"/>
    <n v="0.35420000000000001"/>
  </r>
  <r>
    <s v="TXN-00294"/>
    <d v="2024-04-14T00:00:00"/>
    <n v="573"/>
    <s v="Missouri"/>
    <s v="Central"/>
    <s v="Small Market"/>
    <s v="Leaves"/>
    <x v="2"/>
    <x v="2"/>
    <s v="Decaf"/>
    <n v="320"/>
    <n v="41"/>
    <x v="97"/>
    <n v="45"/>
    <n v="70"/>
    <n v="-6"/>
    <n v="-5.5E-2"/>
    <n v="80"/>
    <n v="20"/>
    <n v="30"/>
    <n v="0.375"/>
  </r>
  <r>
    <s v="TXN-00295"/>
    <d v="2024-04-14T00:00:00"/>
    <n v="518"/>
    <s v="New York"/>
    <s v="East"/>
    <s v="Major Market"/>
    <s v="Leaves"/>
    <x v="0"/>
    <x v="7"/>
    <s v="Regular"/>
    <n v="580"/>
    <n v="21"/>
    <x v="163"/>
    <n v="76"/>
    <n v="33"/>
    <n v="78"/>
    <n v="0.41710000000000003"/>
    <n v="200"/>
    <n v="80"/>
    <n v="100"/>
    <n v="0.5"/>
  </r>
  <r>
    <s v="TXN-00296"/>
    <d v="2024-04-14T00:00:00"/>
    <n v="513"/>
    <s v="Ohio"/>
    <s v="Central"/>
    <s v="Major Market"/>
    <s v="Beans"/>
    <x v="3"/>
    <x v="9"/>
    <s v="Regular"/>
    <n v="1267"/>
    <n v="45"/>
    <x v="63"/>
    <n v="161"/>
    <n v="69"/>
    <n v="137"/>
    <n v="0.39939999999999998"/>
    <n v="470"/>
    <n v="230"/>
    <n v="190"/>
    <n v="0.40429999999999999"/>
  </r>
  <r>
    <s v="TXN-00297"/>
    <d v="2024-04-15T00:00:00"/>
    <n v="430"/>
    <s v="Texas"/>
    <s v="South"/>
    <s v="Major Market"/>
    <s v="Beans"/>
    <x v="3"/>
    <x v="6"/>
    <s v="Decaf"/>
    <n v="601"/>
    <n v="15"/>
    <x v="146"/>
    <n v="54"/>
    <n v="27"/>
    <n v="77"/>
    <n v="0.5423"/>
    <n v="100"/>
    <n v="40"/>
    <n v="40"/>
    <n v="0.4"/>
  </r>
  <r>
    <s v="TXN-00298"/>
    <d v="2024-04-16T00:00:00"/>
    <n v="636"/>
    <s v="Missouri"/>
    <s v="Central"/>
    <s v="Small Market"/>
    <s v="Beans"/>
    <x v="1"/>
    <x v="11"/>
    <s v="Decaf"/>
    <n v="1075"/>
    <n v="19"/>
    <x v="164"/>
    <n v="63"/>
    <n v="40"/>
    <n v="53"/>
    <n v="0.35809999999999997"/>
    <n v="130"/>
    <n v="60"/>
    <n v="40"/>
    <n v="0.30769999999999997"/>
  </r>
  <r>
    <s v="TXN-00299"/>
    <d v="2024-04-16T00:00:00"/>
    <n v="339"/>
    <s v="Massachusetts"/>
    <s v="East"/>
    <s v="Major Market"/>
    <s v="Leaves"/>
    <x v="2"/>
    <x v="4"/>
    <s v="Decaf"/>
    <n v="404"/>
    <n v="20"/>
    <x v="0"/>
    <n v="54"/>
    <n v="53"/>
    <n v="19"/>
    <n v="0.1484"/>
    <n v="60"/>
    <n v="30"/>
    <n v="20"/>
    <n v="0.33329999999999999"/>
  </r>
  <r>
    <s v="TXN-00300"/>
    <d v="2024-04-16T00:00:00"/>
    <n v="857"/>
    <s v="Massachusetts"/>
    <s v="East"/>
    <s v="Major Market"/>
    <s v="Beans"/>
    <x v="1"/>
    <x v="5"/>
    <s v="Regular"/>
    <n v="-3004"/>
    <n v="23"/>
    <x v="165"/>
    <n v="72"/>
    <n v="54"/>
    <n v="516"/>
    <n v="1.0218"/>
    <n v="400"/>
    <n v="50"/>
    <n v="330"/>
    <n v="0.82499999999999996"/>
  </r>
  <r>
    <s v="TXN-00301"/>
    <d v="2024-04-17T00:00:00"/>
    <n v="253"/>
    <s v="Washington"/>
    <s v="West"/>
    <s v="Small Market"/>
    <s v="Beans"/>
    <x v="3"/>
    <x v="10"/>
    <s v="Regular"/>
    <n v="567"/>
    <n v="7"/>
    <x v="166"/>
    <n v="24"/>
    <n v="19"/>
    <n v="13"/>
    <n v="0.2321"/>
    <n v="50"/>
    <n v="20"/>
    <n v="20"/>
    <n v="0.4"/>
  </r>
  <r>
    <s v="TXN-00302"/>
    <d v="2024-04-17T00:00:00"/>
    <n v="607"/>
    <s v="New York"/>
    <s v="East"/>
    <s v="Major Market"/>
    <s v="Leaves"/>
    <x v="2"/>
    <x v="4"/>
    <s v="Decaf"/>
    <n v="1727"/>
    <n v="111"/>
    <x v="167"/>
    <n v="294"/>
    <n v="144"/>
    <n v="309"/>
    <n v="0.41370000000000001"/>
    <n v="540"/>
    <n v="220"/>
    <n v="210"/>
    <n v="0.38890000000000002"/>
  </r>
  <r>
    <s v="TXN-00303"/>
    <d v="2024-04-17T00:00:00"/>
    <n v="630"/>
    <s v="Illinois"/>
    <s v="Central"/>
    <s v="Major Market"/>
    <s v="Beans"/>
    <x v="3"/>
    <x v="9"/>
    <s v="Regular"/>
    <n v="1691"/>
    <n v="75"/>
    <x v="103"/>
    <n v="228"/>
    <n v="108"/>
    <n v="291"/>
    <n v="0.51319999999999999"/>
    <n v="680"/>
    <n v="290"/>
    <n v="290"/>
    <n v="0.42649999999999999"/>
  </r>
  <r>
    <s v="TXN-00304"/>
    <d v="2024-04-18T00:00:00"/>
    <n v="253"/>
    <s v="Washington"/>
    <s v="West"/>
    <s v="Small Market"/>
    <s v="Leaves"/>
    <x v="2"/>
    <x v="4"/>
    <s v="Decaf"/>
    <n v="834"/>
    <n v="13"/>
    <x v="57"/>
    <n v="47"/>
    <n v="24"/>
    <n v="65"/>
    <n v="0.52849999999999997"/>
    <n v="100"/>
    <n v="40"/>
    <n v="40"/>
    <n v="0.4"/>
  </r>
  <r>
    <s v="TXN-00305"/>
    <d v="2024-04-18T00:00:00"/>
    <n v="515"/>
    <s v="Iowa"/>
    <s v="Central"/>
    <s v="Small Market"/>
    <s v="Beans"/>
    <x v="3"/>
    <x v="9"/>
    <s v="Regular"/>
    <n v="802"/>
    <n v="6"/>
    <x v="26"/>
    <n v="22"/>
    <n v="18"/>
    <n v="24"/>
    <n v="0.4"/>
    <n v="70"/>
    <n v="20"/>
    <n v="40"/>
    <n v="0.57140000000000002"/>
  </r>
  <r>
    <s v="TXN-00306"/>
    <d v="2024-04-18T00:00:00"/>
    <n v="419"/>
    <s v="Ohio"/>
    <s v="Central"/>
    <s v="Major Market"/>
    <s v="Leaves"/>
    <x v="0"/>
    <x v="3"/>
    <s v="Regular"/>
    <n v="666"/>
    <n v="31"/>
    <x v="152"/>
    <n v="102"/>
    <n v="54"/>
    <n v="89"/>
    <n v="0.36330000000000001"/>
    <n v="200"/>
    <n v="80"/>
    <n v="70"/>
    <n v="0.35"/>
  </r>
  <r>
    <s v="TXN-00307"/>
    <d v="2024-04-19T00:00:00"/>
    <n v="603"/>
    <s v="New Hampshire"/>
    <s v="East"/>
    <s v="Small Market"/>
    <s v="Beans"/>
    <x v="1"/>
    <x v="1"/>
    <s v="Regular"/>
    <n v="310"/>
    <n v="15"/>
    <x v="0"/>
    <n v="49"/>
    <n v="38"/>
    <n v="49"/>
    <n v="0.38279999999999997"/>
    <n v="90"/>
    <n v="30"/>
    <n v="60"/>
    <n v="0.66669999999999996"/>
  </r>
  <r>
    <s v="TXN-00308"/>
    <d v="2024-04-19T00:00:00"/>
    <n v="318"/>
    <s v="Louisiana"/>
    <s v="South"/>
    <s v="Small Market"/>
    <s v="Beans"/>
    <x v="3"/>
    <x v="6"/>
    <s v="Decaf"/>
    <n v="449"/>
    <n v="14"/>
    <x v="40"/>
    <n v="46"/>
    <n v="37"/>
    <n v="45"/>
    <n v="0.375"/>
    <n v="60"/>
    <n v="20"/>
    <n v="40"/>
    <n v="0.66669999999999996"/>
  </r>
  <r>
    <s v="TXN-00309"/>
    <d v="2024-04-19T00:00:00"/>
    <n v="580"/>
    <s v="Oklahoma"/>
    <s v="South"/>
    <s v="Small Market"/>
    <s v="Leaves"/>
    <x v="2"/>
    <x v="2"/>
    <s v="Decaf"/>
    <n v="385"/>
    <n v="21"/>
    <x v="168"/>
    <n v="56"/>
    <n v="54"/>
    <n v="24"/>
    <n v="0.17910000000000001"/>
    <n v="110"/>
    <n v="40"/>
    <n v="50"/>
    <n v="0.45450000000000002"/>
  </r>
  <r>
    <s v="TXN-00310"/>
    <d v="2024-04-19T00:00:00"/>
    <n v="253"/>
    <s v="Washington"/>
    <s v="West"/>
    <s v="Small Market"/>
    <s v="Beans"/>
    <x v="3"/>
    <x v="10"/>
    <s v="Regular"/>
    <n v="570"/>
    <n v="7"/>
    <x v="96"/>
    <n v="22"/>
    <n v="19"/>
    <n v="11"/>
    <n v="0.21149999999999999"/>
    <n v="50"/>
    <n v="20"/>
    <n v="20"/>
    <n v="0.4"/>
  </r>
  <r>
    <s v="TXN-00311"/>
    <d v="2024-04-19T00:00:00"/>
    <n v="614"/>
    <s v="Ohio"/>
    <s v="Central"/>
    <s v="Major Market"/>
    <s v="Leaves"/>
    <x v="0"/>
    <x v="0"/>
    <s v="Regular"/>
    <n v="798"/>
    <n v="25"/>
    <x v="169"/>
    <n v="78"/>
    <n v="57"/>
    <n v="92"/>
    <n v="0.43809999999999999"/>
    <n v="160"/>
    <n v="60"/>
    <n v="60"/>
    <n v="0.375"/>
  </r>
  <r>
    <s v="TXN-00312"/>
    <d v="2024-04-20T00:00:00"/>
    <n v="614"/>
    <s v="Ohio"/>
    <s v="Central"/>
    <s v="Major Market"/>
    <s v="Beans"/>
    <x v="1"/>
    <x v="5"/>
    <s v="Regular"/>
    <n v="435"/>
    <n v="13"/>
    <x v="54"/>
    <n v="41"/>
    <n v="36"/>
    <n v="24"/>
    <n v="0.23760000000000001"/>
    <n v="90"/>
    <n v="40"/>
    <n v="20"/>
    <n v="0.22220000000000001"/>
  </r>
  <r>
    <s v="TXN-00313"/>
    <d v="2024-04-20T00:00:00"/>
    <n v="509"/>
    <s v="Washington"/>
    <s v="West"/>
    <s v="Small Market"/>
    <s v="Leaves"/>
    <x v="0"/>
    <x v="3"/>
    <s v="Regular"/>
    <n v="449"/>
    <n v="14"/>
    <x v="40"/>
    <n v="46"/>
    <n v="36"/>
    <n v="46"/>
    <n v="0.38329999999999997"/>
    <n v="50"/>
    <n v="20"/>
    <n v="30"/>
    <n v="0.6"/>
  </r>
  <r>
    <s v="TXN-00314"/>
    <d v="2024-04-20T00:00:00"/>
    <n v="708"/>
    <s v="Illinois"/>
    <s v="Central"/>
    <s v="Major Market"/>
    <s v="Leaves"/>
    <x v="0"/>
    <x v="3"/>
    <s v="Regular"/>
    <n v="677"/>
    <n v="22"/>
    <x v="99"/>
    <n v="67"/>
    <n v="54"/>
    <n v="70"/>
    <n v="0.3911"/>
    <n v="130"/>
    <n v="50"/>
    <n v="40"/>
    <n v="0.30769999999999997"/>
  </r>
  <r>
    <s v="TXN-00315"/>
    <d v="2024-04-20T00:00:00"/>
    <n v="419"/>
    <s v="Ohio"/>
    <s v="Central"/>
    <s v="Major Market"/>
    <s v="Beans"/>
    <x v="3"/>
    <x v="6"/>
    <s v="Decaf"/>
    <n v="404"/>
    <n v="20"/>
    <x v="0"/>
    <n v="54"/>
    <n v="54"/>
    <n v="18"/>
    <n v="0.1406"/>
    <n v="170"/>
    <n v="70"/>
    <n v="70"/>
    <n v="0.4118"/>
  </r>
  <r>
    <s v="TXN-00316"/>
    <d v="2024-04-20T00:00:00"/>
    <n v="971"/>
    <s v="Oregon"/>
    <s v="West"/>
    <s v="Small Market"/>
    <s v="Beans"/>
    <x v="1"/>
    <x v="11"/>
    <s v="Decaf"/>
    <n v="419"/>
    <n v="13"/>
    <x v="60"/>
    <n v="43"/>
    <n v="35"/>
    <n v="29"/>
    <n v="0.27100000000000002"/>
    <n v="150"/>
    <n v="50"/>
    <n v="80"/>
    <n v="0.5333"/>
  </r>
  <r>
    <s v="TXN-00317"/>
    <d v="2024-04-21T00:00:00"/>
    <n v="573"/>
    <s v="Missouri"/>
    <s v="Central"/>
    <s v="Small Market"/>
    <s v="Leaves"/>
    <x v="2"/>
    <x v="2"/>
    <s v="Decaf"/>
    <n v="320"/>
    <n v="41"/>
    <x v="44"/>
    <n v="45"/>
    <n v="70"/>
    <n v="-9"/>
    <n v="-7.7600000000000002E-2"/>
    <n v="80"/>
    <n v="20"/>
    <n v="30"/>
    <n v="0.375"/>
  </r>
  <r>
    <s v="TXN-00318"/>
    <d v="2024-04-21T00:00:00"/>
    <n v="262"/>
    <s v="Wisconsin"/>
    <s v="Central"/>
    <s v="Small Market"/>
    <s v="Leaves"/>
    <x v="2"/>
    <x v="4"/>
    <s v="Decaf"/>
    <n v="851"/>
    <n v="13"/>
    <x v="29"/>
    <n v="48"/>
    <n v="25"/>
    <n v="67"/>
    <n v="0.53169999999999995"/>
    <n v="90"/>
    <n v="30"/>
    <n v="60"/>
    <n v="0.66669999999999996"/>
  </r>
  <r>
    <s v="TXN-00319"/>
    <d v="2024-04-21T00:00:00"/>
    <n v="225"/>
    <s v="Louisiana"/>
    <s v="South"/>
    <s v="Small Market"/>
    <s v="Beans"/>
    <x v="3"/>
    <x v="9"/>
    <s v="Regular"/>
    <n v="320"/>
    <n v="12"/>
    <x v="13"/>
    <n v="41"/>
    <n v="35"/>
    <n v="46"/>
    <n v="0.40350000000000003"/>
    <n v="80"/>
    <n v="30"/>
    <n v="20"/>
    <n v="0.25"/>
  </r>
  <r>
    <s v="TXN-00320"/>
    <d v="2024-04-22T00:00:00"/>
    <n v="262"/>
    <s v="Wisconsin"/>
    <s v="Central"/>
    <s v="Small Market"/>
    <s v="Beans"/>
    <x v="3"/>
    <x v="6"/>
    <s v="Decaf"/>
    <n v="573"/>
    <n v="7"/>
    <x v="170"/>
    <n v="22"/>
    <n v="19"/>
    <n v="15"/>
    <n v="0.27779999999999999"/>
    <n v="70"/>
    <n v="20"/>
    <n v="50"/>
    <n v="0.71430000000000005"/>
  </r>
  <r>
    <s v="TXN-00321"/>
    <d v="2024-04-22T00:00:00"/>
    <n v="801"/>
    <s v="Utah"/>
    <s v="West"/>
    <s v="Small Market"/>
    <s v="Beans"/>
    <x v="3"/>
    <x v="10"/>
    <s v="Regular"/>
    <n v="833"/>
    <n v="8"/>
    <x v="171"/>
    <n v="32"/>
    <n v="19"/>
    <n v="28"/>
    <n v="0.35439999999999999"/>
    <n v="60"/>
    <n v="20"/>
    <n v="40"/>
    <n v="0.66669999999999996"/>
  </r>
  <r>
    <s v="TXN-00322"/>
    <d v="2024-04-22T00:00:00"/>
    <n v="505"/>
    <s v="New Mexico"/>
    <s v="South"/>
    <s v="Small Market"/>
    <s v="Beans"/>
    <x v="3"/>
    <x v="9"/>
    <s v="Regular"/>
    <n v="320"/>
    <n v="41"/>
    <x v="44"/>
    <n v="45"/>
    <n v="70"/>
    <n v="-9"/>
    <n v="-7.7600000000000002E-2"/>
    <n v="60"/>
    <n v="20"/>
    <n v="10"/>
    <n v="0.16669999999999999"/>
  </r>
  <r>
    <s v="TXN-00323"/>
    <d v="2024-04-22T00:00:00"/>
    <n v="636"/>
    <s v="Missouri"/>
    <s v="Central"/>
    <s v="Small Market"/>
    <s v="Leaves"/>
    <x v="0"/>
    <x v="0"/>
    <s v="Regular"/>
    <n v="248"/>
    <n v="11"/>
    <x v="172"/>
    <n v="35"/>
    <n v="38"/>
    <n v="13"/>
    <n v="0.14940000000000001"/>
    <n v="60"/>
    <n v="20"/>
    <n v="10"/>
    <n v="0.16669999999999999"/>
  </r>
  <r>
    <s v="TXN-00324"/>
    <d v="2024-04-22T00:00:00"/>
    <n v="435"/>
    <s v="Utah"/>
    <s v="West"/>
    <s v="Small Market"/>
    <s v="Leaves"/>
    <x v="0"/>
    <x v="7"/>
    <s v="Regular"/>
    <n v="211"/>
    <n v="12"/>
    <x v="105"/>
    <n v="34"/>
    <n v="45"/>
    <n v="-4"/>
    <n v="-4.9399999999999999E-2"/>
    <n v="50"/>
    <n v="20"/>
    <n v="0"/>
    <n v="0"/>
  </r>
  <r>
    <s v="TXN-00325"/>
    <d v="2024-04-22T00:00:00"/>
    <n v="715"/>
    <s v="Wisconsin"/>
    <s v="Central"/>
    <s v="Small Market"/>
    <s v="Beans"/>
    <x v="1"/>
    <x v="5"/>
    <s v="Regular"/>
    <n v="716"/>
    <n v="95"/>
    <x v="145"/>
    <n v="105"/>
    <n v="125"/>
    <n v="20"/>
    <n v="0.08"/>
    <n v="240"/>
    <n v="100"/>
    <n v="30"/>
    <n v="0.125"/>
  </r>
  <r>
    <s v="TXN-00326"/>
    <d v="2024-04-23T00:00:00"/>
    <n v="801"/>
    <s v="Utah"/>
    <s v="West"/>
    <s v="Small Market"/>
    <s v="Leaves"/>
    <x v="0"/>
    <x v="0"/>
    <s v="Regular"/>
    <n v="320"/>
    <n v="41"/>
    <x v="97"/>
    <n v="45"/>
    <n v="70"/>
    <n v="-6"/>
    <n v="-5.5E-2"/>
    <n v="50"/>
    <n v="10"/>
    <n v="20"/>
    <n v="0.4"/>
  </r>
  <r>
    <s v="TXN-00327"/>
    <d v="2024-04-23T00:00:00"/>
    <n v="641"/>
    <s v="Iowa"/>
    <s v="Central"/>
    <s v="Small Market"/>
    <s v="Beans"/>
    <x v="1"/>
    <x v="11"/>
    <s v="Decaf"/>
    <n v="598"/>
    <n v="3"/>
    <x v="173"/>
    <n v="10"/>
    <n v="15"/>
    <n v="-3"/>
    <n v="-0.12"/>
    <n v="10"/>
    <n v="0"/>
    <n v="10"/>
    <n v="1"/>
  </r>
  <r>
    <s v="TXN-00328"/>
    <d v="2024-04-23T00:00:00"/>
    <n v="513"/>
    <s v="Ohio"/>
    <s v="Central"/>
    <s v="Major Market"/>
    <s v="Leaves"/>
    <x v="0"/>
    <x v="0"/>
    <s v="Regular"/>
    <n v="817"/>
    <n v="29"/>
    <x v="78"/>
    <n v="88"/>
    <n v="61"/>
    <n v="107"/>
    <n v="0.45340000000000003"/>
    <n v="180"/>
    <n v="70"/>
    <n v="70"/>
    <n v="0.38890000000000002"/>
  </r>
  <r>
    <s v="TXN-00329"/>
    <d v="2024-04-24T00:00:00"/>
    <n v="225"/>
    <s v="Louisiana"/>
    <s v="South"/>
    <s v="Small Market"/>
    <s v="Beans"/>
    <x v="3"/>
    <x v="6"/>
    <s v="Decaf"/>
    <n v="466"/>
    <n v="13"/>
    <x v="110"/>
    <n v="43"/>
    <n v="36"/>
    <n v="27"/>
    <n v="0.25469999999999998"/>
    <n v="80"/>
    <n v="30"/>
    <n v="20"/>
    <n v="0.25"/>
  </r>
  <r>
    <s v="TXN-00330"/>
    <d v="2024-04-24T00:00:00"/>
    <n v="978"/>
    <s v="Massachusetts"/>
    <s v="East"/>
    <s v="Major Market"/>
    <s v="Leaves"/>
    <x v="0"/>
    <x v="0"/>
    <s v="Regular"/>
    <n v="870"/>
    <n v="9"/>
    <x v="172"/>
    <n v="33"/>
    <n v="20"/>
    <n v="43"/>
    <n v="0.49430000000000002"/>
    <n v="80"/>
    <n v="30"/>
    <n v="40"/>
    <n v="0.5"/>
  </r>
  <r>
    <s v="TXN-00331"/>
    <d v="2024-04-24T00:00:00"/>
    <n v="318"/>
    <s v="Louisiana"/>
    <s v="South"/>
    <s v="Small Market"/>
    <s v="Beans"/>
    <x v="3"/>
    <x v="10"/>
    <s v="Regular"/>
    <n v="-906"/>
    <n v="55"/>
    <x v="53"/>
    <n v="61"/>
    <n v="85"/>
    <n v="1"/>
    <n v="6.4000000000000003E-3"/>
    <n v="110"/>
    <n v="40"/>
    <n v="10"/>
    <n v="9.0899999999999995E-2"/>
  </r>
  <r>
    <s v="TXN-00332"/>
    <d v="2024-04-24T00:00:00"/>
    <n v="775"/>
    <s v="Nevada"/>
    <s v="West"/>
    <s v="Small Market"/>
    <s v="Leaves"/>
    <x v="0"/>
    <x v="0"/>
    <s v="Regular"/>
    <n v="1744"/>
    <n v="81"/>
    <x v="136"/>
    <n v="247"/>
    <n v="114"/>
    <n v="319"/>
    <n v="0.51949999999999996"/>
    <n v="420"/>
    <n v="180"/>
    <n v="150"/>
    <n v="0.35709999999999997"/>
  </r>
  <r>
    <s v="TXN-00333"/>
    <d v="2024-04-26T00:00:00"/>
    <n v="603"/>
    <s v="New Hampshire"/>
    <s v="East"/>
    <s v="Small Market"/>
    <s v="Beans"/>
    <x v="1"/>
    <x v="5"/>
    <s v="Regular"/>
    <n v="462"/>
    <n v="15"/>
    <x v="174"/>
    <n v="48"/>
    <n v="46"/>
    <n v="42"/>
    <n v="0.3231"/>
    <n v="100"/>
    <n v="40"/>
    <n v="30"/>
    <n v="0.3"/>
  </r>
  <r>
    <s v="TXN-00334"/>
    <d v="2024-04-26T00:00:00"/>
    <n v="505"/>
    <s v="New Mexico"/>
    <s v="South"/>
    <s v="Small Market"/>
    <s v="Beans"/>
    <x v="3"/>
    <x v="9"/>
    <s v="Regular"/>
    <n v="335"/>
    <n v="44"/>
    <x v="29"/>
    <n v="49"/>
    <n v="74"/>
    <n v="-7"/>
    <n v="-5.5599999999999997E-2"/>
    <n v="90"/>
    <n v="30"/>
    <n v="10"/>
    <n v="0.1111"/>
  </r>
  <r>
    <s v="TXN-00335"/>
    <d v="2024-04-26T00:00:00"/>
    <n v="617"/>
    <s v="Massachusetts"/>
    <s v="East"/>
    <s v="Major Market"/>
    <s v="Leaves"/>
    <x v="2"/>
    <x v="4"/>
    <s v="Decaf"/>
    <n v="410"/>
    <n v="20"/>
    <x v="37"/>
    <n v="55"/>
    <n v="54"/>
    <n v="15"/>
    <n v="0.121"/>
    <n v="90"/>
    <n v="40"/>
    <n v="20"/>
    <n v="0.22220000000000001"/>
  </r>
  <r>
    <s v="TXN-00336"/>
    <d v="2024-04-26T00:00:00"/>
    <n v="425"/>
    <s v="Washington"/>
    <s v="West"/>
    <s v="Small Market"/>
    <s v="Leaves"/>
    <x v="2"/>
    <x v="4"/>
    <s v="Decaf"/>
    <n v="845"/>
    <n v="13"/>
    <x v="0"/>
    <n v="49"/>
    <n v="25"/>
    <n v="68"/>
    <n v="0.53129999999999999"/>
    <n v="110"/>
    <n v="40"/>
    <n v="50"/>
    <n v="0.45450000000000002"/>
  </r>
  <r>
    <s v="TXN-00337"/>
    <d v="2024-04-26T00:00:00"/>
    <n v="971"/>
    <s v="Oregon"/>
    <s v="West"/>
    <s v="Small Market"/>
    <s v="Leaves"/>
    <x v="0"/>
    <x v="0"/>
    <s v="Regular"/>
    <n v="490"/>
    <n v="8"/>
    <x v="24"/>
    <n v="29"/>
    <n v="19"/>
    <n v="25"/>
    <n v="0.34250000000000003"/>
    <n v="50"/>
    <n v="20"/>
    <n v="30"/>
    <n v="0.6"/>
  </r>
  <r>
    <s v="TXN-00338"/>
    <d v="2024-04-26T00:00:00"/>
    <n v="918"/>
    <s v="Oklahoma"/>
    <s v="South"/>
    <s v="Small Market"/>
    <s v="Beans"/>
    <x v="1"/>
    <x v="5"/>
    <s v="Regular"/>
    <n v="572"/>
    <n v="29"/>
    <x v="175"/>
    <n v="90"/>
    <n v="41"/>
    <n v="110"/>
    <n v="0.50460000000000005"/>
    <n v="290"/>
    <n v="130"/>
    <n v="140"/>
    <n v="0.48280000000000001"/>
  </r>
  <r>
    <s v="TXN-00339"/>
    <d v="2024-04-27T00:00:00"/>
    <n v="312"/>
    <s v="Illinois"/>
    <s v="Central"/>
    <s v="Major Market"/>
    <s v="Leaves"/>
    <x v="2"/>
    <x v="4"/>
    <s v="Decaf"/>
    <n v="536"/>
    <n v="13"/>
    <x v="71"/>
    <n v="40"/>
    <n v="25"/>
    <n v="40"/>
    <n v="0.40820000000000001"/>
    <n v="80"/>
    <n v="30"/>
    <n v="30"/>
    <n v="0.375"/>
  </r>
  <r>
    <s v="TXN-00340"/>
    <d v="2024-04-27T00:00:00"/>
    <n v="303"/>
    <s v="Colorado"/>
    <s v="Central"/>
    <s v="Major Market"/>
    <s v="Leaves"/>
    <x v="2"/>
    <x v="2"/>
    <s v="Decaf"/>
    <n v="1319"/>
    <n v="42"/>
    <x v="61"/>
    <n v="153"/>
    <n v="66"/>
    <n v="87"/>
    <n v="0.2843"/>
    <n v="280"/>
    <n v="140"/>
    <n v="80"/>
    <n v="0.28570000000000001"/>
  </r>
  <r>
    <s v="TXN-00341"/>
    <d v="2024-04-27T00:00:00"/>
    <n v="541"/>
    <s v="Oregon"/>
    <s v="West"/>
    <s v="Small Market"/>
    <s v="Leaves"/>
    <x v="0"/>
    <x v="0"/>
    <s v="Regular"/>
    <n v="480"/>
    <n v="5"/>
    <x v="17"/>
    <n v="21"/>
    <n v="16"/>
    <n v="16"/>
    <n v="0.3019"/>
    <n v="20"/>
    <n v="0"/>
    <n v="20"/>
    <n v="1"/>
  </r>
  <r>
    <s v="TXN-00342"/>
    <d v="2024-04-27T00:00:00"/>
    <n v="559"/>
    <s v="California"/>
    <s v="West"/>
    <s v="Major Market"/>
    <s v="Beans"/>
    <x v="3"/>
    <x v="10"/>
    <s v="Regular"/>
    <n v="1778"/>
    <n v="59"/>
    <x v="51"/>
    <n v="211"/>
    <n v="83"/>
    <n v="129"/>
    <n v="0.30499999999999999"/>
    <n v="410"/>
    <n v="200"/>
    <n v="140"/>
    <n v="0.34150000000000003"/>
  </r>
  <r>
    <s v="TXN-00343"/>
    <d v="2024-04-27T00:00:00"/>
    <n v="702"/>
    <s v="Nevada"/>
    <s v="West"/>
    <s v="Small Market"/>
    <s v="Leaves"/>
    <x v="2"/>
    <x v="4"/>
    <s v="Decaf"/>
    <n v="1191"/>
    <n v="73"/>
    <x v="176"/>
    <n v="224"/>
    <n v="116"/>
    <n v="288"/>
    <n v="0.50619999999999998"/>
    <n v="490"/>
    <n v="210"/>
    <n v="170"/>
    <n v="0.34689999999999999"/>
  </r>
  <r>
    <s v="TXN-00344"/>
    <d v="2024-04-28T00:00:00"/>
    <n v="936"/>
    <s v="Texas"/>
    <s v="South"/>
    <s v="Major Market"/>
    <s v="Leaves"/>
    <x v="2"/>
    <x v="4"/>
    <s v="Decaf"/>
    <n v="424"/>
    <n v="14"/>
    <x v="13"/>
    <n v="46"/>
    <n v="37"/>
    <n v="31"/>
    <n v="0.27189999999999998"/>
    <n v="100"/>
    <n v="40"/>
    <n v="30"/>
    <n v="0.3"/>
  </r>
  <r>
    <s v="TXN-00345"/>
    <d v="2024-04-28T00:00:00"/>
    <n v="225"/>
    <s v="Louisiana"/>
    <s v="South"/>
    <s v="Small Market"/>
    <s v="Beans"/>
    <x v="1"/>
    <x v="11"/>
    <s v="Decaf"/>
    <n v="863"/>
    <n v="9"/>
    <x v="138"/>
    <n v="34"/>
    <n v="20"/>
    <n v="31"/>
    <n v="0.36470000000000002"/>
    <n v="100"/>
    <n v="40"/>
    <n v="50"/>
    <n v="0.5"/>
  </r>
  <r>
    <s v="TXN-00346"/>
    <d v="2024-04-28T00:00:00"/>
    <n v="386"/>
    <s v="Florida"/>
    <s v="East"/>
    <s v="Major Market"/>
    <s v="Beans"/>
    <x v="3"/>
    <x v="6"/>
    <s v="Decaf"/>
    <n v="575"/>
    <n v="27"/>
    <x v="20"/>
    <n v="83"/>
    <n v="54"/>
    <n v="86"/>
    <n v="0.41349999999999998"/>
    <n v="190"/>
    <n v="80"/>
    <n v="70"/>
    <n v="0.36840000000000001"/>
  </r>
  <r>
    <s v="TXN-00347"/>
    <d v="2024-05-01T00:00:00"/>
    <n v="860"/>
    <s v="Connecticut"/>
    <s v="East"/>
    <s v="Small Market"/>
    <s v="Leaves"/>
    <x v="0"/>
    <x v="0"/>
    <s v="Regular"/>
    <n v="881"/>
    <n v="11"/>
    <x v="73"/>
    <n v="40"/>
    <n v="23"/>
    <n v="36"/>
    <n v="0.36359999999999998"/>
    <n v="100"/>
    <n v="40"/>
    <n v="50"/>
    <n v="0.5"/>
  </r>
  <r>
    <s v="TXN-00348"/>
    <d v="2024-05-01T00:00:00"/>
    <n v="630"/>
    <s v="Illinois"/>
    <s v="Central"/>
    <s v="Major Market"/>
    <s v="Leaves"/>
    <x v="2"/>
    <x v="4"/>
    <s v="Decaf"/>
    <n v="541"/>
    <n v="12"/>
    <x v="162"/>
    <n v="39"/>
    <n v="24"/>
    <n v="27"/>
    <n v="0.3"/>
    <n v="60"/>
    <n v="20"/>
    <n v="40"/>
    <n v="0.66669999999999996"/>
  </r>
  <r>
    <s v="TXN-00349"/>
    <d v="2024-05-01T00:00:00"/>
    <n v="682"/>
    <s v="Texas"/>
    <s v="South"/>
    <s v="Major Market"/>
    <s v="Beans"/>
    <x v="3"/>
    <x v="10"/>
    <s v="Regular"/>
    <n v="-868"/>
    <n v="23"/>
    <x v="177"/>
    <n v="72"/>
    <n v="55"/>
    <n v="82"/>
    <n v="0.42270000000000002"/>
    <n v="110"/>
    <n v="40"/>
    <n v="50"/>
    <n v="0.45450000000000002"/>
  </r>
  <r>
    <s v="TXN-00350"/>
    <d v="2024-05-01T00:00:00"/>
    <n v="585"/>
    <s v="New York"/>
    <s v="East"/>
    <s v="Major Market"/>
    <s v="Leaves"/>
    <x v="0"/>
    <x v="7"/>
    <s v="Regular"/>
    <n v="601"/>
    <n v="15"/>
    <x v="146"/>
    <n v="54"/>
    <n v="27"/>
    <n v="77"/>
    <n v="0.5423"/>
    <n v="130"/>
    <n v="50"/>
    <n v="60"/>
    <n v="0.46150000000000002"/>
  </r>
  <r>
    <s v="TXN-00351"/>
    <d v="2024-05-01T00:00:00"/>
    <n v="435"/>
    <s v="Utah"/>
    <s v="West"/>
    <s v="Small Market"/>
    <s v="Beans"/>
    <x v="1"/>
    <x v="11"/>
    <s v="Decaf"/>
    <n v="619"/>
    <n v="25"/>
    <x v="130"/>
    <n v="68"/>
    <n v="59"/>
    <n v="26"/>
    <n v="0.1699"/>
    <n v="180"/>
    <n v="80"/>
    <n v="50"/>
    <n v="0.27779999999999999"/>
  </r>
  <r>
    <s v="TXN-00352"/>
    <d v="2024-05-01T00:00:00"/>
    <n v="951"/>
    <s v="California"/>
    <s v="West"/>
    <s v="Major Market"/>
    <s v="Leaves"/>
    <x v="2"/>
    <x v="4"/>
    <s v="Decaf"/>
    <n v="1246"/>
    <n v="74"/>
    <x v="25"/>
    <n v="239"/>
    <n v="95"/>
    <n v="276"/>
    <n v="0.49819999999999998"/>
    <n v="410"/>
    <n v="190"/>
    <n v="170"/>
    <n v="0.41460000000000002"/>
  </r>
  <r>
    <s v="TXN-00353"/>
    <d v="2024-05-02T00:00:00"/>
    <n v="720"/>
    <s v="Colorado"/>
    <s v="Central"/>
    <s v="Major Market"/>
    <s v="Leaves"/>
    <x v="2"/>
    <x v="4"/>
    <s v="Decaf"/>
    <n v="503"/>
    <n v="46"/>
    <x v="174"/>
    <n v="51"/>
    <n v="76"/>
    <n v="-7"/>
    <n v="-5.3800000000000001E-2"/>
    <n v="90"/>
    <n v="30"/>
    <n v="30"/>
    <n v="0.33329999999999999"/>
  </r>
  <r>
    <s v="TXN-00354"/>
    <d v="2024-05-02T00:00:00"/>
    <n v="720"/>
    <s v="Colorado"/>
    <s v="Central"/>
    <s v="Major Market"/>
    <s v="Leaves"/>
    <x v="0"/>
    <x v="0"/>
    <s v="Regular"/>
    <n v="404"/>
    <n v="20"/>
    <x v="0"/>
    <n v="54"/>
    <n v="53"/>
    <n v="19"/>
    <n v="0.1484"/>
    <n v="80"/>
    <n v="30"/>
    <n v="30"/>
    <n v="0.375"/>
  </r>
  <r>
    <s v="TXN-00355"/>
    <d v="2024-05-02T00:00:00"/>
    <n v="937"/>
    <s v="Ohio"/>
    <s v="Central"/>
    <s v="Major Market"/>
    <s v="Beans"/>
    <x v="1"/>
    <x v="5"/>
    <s v="Regular"/>
    <n v="419"/>
    <n v="13"/>
    <x v="60"/>
    <n v="43"/>
    <n v="36"/>
    <n v="28"/>
    <n v="0.26169999999999999"/>
    <n v="100"/>
    <n v="30"/>
    <n v="60"/>
    <n v="0.6"/>
  </r>
  <r>
    <s v="TXN-00356"/>
    <d v="2024-05-02T00:00:00"/>
    <n v="513"/>
    <s v="Ohio"/>
    <s v="Central"/>
    <s v="Major Market"/>
    <s v="Beans"/>
    <x v="1"/>
    <x v="1"/>
    <s v="Regular"/>
    <n v="424"/>
    <n v="17"/>
    <x v="117"/>
    <n v="54"/>
    <n v="44"/>
    <n v="29"/>
    <n v="0.2283"/>
    <n v="120"/>
    <n v="50"/>
    <n v="40"/>
    <n v="0.33329999999999999"/>
  </r>
  <r>
    <s v="TXN-00357"/>
    <d v="2024-05-02T00:00:00"/>
    <n v="405"/>
    <s v="Oklahoma"/>
    <s v="South"/>
    <s v="Small Market"/>
    <s v="Leaves"/>
    <x v="2"/>
    <x v="2"/>
    <s v="Decaf"/>
    <n v="403"/>
    <n v="24"/>
    <x v="143"/>
    <n v="65"/>
    <n v="58"/>
    <n v="22"/>
    <n v="0.1517"/>
    <n v="130"/>
    <n v="60"/>
    <n v="20"/>
    <n v="0.15379999999999999"/>
  </r>
  <r>
    <s v="TXN-00358"/>
    <d v="2024-05-02T00:00:00"/>
    <n v="775"/>
    <s v="Nevada"/>
    <s v="West"/>
    <s v="Small Market"/>
    <s v="Beans"/>
    <x v="3"/>
    <x v="6"/>
    <s v="Decaf"/>
    <n v="800"/>
    <n v="6"/>
    <x v="148"/>
    <n v="23"/>
    <n v="18"/>
    <n v="25"/>
    <n v="0.4032"/>
    <n v="40"/>
    <n v="10"/>
    <n v="30"/>
    <n v="0.75"/>
  </r>
  <r>
    <s v="TXN-00359"/>
    <d v="2024-05-02T00:00:00"/>
    <n v="435"/>
    <s v="Utah"/>
    <s v="West"/>
    <s v="Small Market"/>
    <s v="Leaves"/>
    <x v="0"/>
    <x v="3"/>
    <s v="Regular"/>
    <n v="248"/>
    <n v="11"/>
    <x v="172"/>
    <n v="35"/>
    <n v="38"/>
    <n v="13"/>
    <n v="0.14940000000000001"/>
    <n v="50"/>
    <n v="20"/>
    <n v="10"/>
    <n v="0.2"/>
  </r>
  <r>
    <s v="TXN-00360"/>
    <d v="2024-05-02T00:00:00"/>
    <n v="405"/>
    <s v="Oklahoma"/>
    <s v="South"/>
    <s v="Small Market"/>
    <s v="Leaves"/>
    <x v="2"/>
    <x v="4"/>
    <s v="Decaf"/>
    <n v="694"/>
    <n v="85"/>
    <x v="142"/>
    <n v="94"/>
    <n v="115"/>
    <n v="22"/>
    <n v="9.2100000000000001E-2"/>
    <n v="200"/>
    <n v="80"/>
    <n v="20"/>
    <n v="0.1"/>
  </r>
  <r>
    <s v="TXN-00361"/>
    <d v="2024-05-02T00:00:00"/>
    <n v="407"/>
    <s v="Florida"/>
    <s v="East"/>
    <s v="Major Market"/>
    <s v="Beans"/>
    <x v="3"/>
    <x v="6"/>
    <s v="Decaf"/>
    <n v="575"/>
    <n v="27"/>
    <x v="90"/>
    <n v="83"/>
    <n v="54"/>
    <n v="58"/>
    <n v="0.2974"/>
    <n v="190"/>
    <n v="80"/>
    <n v="70"/>
    <n v="0.36840000000000001"/>
  </r>
  <r>
    <s v="TXN-00362"/>
    <d v="2024-05-03T00:00:00"/>
    <n v="435"/>
    <s v="Utah"/>
    <s v="West"/>
    <s v="Small Market"/>
    <s v="Leaves"/>
    <x v="2"/>
    <x v="8"/>
    <s v="Decaf"/>
    <n v="1898"/>
    <n v="28"/>
    <x v="59"/>
    <n v="92"/>
    <n v="51"/>
    <n v="17"/>
    <n v="0.10630000000000001"/>
    <n v="140"/>
    <n v="80"/>
    <n v="20"/>
    <n v="0.1429"/>
  </r>
  <r>
    <s v="TXN-00363"/>
    <d v="2024-05-03T00:00:00"/>
    <n v="978"/>
    <s v="Massachusetts"/>
    <s v="East"/>
    <s v="Major Market"/>
    <s v="Leaves"/>
    <x v="0"/>
    <x v="0"/>
    <s v="Regular"/>
    <n v="859"/>
    <n v="7"/>
    <x v="154"/>
    <n v="27"/>
    <n v="19"/>
    <n v="30"/>
    <n v="0.42859999999999998"/>
    <n v="70"/>
    <n v="20"/>
    <n v="50"/>
    <n v="0.71430000000000005"/>
  </r>
  <r>
    <s v="TXN-00364"/>
    <d v="2024-05-03T00:00:00"/>
    <n v="561"/>
    <s v="Florida"/>
    <s v="East"/>
    <s v="Major Market"/>
    <s v="Leaves"/>
    <x v="2"/>
    <x v="4"/>
    <s v="Decaf"/>
    <n v="391"/>
    <n v="20"/>
    <x v="93"/>
    <n v="54"/>
    <n v="54"/>
    <n v="19"/>
    <n v="0.14729999999999999"/>
    <n v="80"/>
    <n v="40"/>
    <n v="10"/>
    <n v="0.125"/>
  </r>
  <r>
    <s v="TXN-00365"/>
    <d v="2024-05-03T00:00:00"/>
    <n v="425"/>
    <s v="Washington"/>
    <s v="West"/>
    <s v="Small Market"/>
    <s v="Beans"/>
    <x v="1"/>
    <x v="11"/>
    <s v="Decaf"/>
    <n v="683"/>
    <n v="87"/>
    <x v="35"/>
    <n v="96"/>
    <n v="117"/>
    <n v="17"/>
    <n v="7.3899999999999993E-2"/>
    <n v="330"/>
    <n v="140"/>
    <n v="100"/>
    <n v="0.30299999999999999"/>
  </r>
  <r>
    <s v="TXN-00366"/>
    <d v="2024-05-04T00:00:00"/>
    <n v="603"/>
    <s v="New Hampshire"/>
    <s v="East"/>
    <s v="Small Market"/>
    <s v="Beans"/>
    <x v="1"/>
    <x v="1"/>
    <s v="Regular"/>
    <n v="310"/>
    <n v="15"/>
    <x v="40"/>
    <n v="49"/>
    <n v="38"/>
    <n v="33"/>
    <n v="0.27500000000000002"/>
    <n v="90"/>
    <n v="30"/>
    <n v="60"/>
    <n v="0.66669999999999996"/>
  </r>
  <r>
    <s v="TXN-00367"/>
    <d v="2024-05-04T00:00:00"/>
    <n v="712"/>
    <s v="Iowa"/>
    <s v="Central"/>
    <s v="Small Market"/>
    <s v="Beans"/>
    <x v="3"/>
    <x v="6"/>
    <s v="Decaf"/>
    <n v="387"/>
    <n v="0"/>
    <x v="101"/>
    <n v="0"/>
    <n v="12"/>
    <n v="31"/>
    <n v="0.72089999999999999"/>
    <n v="50"/>
    <n v="0"/>
    <n v="40"/>
    <n v="0.8"/>
  </r>
  <r>
    <s v="TXN-00368"/>
    <d v="2024-05-04T00:00:00"/>
    <n v="985"/>
    <s v="Louisiana"/>
    <s v="South"/>
    <s v="Small Market"/>
    <s v="Beans"/>
    <x v="3"/>
    <x v="9"/>
    <s v="Regular"/>
    <n v="320"/>
    <n v="12"/>
    <x v="60"/>
    <n v="41"/>
    <n v="35"/>
    <n v="31"/>
    <n v="0.28970000000000001"/>
    <n v="80"/>
    <n v="30"/>
    <n v="20"/>
    <n v="0.25"/>
  </r>
  <r>
    <s v="TXN-00369"/>
    <d v="2024-05-04T00:00:00"/>
    <n v="505"/>
    <s v="New Mexico"/>
    <s v="South"/>
    <s v="Small Market"/>
    <s v="Beans"/>
    <x v="3"/>
    <x v="10"/>
    <s v="Regular"/>
    <n v="-598"/>
    <n v="7"/>
    <x v="129"/>
    <n v="20"/>
    <n v="40"/>
    <n v="-15"/>
    <n v="-0.33329999999999999"/>
    <n v="30"/>
    <n v="10"/>
    <n v="-10"/>
    <n v="-0.33329999999999999"/>
  </r>
  <r>
    <s v="TXN-00370"/>
    <d v="2024-05-06T00:00:00"/>
    <n v="314"/>
    <s v="Missouri"/>
    <s v="Central"/>
    <s v="Small Market"/>
    <s v="Beans"/>
    <x v="3"/>
    <x v="6"/>
    <s v="Decaf"/>
    <n v="836"/>
    <n v="9"/>
    <x v="105"/>
    <n v="33"/>
    <n v="21"/>
    <n v="27"/>
    <n v="0.33329999999999999"/>
    <n v="100"/>
    <n v="40"/>
    <n v="50"/>
    <n v="0.5"/>
  </r>
  <r>
    <s v="TXN-00371"/>
    <d v="2024-05-06T00:00:00"/>
    <n v="936"/>
    <s v="Texas"/>
    <s v="South"/>
    <s v="Major Market"/>
    <s v="Beans"/>
    <x v="1"/>
    <x v="11"/>
    <s v="Decaf"/>
    <n v="536"/>
    <n v="13"/>
    <x v="71"/>
    <n v="40"/>
    <n v="26"/>
    <n v="39"/>
    <n v="0.39800000000000002"/>
    <n v="100"/>
    <n v="40"/>
    <n v="40"/>
    <n v="0.4"/>
  </r>
  <r>
    <s v="TXN-00372"/>
    <d v="2024-05-06T00:00:00"/>
    <n v="262"/>
    <s v="Wisconsin"/>
    <s v="Central"/>
    <s v="Small Market"/>
    <s v="Leaves"/>
    <x v="0"/>
    <x v="0"/>
    <s v="Regular"/>
    <n v="454"/>
    <n v="15"/>
    <x v="40"/>
    <n v="49"/>
    <n v="38"/>
    <n v="33"/>
    <n v="0.27500000000000002"/>
    <n v="90"/>
    <n v="40"/>
    <n v="20"/>
    <n v="0.22220000000000001"/>
  </r>
  <r>
    <s v="TXN-00373"/>
    <d v="2024-05-06T00:00:00"/>
    <n v="914"/>
    <s v="New York"/>
    <s v="East"/>
    <s v="Major Market"/>
    <s v="Leaves"/>
    <x v="0"/>
    <x v="7"/>
    <s v="Regular"/>
    <n v="589"/>
    <n v="14"/>
    <x v="30"/>
    <n v="50"/>
    <n v="26"/>
    <n v="70"/>
    <n v="0.53439999999999999"/>
    <n v="120"/>
    <n v="50"/>
    <n v="50"/>
    <n v="0.41670000000000001"/>
  </r>
  <r>
    <s v="TXN-00374"/>
    <d v="2024-05-06T00:00:00"/>
    <n v="210"/>
    <s v="Texas"/>
    <s v="South"/>
    <s v="Major Market"/>
    <s v="Beans"/>
    <x v="3"/>
    <x v="9"/>
    <s v="Regular"/>
    <n v="915"/>
    <n v="34"/>
    <x v="1"/>
    <n v="123"/>
    <n v="46"/>
    <n v="133"/>
    <n v="0.44040000000000001"/>
    <n v="190"/>
    <n v="70"/>
    <n v="100"/>
    <n v="0.52629999999999999"/>
  </r>
  <r>
    <s v="TXN-00375"/>
    <d v="2024-05-06T00:00:00"/>
    <n v="630"/>
    <s v="Illinois"/>
    <s v="Central"/>
    <s v="Major Market"/>
    <s v="Leaves"/>
    <x v="2"/>
    <x v="8"/>
    <s v="Decaf"/>
    <n v="1003"/>
    <n v="24"/>
    <x v="169"/>
    <n v="86"/>
    <n v="36"/>
    <n v="88"/>
    <n v="0.41899999999999998"/>
    <n v="190"/>
    <n v="80"/>
    <n v="80"/>
    <n v="0.42109999999999997"/>
  </r>
  <r>
    <s v="TXN-00376"/>
    <d v="2024-05-06T00:00:00"/>
    <n v="971"/>
    <s v="Oregon"/>
    <s v="West"/>
    <s v="Small Market"/>
    <s v="Beans"/>
    <x v="1"/>
    <x v="11"/>
    <s v="Decaf"/>
    <n v="419"/>
    <n v="13"/>
    <x v="13"/>
    <n v="43"/>
    <n v="35"/>
    <n v="43"/>
    <n v="0.37719999999999998"/>
    <n v="150"/>
    <n v="50"/>
    <n v="80"/>
    <n v="0.5333"/>
  </r>
  <r>
    <s v="TXN-00377"/>
    <d v="2024-05-07T00:00:00"/>
    <n v="772"/>
    <s v="Florida"/>
    <s v="East"/>
    <s v="Major Market"/>
    <s v="Leaves"/>
    <x v="0"/>
    <x v="7"/>
    <s v="Regular"/>
    <n v="851"/>
    <n v="13"/>
    <x v="29"/>
    <n v="48"/>
    <n v="24"/>
    <n v="68"/>
    <n v="0.53969999999999996"/>
    <n v="120"/>
    <n v="50"/>
    <n v="60"/>
    <n v="0.5"/>
  </r>
  <r>
    <s v="TXN-00378"/>
    <d v="2024-05-07T00:00:00"/>
    <n v="815"/>
    <s v="Illinois"/>
    <s v="Central"/>
    <s v="Major Market"/>
    <s v="Beans"/>
    <x v="1"/>
    <x v="5"/>
    <s v="Regular"/>
    <n v="1132"/>
    <n v="50"/>
    <x v="83"/>
    <n v="154"/>
    <n v="93"/>
    <n v="120"/>
    <n v="0.32700000000000001"/>
    <n v="370"/>
    <n v="150"/>
    <n v="160"/>
    <n v="0.43240000000000001"/>
  </r>
  <r>
    <s v="TXN-00379"/>
    <d v="2024-05-08T00:00:00"/>
    <n v="503"/>
    <s v="Oregon"/>
    <s v="West"/>
    <s v="Small Market"/>
    <s v="Beans"/>
    <x v="3"/>
    <x v="10"/>
    <s v="Regular"/>
    <n v="404"/>
    <n v="20"/>
    <x v="40"/>
    <n v="54"/>
    <n v="54"/>
    <n v="12"/>
    <n v="0.1"/>
    <n v="100"/>
    <n v="40"/>
    <n v="40"/>
    <n v="0.4"/>
  </r>
  <r>
    <s v="TXN-00380"/>
    <d v="2024-05-08T00:00:00"/>
    <n v="573"/>
    <s v="Missouri"/>
    <s v="Central"/>
    <s v="Small Market"/>
    <s v="Leaves"/>
    <x v="2"/>
    <x v="2"/>
    <s v="Decaf"/>
    <n v="325"/>
    <n v="40"/>
    <x v="110"/>
    <n v="44"/>
    <n v="70"/>
    <n v="-8"/>
    <n v="-7.5499999999999998E-2"/>
    <n v="90"/>
    <n v="40"/>
    <n v="0"/>
    <n v="0"/>
  </r>
  <r>
    <s v="TXN-00381"/>
    <d v="2024-05-08T00:00:00"/>
    <n v="937"/>
    <s v="Ohio"/>
    <s v="Central"/>
    <s v="Major Market"/>
    <s v="Beans"/>
    <x v="1"/>
    <x v="5"/>
    <s v="Regular"/>
    <n v="419"/>
    <n v="13"/>
    <x v="13"/>
    <n v="43"/>
    <n v="36"/>
    <n v="42"/>
    <n v="0.36840000000000001"/>
    <n v="100"/>
    <n v="30"/>
    <n v="60"/>
    <n v="0.6"/>
  </r>
  <r>
    <s v="TXN-00382"/>
    <d v="2024-05-08T00:00:00"/>
    <n v="971"/>
    <s v="Oregon"/>
    <s v="West"/>
    <s v="Small Market"/>
    <s v="Leaves"/>
    <x v="2"/>
    <x v="2"/>
    <s v="Decaf"/>
    <n v="820"/>
    <n v="7"/>
    <x v="141"/>
    <n v="25"/>
    <n v="19"/>
    <n v="17"/>
    <n v="0.2787"/>
    <n v="40"/>
    <n v="10"/>
    <n v="30"/>
    <n v="0.75"/>
  </r>
  <r>
    <s v="TXN-00383"/>
    <d v="2024-05-08T00:00:00"/>
    <n v="563"/>
    <s v="Iowa"/>
    <s v="Central"/>
    <s v="Small Market"/>
    <s v="Leaves"/>
    <x v="0"/>
    <x v="0"/>
    <s v="Regular"/>
    <n v="1778"/>
    <n v="59"/>
    <x v="178"/>
    <n v="211"/>
    <n v="83"/>
    <n v="191"/>
    <n v="0.42349999999999999"/>
    <n v="350"/>
    <n v="170"/>
    <n v="110"/>
    <n v="0.31430000000000002"/>
  </r>
  <r>
    <s v="TXN-00384"/>
    <d v="2024-05-08T00:00:00"/>
    <n v="937"/>
    <s v="Ohio"/>
    <s v="Central"/>
    <s v="Major Market"/>
    <s v="Beans"/>
    <x v="3"/>
    <x v="9"/>
    <s v="Regular"/>
    <n v="1319"/>
    <n v="42"/>
    <x v="109"/>
    <n v="153"/>
    <n v="66"/>
    <n v="129"/>
    <n v="0.3957"/>
    <n v="390"/>
    <n v="190"/>
    <n v="140"/>
    <n v="0.35899999999999999"/>
  </r>
  <r>
    <s v="TXN-00385"/>
    <d v="2024-05-09T00:00:00"/>
    <n v="561"/>
    <s v="Florida"/>
    <s v="East"/>
    <s v="Major Market"/>
    <s v="Leaves"/>
    <x v="2"/>
    <x v="8"/>
    <s v="Decaf"/>
    <n v="1063"/>
    <n v="23"/>
    <x v="179"/>
    <n v="75"/>
    <n v="45"/>
    <n v="65"/>
    <n v="0.37140000000000001"/>
    <n v="110"/>
    <n v="50"/>
    <n v="30"/>
    <n v="0.2727"/>
  </r>
  <r>
    <s v="TXN-00386"/>
    <d v="2024-05-09T00:00:00"/>
    <n v="563"/>
    <s v="Iowa"/>
    <s v="Central"/>
    <s v="Small Market"/>
    <s v="Leaves"/>
    <x v="0"/>
    <x v="0"/>
    <s v="Regular"/>
    <n v="1755"/>
    <n v="66"/>
    <x v="120"/>
    <n v="239"/>
    <n v="90"/>
    <n v="149"/>
    <n v="0.31169999999999998"/>
    <n v="340"/>
    <n v="170"/>
    <n v="110"/>
    <n v="0.32350000000000001"/>
  </r>
  <r>
    <s v="TXN-00387"/>
    <d v="2024-05-10T00:00:00"/>
    <n v="505"/>
    <s v="New Mexico"/>
    <s v="South"/>
    <s v="Small Market"/>
    <s v="Leaves"/>
    <x v="2"/>
    <x v="2"/>
    <s v="Decaf"/>
    <n v="846"/>
    <n v="5"/>
    <x v="27"/>
    <n v="21"/>
    <n v="17"/>
    <n v="21"/>
    <n v="0.38179999999999997"/>
    <n v="40"/>
    <n v="10"/>
    <n v="30"/>
    <n v="0.75"/>
  </r>
  <r>
    <s v="TXN-00388"/>
    <d v="2024-05-10T00:00:00"/>
    <n v="585"/>
    <s v="New York"/>
    <s v="East"/>
    <s v="Major Market"/>
    <s v="Leaves"/>
    <x v="0"/>
    <x v="0"/>
    <s v="Regular"/>
    <n v="971"/>
    <n v="30"/>
    <x v="79"/>
    <n v="108"/>
    <n v="42"/>
    <n v="171"/>
    <n v="0.60640000000000005"/>
    <n v="280"/>
    <n v="110"/>
    <n v="140"/>
    <n v="0.5"/>
  </r>
  <r>
    <s v="TXN-00389"/>
    <d v="2024-05-11T00:00:00"/>
    <n v="860"/>
    <s v="Connecticut"/>
    <s v="East"/>
    <s v="Small Market"/>
    <s v="Beans"/>
    <x v="3"/>
    <x v="6"/>
    <s v="Decaf"/>
    <n v="380"/>
    <n v="17"/>
    <x v="37"/>
    <n v="53"/>
    <n v="45"/>
    <n v="26"/>
    <n v="0.2097"/>
    <n v="120"/>
    <n v="50"/>
    <n v="40"/>
    <n v="0.33329999999999999"/>
  </r>
  <r>
    <s v="TXN-00390"/>
    <d v="2024-05-11T00:00:00"/>
    <n v="918"/>
    <s v="Oklahoma"/>
    <s v="South"/>
    <s v="Small Market"/>
    <s v="Leaves"/>
    <x v="2"/>
    <x v="4"/>
    <s v="Decaf"/>
    <n v="683"/>
    <n v="87"/>
    <x v="152"/>
    <n v="96"/>
    <n v="117"/>
    <n v="25"/>
    <n v="0.10199999999999999"/>
    <n v="200"/>
    <n v="80"/>
    <n v="40"/>
    <n v="0.2"/>
  </r>
  <r>
    <s v="TXN-00391"/>
    <d v="2024-05-11T00:00:00"/>
    <n v="971"/>
    <s v="Oregon"/>
    <s v="West"/>
    <s v="Small Market"/>
    <s v="Beans"/>
    <x v="1"/>
    <x v="5"/>
    <s v="Regular"/>
    <n v="470"/>
    <n v="17"/>
    <x v="0"/>
    <n v="53"/>
    <n v="61"/>
    <n v="14"/>
    <n v="0.1094"/>
    <n v="150"/>
    <n v="60"/>
    <n v="40"/>
    <n v="0.26669999999999999"/>
  </r>
  <r>
    <s v="TXN-00392"/>
    <d v="2024-05-12T00:00:00"/>
    <n v="417"/>
    <s v="Missouri"/>
    <s v="Central"/>
    <s v="Small Market"/>
    <s v="Beans"/>
    <x v="3"/>
    <x v="6"/>
    <s v="Decaf"/>
    <n v="833"/>
    <n v="8"/>
    <x v="180"/>
    <n v="32"/>
    <n v="19"/>
    <n v="42"/>
    <n v="0.5"/>
    <n v="110"/>
    <n v="30"/>
    <n v="80"/>
    <n v="0.72729999999999995"/>
  </r>
  <r>
    <s v="TXN-00393"/>
    <d v="2024-05-12T00:00:00"/>
    <n v="720"/>
    <s v="Colorado"/>
    <s v="Central"/>
    <s v="Major Market"/>
    <s v="Leaves"/>
    <x v="2"/>
    <x v="2"/>
    <s v="Decaf"/>
    <n v="1267"/>
    <n v="45"/>
    <x v="63"/>
    <n v="161"/>
    <n v="69"/>
    <n v="137"/>
    <n v="0.39939999999999998"/>
    <n v="260"/>
    <n v="120"/>
    <n v="110"/>
    <n v="0.42309999999999998"/>
  </r>
  <r>
    <s v="TXN-00394"/>
    <d v="2024-05-12T00:00:00"/>
    <n v="970"/>
    <s v="Colorado"/>
    <s v="Central"/>
    <s v="Major Market"/>
    <s v="Leaves"/>
    <x v="0"/>
    <x v="7"/>
    <s v="Regular"/>
    <n v="572"/>
    <n v="29"/>
    <x v="175"/>
    <n v="90"/>
    <n v="41"/>
    <n v="110"/>
    <n v="0.50460000000000005"/>
    <n v="140"/>
    <n v="50"/>
    <n v="80"/>
    <n v="0.57140000000000002"/>
  </r>
  <r>
    <s v="TXN-00395"/>
    <d v="2024-05-12T00:00:00"/>
    <n v="712"/>
    <s v="Iowa"/>
    <s v="Central"/>
    <s v="Small Market"/>
    <s v="Beans"/>
    <x v="1"/>
    <x v="1"/>
    <s v="Regular"/>
    <n v="848"/>
    <n v="4"/>
    <x v="104"/>
    <n v="15"/>
    <n v="16"/>
    <n v="12"/>
    <n v="0.28570000000000001"/>
    <n v="30"/>
    <n v="10"/>
    <n v="10"/>
    <n v="0.33329999999999999"/>
  </r>
  <r>
    <s v="TXN-00396"/>
    <d v="2024-05-13T00:00:00"/>
    <n v="312"/>
    <s v="Illinois"/>
    <s v="Central"/>
    <s v="Major Market"/>
    <s v="Leaves"/>
    <x v="2"/>
    <x v="4"/>
    <s v="Decaf"/>
    <n v="531"/>
    <n v="14"/>
    <x v="110"/>
    <n v="43"/>
    <n v="27"/>
    <n v="43"/>
    <n v="0.40570000000000001"/>
    <n v="90"/>
    <n v="40"/>
    <n v="30"/>
    <n v="0.33329999999999999"/>
  </r>
  <r>
    <s v="TXN-00397"/>
    <d v="2024-05-13T00:00:00"/>
    <n v="801"/>
    <s v="Utah"/>
    <s v="West"/>
    <s v="Small Market"/>
    <s v="Leaves"/>
    <x v="2"/>
    <x v="4"/>
    <s v="Decaf"/>
    <n v="462"/>
    <n v="15"/>
    <x v="139"/>
    <n v="48"/>
    <n v="46"/>
    <n v="28"/>
    <n v="0.22950000000000001"/>
    <n v="110"/>
    <n v="40"/>
    <n v="40"/>
    <n v="0.36359999999999998"/>
  </r>
  <r>
    <s v="TXN-00398"/>
    <d v="2024-05-13T00:00:00"/>
    <n v="937"/>
    <s v="Ohio"/>
    <s v="Central"/>
    <s v="Major Market"/>
    <s v="Leaves"/>
    <x v="2"/>
    <x v="4"/>
    <s v="Decaf"/>
    <n v="859"/>
    <n v="7"/>
    <x v="154"/>
    <n v="27"/>
    <n v="19"/>
    <n v="30"/>
    <n v="0.42859999999999998"/>
    <n v="40"/>
    <n v="10"/>
    <n v="30"/>
    <n v="0.75"/>
  </r>
  <r>
    <s v="TXN-00399"/>
    <d v="2024-05-14T00:00:00"/>
    <n v="337"/>
    <s v="Louisiana"/>
    <s v="South"/>
    <s v="Small Market"/>
    <s v="Leaves"/>
    <x v="2"/>
    <x v="4"/>
    <s v="Decaf"/>
    <n v="601"/>
    <n v="31"/>
    <x v="58"/>
    <n v="82"/>
    <n v="64"/>
    <n v="38"/>
    <n v="0.20649999999999999"/>
    <n v="170"/>
    <n v="70"/>
    <n v="40"/>
    <n v="0.23530000000000001"/>
  </r>
  <r>
    <s v="TXN-00400"/>
    <d v="2024-05-14T00:00:00"/>
    <n v="203"/>
    <s v="Connecticut"/>
    <s v="East"/>
    <s v="Small Market"/>
    <s v="Beans"/>
    <x v="1"/>
    <x v="5"/>
    <s v="Regular"/>
    <n v="1166"/>
    <n v="37"/>
    <x v="100"/>
    <n v="115"/>
    <n v="69"/>
    <n v="105"/>
    <n v="0.36330000000000001"/>
    <n v="260"/>
    <n v="100"/>
    <n v="110"/>
    <n v="0.42309999999999998"/>
  </r>
  <r>
    <s v="TXN-00401"/>
    <d v="2024-05-14T00:00:00"/>
    <n v="319"/>
    <s v="Iowa"/>
    <s v="Central"/>
    <s v="Small Market"/>
    <s v="Leaves"/>
    <x v="0"/>
    <x v="3"/>
    <s v="Regular"/>
    <n v="1784"/>
    <n v="93"/>
    <x v="181"/>
    <n v="245"/>
    <n v="127"/>
    <n v="173"/>
    <n v="0.31740000000000002"/>
    <n v="450"/>
    <n v="200"/>
    <n v="130"/>
    <n v="0.28889999999999999"/>
  </r>
  <r>
    <s v="TXN-00402"/>
    <d v="2024-05-14T00:00:00"/>
    <n v="801"/>
    <s v="Utah"/>
    <s v="West"/>
    <s v="Small Market"/>
    <s v="Beans"/>
    <x v="1"/>
    <x v="1"/>
    <s v="Regular"/>
    <n v="1060"/>
    <n v="21"/>
    <x v="182"/>
    <n v="69"/>
    <n v="42"/>
    <n v="39"/>
    <n v="0.26"/>
    <n v="170"/>
    <n v="80"/>
    <n v="50"/>
    <n v="0.29409999999999997"/>
  </r>
  <r>
    <s v="TXN-00403"/>
    <d v="2024-05-16T00:00:00"/>
    <n v="970"/>
    <s v="Colorado"/>
    <s v="Central"/>
    <s v="Major Market"/>
    <s v="Leaves"/>
    <x v="0"/>
    <x v="3"/>
    <s v="Regular"/>
    <n v="1054"/>
    <n v="16"/>
    <x v="37"/>
    <n v="53"/>
    <n v="37"/>
    <n v="39"/>
    <n v="0.3145"/>
    <n v="90"/>
    <n v="40"/>
    <n v="20"/>
    <n v="0.22220000000000001"/>
  </r>
  <r>
    <s v="TXN-00404"/>
    <d v="2024-05-16T00:00:00"/>
    <n v="801"/>
    <s v="Utah"/>
    <s v="West"/>
    <s v="Small Market"/>
    <s v="Leaves"/>
    <x v="0"/>
    <x v="7"/>
    <s v="Regular"/>
    <n v="211"/>
    <n v="12"/>
    <x v="159"/>
    <n v="34"/>
    <n v="45"/>
    <n v="-3"/>
    <n v="-3.95E-2"/>
    <n v="50"/>
    <n v="20"/>
    <n v="0"/>
    <n v="0"/>
  </r>
  <r>
    <s v="TXN-00405"/>
    <d v="2024-05-16T00:00:00"/>
    <n v="660"/>
    <s v="Missouri"/>
    <s v="Central"/>
    <s v="Small Market"/>
    <s v="Beans"/>
    <x v="3"/>
    <x v="6"/>
    <s v="Decaf"/>
    <n v="833"/>
    <n v="8"/>
    <x v="171"/>
    <n v="32"/>
    <n v="19"/>
    <n v="28"/>
    <n v="0.35439999999999999"/>
    <n v="110"/>
    <n v="30"/>
    <n v="80"/>
    <n v="0.72729999999999995"/>
  </r>
  <r>
    <s v="TXN-00406"/>
    <d v="2024-05-16T00:00:00"/>
    <n v="920"/>
    <s v="Wisconsin"/>
    <s v="Central"/>
    <s v="Small Market"/>
    <s v="Beans"/>
    <x v="1"/>
    <x v="1"/>
    <s v="Regular"/>
    <n v="403"/>
    <n v="24"/>
    <x v="47"/>
    <n v="65"/>
    <n v="58"/>
    <n v="33"/>
    <n v="0.21290000000000001"/>
    <n v="140"/>
    <n v="60"/>
    <n v="30"/>
    <n v="0.21429999999999999"/>
  </r>
  <r>
    <s v="TXN-00407"/>
    <d v="2024-05-16T00:00:00"/>
    <n v="314"/>
    <s v="Missouri"/>
    <s v="Central"/>
    <s v="Small Market"/>
    <s v="Beans"/>
    <x v="3"/>
    <x v="9"/>
    <s v="Regular"/>
    <n v="885"/>
    <n v="15"/>
    <x v="50"/>
    <n v="54"/>
    <n v="27"/>
    <n v="51"/>
    <n v="0.38640000000000002"/>
    <n v="160"/>
    <n v="60"/>
    <n v="80"/>
    <n v="0.5"/>
  </r>
  <r>
    <s v="TXN-00408"/>
    <d v="2024-05-16T00:00:00"/>
    <n v="916"/>
    <s v="California"/>
    <s v="West"/>
    <s v="Major Market"/>
    <s v="Leaves"/>
    <x v="0"/>
    <x v="0"/>
    <s v="Regular"/>
    <n v="959"/>
    <n v="34"/>
    <x v="1"/>
    <n v="123"/>
    <n v="45"/>
    <n v="134"/>
    <n v="0.44369999999999998"/>
    <n v="220"/>
    <n v="90"/>
    <n v="110"/>
    <n v="0.5"/>
  </r>
  <r>
    <s v="TXN-00409"/>
    <d v="2024-05-17T00:00:00"/>
    <n v="801"/>
    <s v="Utah"/>
    <s v="West"/>
    <s v="Small Market"/>
    <s v="Leaves"/>
    <x v="2"/>
    <x v="8"/>
    <s v="Decaf"/>
    <n v="1804"/>
    <n v="25"/>
    <x v="139"/>
    <n v="82"/>
    <n v="48"/>
    <n v="-8"/>
    <n v="-6.5600000000000006E-2"/>
    <n v="110"/>
    <n v="70"/>
    <n v="0"/>
    <n v="0"/>
  </r>
  <r>
    <s v="TXN-00410"/>
    <d v="2024-05-18T00:00:00"/>
    <n v="505"/>
    <s v="New Mexico"/>
    <s v="South"/>
    <s v="Small Market"/>
    <s v="Beans"/>
    <x v="3"/>
    <x v="10"/>
    <s v="Regular"/>
    <n v="-598"/>
    <n v="7"/>
    <x v="15"/>
    <n v="20"/>
    <n v="40"/>
    <n v="-22"/>
    <n v="-0.45829999999999999"/>
    <n v="30"/>
    <n v="10"/>
    <n v="-10"/>
    <n v="-0.33329999999999999"/>
  </r>
  <r>
    <s v="TXN-00411"/>
    <d v="2024-05-18T00:00:00"/>
    <n v="508"/>
    <s v="Massachusetts"/>
    <s v="East"/>
    <s v="Major Market"/>
    <s v="Beans"/>
    <x v="3"/>
    <x v="12"/>
    <s v="Regular"/>
    <n v="1283"/>
    <n v="50"/>
    <x v="84"/>
    <n v="181"/>
    <n v="74"/>
    <n v="108"/>
    <n v="0.29749999999999999"/>
    <n v="350"/>
    <n v="170"/>
    <n v="120"/>
    <n v="0.34289999999999998"/>
  </r>
  <r>
    <s v="TXN-00412"/>
    <d v="2024-05-18T00:00:00"/>
    <n v="503"/>
    <s v="Oregon"/>
    <s v="West"/>
    <s v="Small Market"/>
    <s v="Leaves"/>
    <x v="0"/>
    <x v="3"/>
    <s v="Regular"/>
    <n v="798"/>
    <n v="25"/>
    <x v="169"/>
    <n v="78"/>
    <n v="57"/>
    <n v="92"/>
    <n v="0.43809999999999999"/>
    <n v="140"/>
    <n v="50"/>
    <n v="50"/>
    <n v="0.35709999999999997"/>
  </r>
  <r>
    <s v="TXN-00413"/>
    <d v="2024-05-18T00:00:00"/>
    <n v="209"/>
    <s v="California"/>
    <s v="West"/>
    <s v="Major Market"/>
    <s v="Beans"/>
    <x v="3"/>
    <x v="6"/>
    <s v="Decaf"/>
    <n v="1744"/>
    <n v="81"/>
    <x v="136"/>
    <n v="247"/>
    <n v="113"/>
    <n v="321"/>
    <n v="0.52280000000000004"/>
    <n v="550"/>
    <n v="240"/>
    <n v="210"/>
    <n v="0.38179999999999997"/>
  </r>
  <r>
    <s v="TXN-00414"/>
    <d v="2024-05-19T00:00:00"/>
    <n v="918"/>
    <s v="Oklahoma"/>
    <s v="South"/>
    <s v="Small Market"/>
    <s v="Beans"/>
    <x v="3"/>
    <x v="6"/>
    <s v="Decaf"/>
    <n v="817"/>
    <n v="29"/>
    <x v="78"/>
    <n v="88"/>
    <n v="61"/>
    <n v="107"/>
    <n v="0.45340000000000003"/>
    <n v="170"/>
    <n v="60"/>
    <n v="60"/>
    <n v="0.35289999999999999"/>
  </r>
  <r>
    <s v="TXN-00415"/>
    <d v="2024-05-19T00:00:00"/>
    <n v="775"/>
    <s v="Nevada"/>
    <s v="West"/>
    <s v="Small Market"/>
    <s v="Leaves"/>
    <x v="0"/>
    <x v="7"/>
    <s v="Regular"/>
    <n v="8252"/>
    <n v="111"/>
    <x v="183"/>
    <n v="294"/>
    <n v="145"/>
    <n v="-408"/>
    <n v="-13.161300000000001"/>
    <n v="0"/>
    <n v="210"/>
    <n v="-320"/>
    <e v="#DIV/0!"/>
  </r>
  <r>
    <s v="TXN-00416"/>
    <d v="2024-05-20T00:00:00"/>
    <n v="435"/>
    <s v="Utah"/>
    <s v="West"/>
    <s v="Small Market"/>
    <s v="Beans"/>
    <x v="1"/>
    <x v="5"/>
    <s v="Regular"/>
    <n v="380"/>
    <n v="17"/>
    <x v="37"/>
    <n v="53"/>
    <n v="44"/>
    <n v="27"/>
    <n v="0.2177"/>
    <n v="140"/>
    <n v="60"/>
    <n v="50"/>
    <n v="0.35709999999999997"/>
  </r>
  <r>
    <s v="TXN-00417"/>
    <d v="2024-05-20T00:00:00"/>
    <n v="234"/>
    <s v="Ohio"/>
    <s v="Central"/>
    <s v="Major Market"/>
    <s v="Leaves"/>
    <x v="0"/>
    <x v="0"/>
    <s v="Regular"/>
    <n v="788"/>
    <n v="27"/>
    <x v="41"/>
    <n v="82"/>
    <n v="58"/>
    <n v="65"/>
    <n v="0.31709999999999999"/>
    <n v="140"/>
    <n v="50"/>
    <n v="60"/>
    <n v="0.42859999999999998"/>
  </r>
  <r>
    <s v="TXN-00418"/>
    <d v="2024-05-21T00:00:00"/>
    <n v="603"/>
    <s v="New Hampshire"/>
    <s v="East"/>
    <s v="Small Market"/>
    <s v="Beans"/>
    <x v="1"/>
    <x v="5"/>
    <s v="Regular"/>
    <n v="447"/>
    <n v="14"/>
    <x v="16"/>
    <n v="45"/>
    <n v="45"/>
    <n v="36"/>
    <n v="0.29749999999999999"/>
    <n v="90"/>
    <n v="30"/>
    <n v="50"/>
    <n v="0.55559999999999998"/>
  </r>
  <r>
    <s v="TXN-00419"/>
    <d v="2024-05-21T00:00:00"/>
    <n v="323"/>
    <s v="California"/>
    <s v="West"/>
    <s v="Major Market"/>
    <s v="Leaves"/>
    <x v="2"/>
    <x v="8"/>
    <s v="Decaf"/>
    <n v="536"/>
    <n v="13"/>
    <x v="71"/>
    <n v="40"/>
    <n v="25"/>
    <n v="40"/>
    <n v="0.40820000000000001"/>
    <n v="80"/>
    <n v="30"/>
    <n v="30"/>
    <n v="0.375"/>
  </r>
  <r>
    <s v="TXN-00420"/>
    <d v="2024-05-21T00:00:00"/>
    <n v="225"/>
    <s v="Louisiana"/>
    <s v="South"/>
    <s v="Small Market"/>
    <s v="Beans"/>
    <x v="1"/>
    <x v="11"/>
    <s v="Decaf"/>
    <n v="851"/>
    <n v="13"/>
    <x v="77"/>
    <n v="48"/>
    <n v="25"/>
    <n v="45"/>
    <n v="0.38140000000000002"/>
    <n v="160"/>
    <n v="70"/>
    <n v="80"/>
    <n v="0.5"/>
  </r>
  <r>
    <s v="TXN-00421"/>
    <d v="2024-05-22T00:00:00"/>
    <n v="318"/>
    <s v="Louisiana"/>
    <s v="South"/>
    <s v="Small Market"/>
    <s v="Beans"/>
    <x v="3"/>
    <x v="9"/>
    <s v="Regular"/>
    <n v="321"/>
    <n v="16"/>
    <x v="182"/>
    <n v="53"/>
    <n v="39"/>
    <n v="73"/>
    <n v="0.48670000000000002"/>
    <n v="100"/>
    <n v="40"/>
    <n v="30"/>
    <n v="0.3"/>
  </r>
  <r>
    <s v="TXN-00422"/>
    <d v="2024-05-22T00:00:00"/>
    <n v="360"/>
    <s v="Washington"/>
    <s v="West"/>
    <s v="Small Market"/>
    <s v="Leaves"/>
    <x v="0"/>
    <x v="3"/>
    <s v="Regular"/>
    <n v="449"/>
    <n v="14"/>
    <x v="153"/>
    <n v="46"/>
    <n v="36"/>
    <n v="31"/>
    <n v="0.27429999999999999"/>
    <n v="50"/>
    <n v="20"/>
    <n v="30"/>
    <n v="0.6"/>
  </r>
  <r>
    <s v="TXN-00423"/>
    <d v="2024-05-22T00:00:00"/>
    <n v="503"/>
    <s v="Oregon"/>
    <s v="West"/>
    <s v="Small Market"/>
    <s v="Leaves"/>
    <x v="2"/>
    <x v="2"/>
    <s v="Decaf"/>
    <n v="823"/>
    <n v="7"/>
    <x v="184"/>
    <n v="25"/>
    <n v="19"/>
    <n v="19"/>
    <n v="0.30159999999999998"/>
    <n v="50"/>
    <n v="20"/>
    <n v="20"/>
    <n v="0.4"/>
  </r>
  <r>
    <s v="TXN-00424"/>
    <d v="2024-05-22T00:00:00"/>
    <n v="650"/>
    <s v="California"/>
    <s v="West"/>
    <s v="Major Market"/>
    <s v="Leaves"/>
    <x v="0"/>
    <x v="7"/>
    <s v="Regular"/>
    <n v="659"/>
    <n v="24"/>
    <x v="62"/>
    <n v="75"/>
    <n v="55"/>
    <n v="59"/>
    <n v="0.31219999999999998"/>
    <n v="130"/>
    <n v="50"/>
    <n v="40"/>
    <n v="0.30769999999999997"/>
  </r>
  <r>
    <s v="TXN-00425"/>
    <d v="2024-05-23T00:00:00"/>
    <n v="435"/>
    <s v="Utah"/>
    <s v="West"/>
    <s v="Small Market"/>
    <s v="Leaves"/>
    <x v="2"/>
    <x v="2"/>
    <s v="Decaf"/>
    <n v="316"/>
    <n v="14"/>
    <x v="40"/>
    <n v="46"/>
    <n v="37"/>
    <n v="45"/>
    <n v="0.375"/>
    <n v="100"/>
    <n v="40"/>
    <n v="30"/>
    <n v="0.3"/>
  </r>
  <r>
    <s v="TXN-00426"/>
    <d v="2024-05-23T00:00:00"/>
    <n v="641"/>
    <s v="Iowa"/>
    <s v="Central"/>
    <s v="Small Market"/>
    <s v="Beans"/>
    <x v="1"/>
    <x v="1"/>
    <s v="Regular"/>
    <n v="851"/>
    <n v="4"/>
    <x v="70"/>
    <n v="16"/>
    <n v="15"/>
    <n v="10"/>
    <n v="0.24390000000000001"/>
    <n v="40"/>
    <n v="10"/>
    <n v="20"/>
    <n v="0.5"/>
  </r>
  <r>
    <s v="TXN-00427"/>
    <d v="2024-05-24T00:00:00"/>
    <n v="325"/>
    <s v="Texas"/>
    <s v="South"/>
    <s v="Major Market"/>
    <s v="Leaves"/>
    <x v="2"/>
    <x v="2"/>
    <s v="Decaf"/>
    <n v="405"/>
    <n v="17"/>
    <x v="30"/>
    <n v="52"/>
    <n v="45"/>
    <n v="39"/>
    <n v="0.29770000000000002"/>
    <n v="110"/>
    <n v="30"/>
    <n v="70"/>
    <n v="0.63639999999999997"/>
  </r>
  <r>
    <s v="TXN-00428"/>
    <d v="2024-05-24T00:00:00"/>
    <n v="608"/>
    <s v="Wisconsin"/>
    <s v="Central"/>
    <s v="Small Market"/>
    <s v="Beans"/>
    <x v="1"/>
    <x v="5"/>
    <s v="Regular"/>
    <n v="694"/>
    <n v="85"/>
    <x v="142"/>
    <n v="94"/>
    <n v="114"/>
    <n v="24"/>
    <n v="0.1004"/>
    <n v="220"/>
    <n v="90"/>
    <n v="30"/>
    <n v="0.13639999999999999"/>
  </r>
  <r>
    <s v="TXN-00429"/>
    <d v="2024-05-25T00:00:00"/>
    <n v="801"/>
    <s v="Utah"/>
    <s v="West"/>
    <s v="Small Market"/>
    <s v="Leaves"/>
    <x v="2"/>
    <x v="2"/>
    <s v="Decaf"/>
    <n v="310"/>
    <n v="15"/>
    <x v="40"/>
    <n v="49"/>
    <n v="38"/>
    <n v="33"/>
    <n v="0.27500000000000002"/>
    <n v="90"/>
    <n v="30"/>
    <n v="60"/>
    <n v="0.66669999999999996"/>
  </r>
  <r>
    <s v="TXN-00430"/>
    <d v="2024-05-25T00:00:00"/>
    <n v="636"/>
    <s v="Missouri"/>
    <s v="Central"/>
    <s v="Small Market"/>
    <s v="Leaves"/>
    <x v="0"/>
    <x v="3"/>
    <s v="Regular"/>
    <n v="211"/>
    <n v="12"/>
    <x v="159"/>
    <n v="34"/>
    <n v="45"/>
    <n v="-3"/>
    <n v="-3.95E-2"/>
    <n v="60"/>
    <n v="20"/>
    <n v="0"/>
    <n v="0"/>
  </r>
  <r>
    <s v="TXN-00431"/>
    <d v="2024-05-25T00:00:00"/>
    <n v="630"/>
    <s v="Illinois"/>
    <s v="Central"/>
    <s v="Major Market"/>
    <s v="Leaves"/>
    <x v="0"/>
    <x v="3"/>
    <s v="Regular"/>
    <n v="677"/>
    <n v="22"/>
    <x v="23"/>
    <n v="67"/>
    <n v="54"/>
    <n v="47"/>
    <n v="0.27979999999999999"/>
    <n v="130"/>
    <n v="50"/>
    <n v="40"/>
    <n v="0.30769999999999997"/>
  </r>
  <r>
    <s v="TXN-00432"/>
    <d v="2024-05-25T00:00:00"/>
    <n v="813"/>
    <s v="Florida"/>
    <s v="East"/>
    <s v="Major Market"/>
    <s v="Beans"/>
    <x v="3"/>
    <x v="9"/>
    <s v="Regular"/>
    <n v="694"/>
    <n v="85"/>
    <x v="142"/>
    <n v="94"/>
    <n v="115"/>
    <n v="22"/>
    <n v="9.2100000000000001E-2"/>
    <n v="210"/>
    <n v="90"/>
    <n v="20"/>
    <n v="9.5200000000000007E-2"/>
  </r>
  <r>
    <s v="TXN-00433"/>
    <d v="2024-05-26T00:00:00"/>
    <n v="405"/>
    <s v="Oklahoma"/>
    <s v="South"/>
    <s v="Small Market"/>
    <s v="Beans"/>
    <x v="1"/>
    <x v="11"/>
    <s v="Decaf"/>
    <n v="859"/>
    <n v="7"/>
    <x v="154"/>
    <n v="27"/>
    <n v="18"/>
    <n v="31"/>
    <n v="0.44290000000000002"/>
    <n v="90"/>
    <n v="30"/>
    <n v="60"/>
    <n v="0.66669999999999996"/>
  </r>
  <r>
    <s v="TXN-00434"/>
    <d v="2024-05-26T00:00:00"/>
    <n v="225"/>
    <s v="Louisiana"/>
    <s v="South"/>
    <s v="Small Market"/>
    <s v="Leaves"/>
    <x v="2"/>
    <x v="2"/>
    <s v="Decaf"/>
    <n v="564"/>
    <n v="33"/>
    <x v="78"/>
    <n v="103"/>
    <n v="46"/>
    <n v="87"/>
    <n v="0.36859999999999998"/>
    <n v="210"/>
    <n v="80"/>
    <n v="110"/>
    <n v="0.52380000000000004"/>
  </r>
  <r>
    <s v="TXN-00435"/>
    <d v="2024-05-26T00:00:00"/>
    <n v="585"/>
    <s v="New York"/>
    <s v="East"/>
    <s v="Major Market"/>
    <s v="Leaves"/>
    <x v="2"/>
    <x v="4"/>
    <s v="Decaf"/>
    <n v="1704"/>
    <n v="93"/>
    <x v="136"/>
    <n v="245"/>
    <n v="127"/>
    <n v="303"/>
    <n v="0.49349999999999999"/>
    <n v="420"/>
    <n v="180"/>
    <n v="140"/>
    <n v="0.33329999999999999"/>
  </r>
  <r>
    <s v="TXN-00436"/>
    <d v="2024-05-26T00:00:00"/>
    <n v="303"/>
    <s v="Colorado"/>
    <s v="Central"/>
    <s v="Major Market"/>
    <s v="Beans"/>
    <x v="3"/>
    <x v="9"/>
    <s v="Regular"/>
    <n v="580"/>
    <n v="21"/>
    <x v="163"/>
    <n v="76"/>
    <n v="32"/>
    <n v="79"/>
    <n v="0.42249999999999999"/>
    <n v="280"/>
    <n v="100"/>
    <n v="170"/>
    <n v="0.60709999999999997"/>
  </r>
  <r>
    <s v="TXN-00437"/>
    <d v="2024-05-26T00:00:00"/>
    <n v="641"/>
    <s v="Iowa"/>
    <s v="Central"/>
    <s v="Small Market"/>
    <s v="Leaves"/>
    <x v="0"/>
    <x v="0"/>
    <s v="Regular"/>
    <n v="1820"/>
    <n v="70"/>
    <x v="85"/>
    <n v="250"/>
    <n v="95"/>
    <n v="232"/>
    <n v="0.4345"/>
    <n v="410"/>
    <n v="210"/>
    <n v="120"/>
    <n v="0.29270000000000002"/>
  </r>
  <r>
    <s v="TXN-00438"/>
    <d v="2024-05-26T00:00:00"/>
    <n v="951"/>
    <s v="California"/>
    <s v="West"/>
    <s v="Major Market"/>
    <s v="Beans"/>
    <x v="1"/>
    <x v="11"/>
    <s v="Decaf"/>
    <n v="3654"/>
    <n v="50"/>
    <x v="174"/>
    <n v="154"/>
    <n v="93"/>
    <n v="-117"/>
    <n v="-0.9"/>
    <n v="190"/>
    <n v="220"/>
    <n v="-100"/>
    <n v="-0.52629999999999999"/>
  </r>
  <r>
    <s v="TXN-00439"/>
    <d v="2024-05-26T00:00:00"/>
    <n v="702"/>
    <s v="Nevada"/>
    <s v="West"/>
    <s v="Small Market"/>
    <s v="Leaves"/>
    <x v="0"/>
    <x v="0"/>
    <s v="Regular"/>
    <n v="1662"/>
    <n v="84"/>
    <x v="185"/>
    <n v="257"/>
    <n v="117"/>
    <n v="224"/>
    <n v="0.37459999999999999"/>
    <n v="290"/>
    <n v="110"/>
    <n v="130"/>
    <n v="0.44829999999999998"/>
  </r>
  <r>
    <s v="TXN-00440"/>
    <d v="2024-05-27T00:00:00"/>
    <n v="206"/>
    <s v="Washington"/>
    <s v="West"/>
    <s v="Small Market"/>
    <s v="Leaves"/>
    <x v="0"/>
    <x v="7"/>
    <s v="Regular"/>
    <n v="613"/>
    <n v="55"/>
    <x v="14"/>
    <n v="61"/>
    <n v="85"/>
    <n v="1"/>
    <n v="6.7999999999999996E-3"/>
    <n v="100"/>
    <n v="40"/>
    <n v="0"/>
    <n v="0"/>
  </r>
  <r>
    <s v="TXN-00441"/>
    <d v="2024-05-27T00:00:00"/>
    <n v="805"/>
    <s v="California"/>
    <s v="West"/>
    <s v="Major Market"/>
    <s v="Leaves"/>
    <x v="2"/>
    <x v="8"/>
    <s v="Decaf"/>
    <n v="531"/>
    <n v="14"/>
    <x v="73"/>
    <n v="43"/>
    <n v="27"/>
    <n v="29"/>
    <n v="0.29289999999999999"/>
    <n v="90"/>
    <n v="40"/>
    <n v="30"/>
    <n v="0.33329999999999999"/>
  </r>
  <r>
    <s v="TXN-00442"/>
    <d v="2024-05-27T00:00:00"/>
    <n v="225"/>
    <s v="Louisiana"/>
    <s v="South"/>
    <s v="Small Market"/>
    <s v="Leaves"/>
    <x v="2"/>
    <x v="2"/>
    <s v="Decaf"/>
    <n v="540"/>
    <n v="31"/>
    <x v="186"/>
    <n v="94"/>
    <n v="43"/>
    <n v="77"/>
    <n v="0.35980000000000001"/>
    <n v="190"/>
    <n v="80"/>
    <n v="70"/>
    <n v="0.36840000000000001"/>
  </r>
  <r>
    <s v="TXN-00443"/>
    <d v="2024-05-27T00:00:00"/>
    <n v="845"/>
    <s v="New York"/>
    <s v="East"/>
    <s v="Major Market"/>
    <s v="Beans"/>
    <x v="3"/>
    <x v="9"/>
    <s v="Regular"/>
    <n v="3142"/>
    <n v="113"/>
    <x v="187"/>
    <n v="125"/>
    <n v="146"/>
    <n v="-202"/>
    <n v="-2.9275000000000002"/>
    <n v="50"/>
    <n v="110"/>
    <n v="-170"/>
    <n v="-3.4"/>
  </r>
  <r>
    <s v="TXN-00444"/>
    <d v="2024-05-27T00:00:00"/>
    <n v="641"/>
    <s v="Iowa"/>
    <s v="Central"/>
    <s v="Small Market"/>
    <s v="Leaves"/>
    <x v="0"/>
    <x v="3"/>
    <s v="Regular"/>
    <n v="1784"/>
    <n v="93"/>
    <x v="188"/>
    <n v="245"/>
    <n v="127"/>
    <n v="257"/>
    <n v="0.44230000000000003"/>
    <n v="450"/>
    <n v="200"/>
    <n v="130"/>
    <n v="0.28889999999999999"/>
  </r>
  <r>
    <s v="TXN-00445"/>
    <d v="2024-05-27T00:00:00"/>
    <n v="775"/>
    <s v="Nevada"/>
    <s v="West"/>
    <s v="Small Market"/>
    <s v="Leaves"/>
    <x v="2"/>
    <x v="8"/>
    <s v="Decaf"/>
    <n v="789"/>
    <n v="39"/>
    <x v="38"/>
    <n v="122"/>
    <n v="62"/>
    <n v="169"/>
    <n v="0.53139999999999998"/>
    <n v="240"/>
    <n v="90"/>
    <n v="130"/>
    <n v="0.54169999999999996"/>
  </r>
  <r>
    <s v="TXN-00446"/>
    <d v="2024-05-28T00:00:00"/>
    <n v="319"/>
    <s v="Iowa"/>
    <s v="Central"/>
    <s v="Small Market"/>
    <s v="Leaves"/>
    <x v="2"/>
    <x v="2"/>
    <s v="Decaf"/>
    <n v="1662"/>
    <n v="84"/>
    <x v="91"/>
    <n v="257"/>
    <n v="117"/>
    <n v="332"/>
    <n v="0.5212"/>
    <n v="480"/>
    <n v="200"/>
    <n v="210"/>
    <n v="0.4375"/>
  </r>
  <r>
    <s v="TXN-00447"/>
    <d v="2024-05-28T00:00:00"/>
    <n v="530"/>
    <s v="California"/>
    <s v="West"/>
    <s v="Major Market"/>
    <s v="Beans"/>
    <x v="3"/>
    <x v="9"/>
    <s v="Regular"/>
    <n v="940"/>
    <n v="122"/>
    <x v="63"/>
    <n v="135"/>
    <n v="156"/>
    <n v="46"/>
    <n v="0.1341"/>
    <n v="310"/>
    <n v="130"/>
    <n v="40"/>
    <n v="0.129"/>
  </r>
  <r>
    <s v="TXN-00448"/>
    <d v="2024-06-01T00:00:00"/>
    <n v="430"/>
    <s v="Texas"/>
    <s v="South"/>
    <s v="Major Market"/>
    <s v="Leaves"/>
    <x v="2"/>
    <x v="4"/>
    <s v="Decaf"/>
    <n v="435"/>
    <n v="13"/>
    <x v="189"/>
    <n v="41"/>
    <n v="36"/>
    <n v="36"/>
    <n v="0.33329999999999999"/>
    <n v="90"/>
    <n v="30"/>
    <n v="30"/>
    <n v="0.33329999999999999"/>
  </r>
  <r>
    <s v="TXN-00449"/>
    <d v="2024-06-01T00:00:00"/>
    <n v="234"/>
    <s v="Ohio"/>
    <s v="Central"/>
    <s v="Major Market"/>
    <s v="Beans"/>
    <x v="1"/>
    <x v="11"/>
    <s v="Decaf"/>
    <n v="503"/>
    <n v="46"/>
    <x v="174"/>
    <n v="51"/>
    <n v="76"/>
    <n v="-7"/>
    <n v="-5.3800000000000001E-2"/>
    <n v="110"/>
    <n v="40"/>
    <n v="30"/>
    <n v="0.2727"/>
  </r>
  <r>
    <s v="TXN-00450"/>
    <d v="2024-06-02T00:00:00"/>
    <n v="213"/>
    <s v="California"/>
    <s v="West"/>
    <s v="Major Market"/>
    <s v="Leaves"/>
    <x v="2"/>
    <x v="4"/>
    <s v="Decaf"/>
    <n v="1272"/>
    <n v="69"/>
    <x v="155"/>
    <n v="225"/>
    <n v="91"/>
    <n v="174"/>
    <n v="0.35510000000000003"/>
    <n v="450"/>
    <n v="210"/>
    <n v="160"/>
    <n v="0.35560000000000003"/>
  </r>
  <r>
    <s v="TXN-00451"/>
    <d v="2024-06-03T00:00:00"/>
    <n v="505"/>
    <s v="New Mexico"/>
    <s v="South"/>
    <s v="Small Market"/>
    <s v="Beans"/>
    <x v="1"/>
    <x v="11"/>
    <s v="Decaf"/>
    <n v="1804"/>
    <n v="25"/>
    <x v="139"/>
    <n v="82"/>
    <n v="48"/>
    <n v="-8"/>
    <n v="-6.5600000000000006E-2"/>
    <n v="140"/>
    <n v="90"/>
    <n v="10"/>
    <n v="7.1400000000000005E-2"/>
  </r>
  <r>
    <s v="TXN-00452"/>
    <d v="2024-06-03T00:00:00"/>
    <n v="505"/>
    <s v="New Mexico"/>
    <s v="South"/>
    <s v="Small Market"/>
    <s v="Beans"/>
    <x v="3"/>
    <x v="9"/>
    <s v="Regular"/>
    <n v="325"/>
    <n v="40"/>
    <x v="153"/>
    <n v="44"/>
    <n v="69"/>
    <n v="-10"/>
    <n v="-8.8499999999999995E-2"/>
    <n v="80"/>
    <n v="30"/>
    <n v="0"/>
    <n v="0"/>
  </r>
  <r>
    <s v="TXN-00453"/>
    <d v="2024-06-03T00:00:00"/>
    <n v="281"/>
    <s v="Texas"/>
    <s v="South"/>
    <s v="Major Market"/>
    <s v="Beans"/>
    <x v="1"/>
    <x v="11"/>
    <s v="Decaf"/>
    <n v="541"/>
    <n v="12"/>
    <x v="157"/>
    <n v="39"/>
    <n v="25"/>
    <n v="39"/>
    <n v="0.40629999999999999"/>
    <n v="130"/>
    <n v="40"/>
    <n v="80"/>
    <n v="0.61539999999999995"/>
  </r>
  <r>
    <s v="TXN-00454"/>
    <d v="2024-06-03T00:00:00"/>
    <n v="909"/>
    <s v="California"/>
    <s v="West"/>
    <s v="Major Market"/>
    <s v="Beans"/>
    <x v="1"/>
    <x v="1"/>
    <s v="Regular"/>
    <n v="2555"/>
    <n v="39"/>
    <x v="44"/>
    <n v="122"/>
    <n v="61"/>
    <n v="-110"/>
    <n v="-0.94830000000000003"/>
    <n v="150"/>
    <n v="170"/>
    <n v="-60"/>
    <n v="-0.4"/>
  </r>
  <r>
    <s v="TXN-00455"/>
    <d v="2024-06-03T00:00:00"/>
    <n v="702"/>
    <s v="Nevada"/>
    <s v="West"/>
    <s v="Small Market"/>
    <s v="Leaves"/>
    <x v="2"/>
    <x v="2"/>
    <s v="Decaf"/>
    <n v="940"/>
    <n v="122"/>
    <x v="63"/>
    <n v="135"/>
    <n v="155"/>
    <n v="47"/>
    <n v="0.13700000000000001"/>
    <n v="290"/>
    <n v="120"/>
    <n v="30"/>
    <n v="0.10340000000000001"/>
  </r>
  <r>
    <s v="TXN-00456"/>
    <d v="2024-06-04T00:00:00"/>
    <n v="603"/>
    <s v="New Hampshire"/>
    <s v="East"/>
    <s v="Small Market"/>
    <s v="Leaves"/>
    <x v="0"/>
    <x v="7"/>
    <s v="Regular"/>
    <n v="430"/>
    <n v="0"/>
    <x v="190"/>
    <n v="0"/>
    <n v="11"/>
    <n v="47"/>
    <n v="1.0217000000000001"/>
    <n v="40"/>
    <n v="0"/>
    <n v="40"/>
    <n v="1"/>
  </r>
  <r>
    <s v="TXN-00457"/>
    <d v="2024-06-04T00:00:00"/>
    <n v="405"/>
    <s v="Oklahoma"/>
    <s v="South"/>
    <s v="Small Market"/>
    <s v="Beans"/>
    <x v="3"/>
    <x v="10"/>
    <s v="Regular"/>
    <n v="-2003"/>
    <n v="31"/>
    <x v="81"/>
    <n v="102"/>
    <n v="54"/>
    <n v="132"/>
    <n v="0.50570000000000004"/>
    <n v="180"/>
    <n v="80"/>
    <n v="60"/>
    <n v="0.33329999999999999"/>
  </r>
  <r>
    <s v="TXN-00458"/>
    <d v="2024-06-05T00:00:00"/>
    <n v="970"/>
    <s v="Colorado"/>
    <s v="Central"/>
    <s v="Major Market"/>
    <s v="Leaves"/>
    <x v="2"/>
    <x v="4"/>
    <s v="Decaf"/>
    <n v="509"/>
    <n v="47"/>
    <x v="2"/>
    <n v="52"/>
    <n v="77"/>
    <n v="-6"/>
    <n v="-4.5100000000000001E-2"/>
    <n v="110"/>
    <n v="40"/>
    <n v="10"/>
    <n v="9.0899999999999995E-2"/>
  </r>
  <r>
    <s v="TXN-00459"/>
    <d v="2024-06-05T00:00:00"/>
    <n v="505"/>
    <s v="New Mexico"/>
    <s v="South"/>
    <s v="Small Market"/>
    <s v="Beans"/>
    <x v="1"/>
    <x v="5"/>
    <s v="Regular"/>
    <n v="462"/>
    <n v="15"/>
    <x v="174"/>
    <n v="48"/>
    <n v="47"/>
    <n v="40"/>
    <n v="0.30769999999999997"/>
    <n v="140"/>
    <n v="50"/>
    <n v="50"/>
    <n v="0.35709999999999997"/>
  </r>
  <r>
    <s v="TXN-00460"/>
    <d v="2024-06-06T00:00:00"/>
    <n v="319"/>
    <s v="Iowa"/>
    <s v="Central"/>
    <s v="Small Market"/>
    <s v="Beans"/>
    <x v="3"/>
    <x v="9"/>
    <s v="Regular"/>
    <n v="800"/>
    <n v="6"/>
    <x v="118"/>
    <n v="23"/>
    <n v="17"/>
    <n v="18"/>
    <n v="0.31030000000000002"/>
    <n v="70"/>
    <n v="20"/>
    <n v="50"/>
    <n v="0.71430000000000005"/>
  </r>
  <r>
    <s v="TXN-00461"/>
    <d v="2024-06-06T00:00:00"/>
    <n v="603"/>
    <s v="New Hampshire"/>
    <s v="East"/>
    <s v="Small Market"/>
    <s v="Beans"/>
    <x v="3"/>
    <x v="12"/>
    <s v="Regular"/>
    <n v="209"/>
    <n v="9"/>
    <x v="166"/>
    <n v="25"/>
    <n v="43"/>
    <n v="-12"/>
    <n v="-0.21429999999999999"/>
    <n v="40"/>
    <n v="10"/>
    <n v="10"/>
    <n v="0.25"/>
  </r>
  <r>
    <s v="TXN-00462"/>
    <d v="2024-06-06T00:00:00"/>
    <n v="405"/>
    <s v="Oklahoma"/>
    <s v="South"/>
    <s v="Small Market"/>
    <s v="Beans"/>
    <x v="3"/>
    <x v="9"/>
    <s v="Regular"/>
    <n v="480"/>
    <n v="5"/>
    <x v="17"/>
    <n v="21"/>
    <n v="17"/>
    <n v="15"/>
    <n v="0.28299999999999997"/>
    <n v="30"/>
    <n v="0"/>
    <n v="30"/>
    <n v="1"/>
  </r>
  <r>
    <s v="TXN-00463"/>
    <d v="2024-06-06T00:00:00"/>
    <n v="573"/>
    <s v="Missouri"/>
    <s v="Central"/>
    <s v="Small Market"/>
    <s v="Beans"/>
    <x v="1"/>
    <x v="5"/>
    <s v="Regular"/>
    <n v="601"/>
    <n v="31"/>
    <x v="58"/>
    <n v="82"/>
    <n v="64"/>
    <n v="38"/>
    <n v="0.20649999999999999"/>
    <n v="180"/>
    <n v="80"/>
    <n v="40"/>
    <n v="0.22220000000000001"/>
  </r>
  <r>
    <s v="TXN-00464"/>
    <d v="2024-06-07T00:00:00"/>
    <n v="475"/>
    <s v="Connecticut"/>
    <s v="East"/>
    <s v="Small Market"/>
    <s v="Beans"/>
    <x v="3"/>
    <x v="9"/>
    <s v="Regular"/>
    <n v="627"/>
    <n v="49"/>
    <x v="30"/>
    <n v="55"/>
    <n v="78"/>
    <n v="-2"/>
    <n v="-1.5299999999999999E-2"/>
    <n v="120"/>
    <n v="50"/>
    <n v="10"/>
    <n v="8.3299999999999999E-2"/>
  </r>
  <r>
    <s v="TXN-00465"/>
    <d v="2024-06-07T00:00:00"/>
    <n v="435"/>
    <s v="Utah"/>
    <s v="West"/>
    <s v="Small Market"/>
    <s v="Leaves"/>
    <x v="2"/>
    <x v="2"/>
    <s v="Decaf"/>
    <n v="327"/>
    <n v="16"/>
    <x v="117"/>
    <n v="52"/>
    <n v="39"/>
    <n v="36"/>
    <n v="0.28349999999999997"/>
    <n v="110"/>
    <n v="40"/>
    <n v="40"/>
    <n v="0.36359999999999998"/>
  </r>
  <r>
    <s v="TXN-00466"/>
    <d v="2024-06-07T00:00:00"/>
    <n v="775"/>
    <s v="Nevada"/>
    <s v="West"/>
    <s v="Small Market"/>
    <s v="Beans"/>
    <x v="3"/>
    <x v="6"/>
    <s v="Decaf"/>
    <n v="802"/>
    <n v="6"/>
    <x v="166"/>
    <n v="22"/>
    <n v="17"/>
    <n v="17"/>
    <n v="0.30359999999999998"/>
    <n v="50"/>
    <n v="20"/>
    <n v="20"/>
    <n v="0.4"/>
  </r>
  <r>
    <s v="TXN-00467"/>
    <d v="2024-06-07T00:00:00"/>
    <n v="702"/>
    <s v="Nevada"/>
    <s v="West"/>
    <s v="Small Market"/>
    <s v="Leaves"/>
    <x v="2"/>
    <x v="2"/>
    <s v="Decaf"/>
    <n v="912"/>
    <n v="109"/>
    <x v="12"/>
    <n v="121"/>
    <n v="142"/>
    <n v="39"/>
    <n v="0.12659999999999999"/>
    <n v="260"/>
    <n v="110"/>
    <n v="20"/>
    <n v="7.6899999999999996E-2"/>
  </r>
  <r>
    <s v="TXN-00468"/>
    <d v="2024-06-09T00:00:00"/>
    <n v="314"/>
    <s v="Missouri"/>
    <s v="Central"/>
    <s v="Small Market"/>
    <s v="Leaves"/>
    <x v="0"/>
    <x v="7"/>
    <s v="Regular"/>
    <n v="243"/>
    <n v="12"/>
    <x v="171"/>
    <n v="33"/>
    <n v="45"/>
    <n v="-6"/>
    <n v="-7.5899999999999995E-2"/>
    <n v="60"/>
    <n v="20"/>
    <n v="0"/>
    <n v="0"/>
  </r>
  <r>
    <s v="TXN-00469"/>
    <d v="2024-06-09T00:00:00"/>
    <n v="435"/>
    <s v="Utah"/>
    <s v="West"/>
    <s v="Small Market"/>
    <s v="Leaves"/>
    <x v="2"/>
    <x v="4"/>
    <s v="Decaf"/>
    <n v="462"/>
    <n v="15"/>
    <x v="174"/>
    <n v="48"/>
    <n v="46"/>
    <n v="42"/>
    <n v="0.3231"/>
    <n v="110"/>
    <n v="40"/>
    <n v="40"/>
    <n v="0.36359999999999998"/>
  </r>
  <r>
    <s v="TXN-00470"/>
    <d v="2024-06-10T00:00:00"/>
    <n v="203"/>
    <s v="Connecticut"/>
    <s v="East"/>
    <s v="Small Market"/>
    <s v="Leaves"/>
    <x v="0"/>
    <x v="7"/>
    <s v="Regular"/>
    <n v="809"/>
    <n v="10"/>
    <x v="162"/>
    <n v="36"/>
    <n v="21"/>
    <n v="33"/>
    <n v="0.36670000000000003"/>
    <n v="90"/>
    <n v="30"/>
    <n v="40"/>
    <n v="0.44440000000000002"/>
  </r>
  <r>
    <s v="TXN-00471"/>
    <d v="2024-06-10T00:00:00"/>
    <n v="970"/>
    <s v="Colorado"/>
    <s v="Central"/>
    <s v="Major Market"/>
    <s v="Leaves"/>
    <x v="2"/>
    <x v="8"/>
    <s v="Decaf"/>
    <n v="405"/>
    <n v="17"/>
    <x v="30"/>
    <n v="52"/>
    <n v="45"/>
    <n v="39"/>
    <n v="0.29770000000000002"/>
    <n v="90"/>
    <n v="30"/>
    <n v="50"/>
    <n v="0.55559999999999998"/>
  </r>
  <r>
    <s v="TXN-00472"/>
    <d v="2024-06-10T00:00:00"/>
    <n v="775"/>
    <s v="Nevada"/>
    <s v="West"/>
    <s v="Small Market"/>
    <s v="Beans"/>
    <x v="1"/>
    <x v="11"/>
    <s v="Decaf"/>
    <n v="1000"/>
    <n v="9"/>
    <x v="3"/>
    <n v="31"/>
    <n v="30"/>
    <n v="10"/>
    <n v="0.1389"/>
    <n v="90"/>
    <n v="30"/>
    <n v="50"/>
    <n v="0.55559999999999998"/>
  </r>
  <r>
    <s v="TXN-00473"/>
    <d v="2024-06-10T00:00:00"/>
    <n v="641"/>
    <s v="Iowa"/>
    <s v="Central"/>
    <s v="Small Market"/>
    <s v="Beans"/>
    <x v="1"/>
    <x v="5"/>
    <s v="Regular"/>
    <n v="1009"/>
    <n v="9"/>
    <x v="7"/>
    <n v="31"/>
    <n v="30"/>
    <n v="12"/>
    <n v="0.16220000000000001"/>
    <n v="60"/>
    <n v="30"/>
    <n v="10"/>
    <n v="0.16669999999999999"/>
  </r>
  <r>
    <s v="TXN-00474"/>
    <d v="2024-06-10T00:00:00"/>
    <n v="580"/>
    <s v="Oklahoma"/>
    <s v="South"/>
    <s v="Small Market"/>
    <s v="Beans"/>
    <x v="1"/>
    <x v="5"/>
    <s v="Regular"/>
    <n v="551"/>
    <n v="26"/>
    <x v="108"/>
    <n v="81"/>
    <n v="38"/>
    <n v="98"/>
    <n v="0.4975"/>
    <n v="220"/>
    <n v="90"/>
    <n v="100"/>
    <n v="0.45450000000000002"/>
  </r>
  <r>
    <s v="TXN-00475"/>
    <d v="2024-06-11T00:00:00"/>
    <n v="617"/>
    <s v="Massachusetts"/>
    <s v="East"/>
    <s v="Major Market"/>
    <s v="Leaves"/>
    <x v="0"/>
    <x v="0"/>
    <s v="Regular"/>
    <n v="870"/>
    <n v="9"/>
    <x v="74"/>
    <n v="33"/>
    <n v="20"/>
    <n v="29"/>
    <n v="0.35370000000000001"/>
    <n v="80"/>
    <n v="30"/>
    <n v="40"/>
    <n v="0.5"/>
  </r>
  <r>
    <s v="TXN-00476"/>
    <d v="2024-06-11T00:00:00"/>
    <n v="614"/>
    <s v="Ohio"/>
    <s v="Central"/>
    <s v="Major Market"/>
    <s v="Beans"/>
    <x v="1"/>
    <x v="5"/>
    <s v="Regular"/>
    <n v="424"/>
    <n v="14"/>
    <x v="13"/>
    <n v="46"/>
    <n v="36"/>
    <n v="32"/>
    <n v="0.28070000000000001"/>
    <n v="110"/>
    <n v="40"/>
    <n v="40"/>
    <n v="0.36359999999999998"/>
  </r>
  <r>
    <s v="TXN-00477"/>
    <d v="2024-06-11T00:00:00"/>
    <n v="503"/>
    <s v="Oregon"/>
    <s v="West"/>
    <s v="Small Market"/>
    <s v="Beans"/>
    <x v="1"/>
    <x v="1"/>
    <s v="Regular"/>
    <n v="521"/>
    <n v="42"/>
    <x v="22"/>
    <n v="47"/>
    <n v="72"/>
    <n v="-7"/>
    <n v="-6.25E-2"/>
    <n v="130"/>
    <n v="50"/>
    <n v="20"/>
    <n v="0.15379999999999999"/>
  </r>
  <r>
    <s v="TXN-00478"/>
    <d v="2024-06-11T00:00:00"/>
    <n v="815"/>
    <s v="Illinois"/>
    <s v="Central"/>
    <s v="Major Market"/>
    <s v="Leaves"/>
    <x v="0"/>
    <x v="3"/>
    <s v="Regular"/>
    <n v="650"/>
    <n v="23"/>
    <x v="177"/>
    <n v="72"/>
    <n v="55"/>
    <n v="82"/>
    <n v="0.42270000000000002"/>
    <n v="130"/>
    <n v="50"/>
    <n v="50"/>
    <n v="0.3846"/>
  </r>
  <r>
    <s v="TXN-00479"/>
    <d v="2024-06-11T00:00:00"/>
    <n v="716"/>
    <s v="New York"/>
    <s v="East"/>
    <s v="Major Market"/>
    <s v="Leaves"/>
    <x v="2"/>
    <x v="8"/>
    <s v="Decaf"/>
    <n v="5121"/>
    <n v="74"/>
    <x v="164"/>
    <n v="241"/>
    <n v="96"/>
    <n v="-189"/>
    <n v="-1.2769999999999999"/>
    <n v="100"/>
    <n v="180"/>
    <n v="-150"/>
    <n v="-1.5"/>
  </r>
  <r>
    <s v="TXN-00480"/>
    <d v="2024-06-11T00:00:00"/>
    <n v="209"/>
    <s v="California"/>
    <s v="West"/>
    <s v="Major Market"/>
    <s v="Beans"/>
    <x v="3"/>
    <x v="6"/>
    <s v="Decaf"/>
    <n v="1744"/>
    <n v="81"/>
    <x v="55"/>
    <n v="247"/>
    <n v="113"/>
    <n v="216"/>
    <n v="0.375"/>
    <n v="550"/>
    <n v="240"/>
    <n v="210"/>
    <n v="0.38179999999999997"/>
  </r>
  <r>
    <s v="TXN-00481"/>
    <d v="2024-06-11T00:00:00"/>
    <n v="541"/>
    <s v="Oregon"/>
    <s v="West"/>
    <s v="Small Market"/>
    <s v="Leaves"/>
    <x v="2"/>
    <x v="4"/>
    <s v="Decaf"/>
    <n v="551"/>
    <n v="26"/>
    <x v="42"/>
    <n v="81"/>
    <n v="38"/>
    <n v="66"/>
    <n v="0.35680000000000001"/>
    <n v="170"/>
    <n v="70"/>
    <n v="70"/>
    <n v="0.4118"/>
  </r>
  <r>
    <s v="TXN-00482"/>
    <d v="2024-06-12T00:00:00"/>
    <n v="360"/>
    <s v="Washington"/>
    <s v="West"/>
    <s v="Small Market"/>
    <s v="Leaves"/>
    <x v="0"/>
    <x v="7"/>
    <s v="Regular"/>
    <n v="627"/>
    <n v="49"/>
    <x v="30"/>
    <n v="55"/>
    <n v="79"/>
    <n v="-3"/>
    <n v="-2.29E-2"/>
    <n v="90"/>
    <n v="40"/>
    <n v="-10"/>
    <n v="-0.1111"/>
  </r>
  <r>
    <s v="TXN-00483"/>
    <d v="2024-06-12T00:00:00"/>
    <n v="832"/>
    <s v="Texas"/>
    <s v="South"/>
    <s v="Major Market"/>
    <s v="Beans"/>
    <x v="3"/>
    <x v="10"/>
    <s v="Regular"/>
    <n v="-868"/>
    <n v="23"/>
    <x v="68"/>
    <n v="72"/>
    <n v="55"/>
    <n v="55"/>
    <n v="0.30220000000000002"/>
    <n v="110"/>
    <n v="40"/>
    <n v="50"/>
    <n v="0.45450000000000002"/>
  </r>
  <r>
    <s v="TXN-00484"/>
    <d v="2024-06-12T00:00:00"/>
    <n v="203"/>
    <s v="Connecticut"/>
    <s v="East"/>
    <s v="Small Market"/>
    <s v="Beans"/>
    <x v="3"/>
    <x v="9"/>
    <s v="Regular"/>
    <n v="627"/>
    <n v="49"/>
    <x v="4"/>
    <n v="55"/>
    <n v="78"/>
    <n v="-3"/>
    <n v="-2.1399999999999999E-2"/>
    <n v="120"/>
    <n v="50"/>
    <n v="10"/>
    <n v="8.3299999999999999E-2"/>
  </r>
  <r>
    <s v="TXN-00485"/>
    <d v="2024-06-14T00:00:00"/>
    <n v="435"/>
    <s v="Utah"/>
    <s v="West"/>
    <s v="Small Market"/>
    <s v="Leaves"/>
    <x v="2"/>
    <x v="8"/>
    <s v="Decaf"/>
    <n v="1898"/>
    <n v="28"/>
    <x v="127"/>
    <n v="92"/>
    <n v="51"/>
    <n v="25"/>
    <n v="0.1462"/>
    <n v="140"/>
    <n v="80"/>
    <n v="20"/>
    <n v="0.1429"/>
  </r>
  <r>
    <s v="TXN-00486"/>
    <d v="2024-06-14T00:00:00"/>
    <n v="573"/>
    <s v="Missouri"/>
    <s v="Central"/>
    <s v="Small Market"/>
    <s v="Beans"/>
    <x v="3"/>
    <x v="9"/>
    <s v="Regular"/>
    <n v="881"/>
    <n v="11"/>
    <x v="110"/>
    <n v="40"/>
    <n v="23"/>
    <n v="53"/>
    <n v="0.5"/>
    <n v="140"/>
    <n v="50"/>
    <n v="90"/>
    <n v="0.64290000000000003"/>
  </r>
  <r>
    <s v="TXN-00487"/>
    <d v="2024-06-14T00:00:00"/>
    <n v="714"/>
    <s v="California"/>
    <s v="West"/>
    <s v="Major Market"/>
    <s v="Beans"/>
    <x v="3"/>
    <x v="6"/>
    <s v="Decaf"/>
    <n v="1662"/>
    <n v="84"/>
    <x v="185"/>
    <n v="257"/>
    <n v="116"/>
    <n v="225"/>
    <n v="0.37630000000000002"/>
    <n v="550"/>
    <n v="230"/>
    <n v="240"/>
    <n v="0.43640000000000001"/>
  </r>
  <r>
    <s v="TXN-00488"/>
    <d v="2024-06-15T00:00:00"/>
    <n v="339"/>
    <s v="Massachusetts"/>
    <s v="East"/>
    <s v="Major Market"/>
    <s v="Beans"/>
    <x v="3"/>
    <x v="9"/>
    <s v="Regular"/>
    <n v="554"/>
    <n v="47"/>
    <x v="0"/>
    <n v="52"/>
    <n v="76"/>
    <n v="-12"/>
    <n v="-9.3799999999999994E-2"/>
    <n v="110"/>
    <n v="50"/>
    <n v="0"/>
    <n v="0"/>
  </r>
  <r>
    <s v="TXN-00489"/>
    <d v="2024-06-15T00:00:00"/>
    <n v="262"/>
    <s v="Wisconsin"/>
    <s v="Central"/>
    <s v="Small Market"/>
    <s v="Leaves"/>
    <x v="2"/>
    <x v="2"/>
    <s v="Decaf"/>
    <n v="321"/>
    <n v="16"/>
    <x v="182"/>
    <n v="53"/>
    <n v="40"/>
    <n v="71"/>
    <n v="0.4733"/>
    <n v="130"/>
    <n v="50"/>
    <n v="50"/>
    <n v="0.3846"/>
  </r>
  <r>
    <s v="TXN-00490"/>
    <d v="2024-06-16T00:00:00"/>
    <n v="541"/>
    <s v="Oregon"/>
    <s v="West"/>
    <s v="Small Market"/>
    <s v="Leaves"/>
    <x v="0"/>
    <x v="0"/>
    <s v="Regular"/>
    <n v="482"/>
    <n v="8"/>
    <x v="21"/>
    <n v="32"/>
    <n v="20"/>
    <n v="28"/>
    <n v="0.35"/>
    <n v="50"/>
    <n v="20"/>
    <n v="30"/>
    <n v="0.6"/>
  </r>
  <r>
    <s v="TXN-00491"/>
    <d v="2024-06-16T00:00:00"/>
    <n v="405"/>
    <s v="Oklahoma"/>
    <s v="South"/>
    <s v="Small Market"/>
    <s v="Beans"/>
    <x v="3"/>
    <x v="6"/>
    <s v="Decaf"/>
    <n v="788"/>
    <n v="27"/>
    <x v="175"/>
    <n v="82"/>
    <n v="58"/>
    <n v="96"/>
    <n v="0.44040000000000001"/>
    <n v="130"/>
    <n v="50"/>
    <n v="60"/>
    <n v="0.46150000000000002"/>
  </r>
  <r>
    <s v="TXN-00492"/>
    <d v="2024-06-17T00:00:00"/>
    <n v="603"/>
    <s v="New Hampshire"/>
    <s v="East"/>
    <s v="Small Market"/>
    <s v="Beans"/>
    <x v="3"/>
    <x v="12"/>
    <s v="Regular"/>
    <n v="211"/>
    <n v="12"/>
    <x v="159"/>
    <n v="34"/>
    <n v="45"/>
    <n v="-3"/>
    <n v="-3.95E-2"/>
    <n v="70"/>
    <n v="30"/>
    <n v="0"/>
    <n v="0"/>
  </r>
  <r>
    <s v="TXN-00493"/>
    <d v="2024-06-18T00:00:00"/>
    <n v="254"/>
    <s v="Texas"/>
    <s v="South"/>
    <s v="Major Market"/>
    <s v="Beans"/>
    <x v="3"/>
    <x v="9"/>
    <s v="Regular"/>
    <n v="959"/>
    <n v="34"/>
    <x v="34"/>
    <n v="123"/>
    <n v="46"/>
    <n v="197"/>
    <n v="0.61180000000000001"/>
    <n v="230"/>
    <n v="90"/>
    <n v="110"/>
    <n v="0.4783"/>
  </r>
  <r>
    <s v="TXN-00494"/>
    <d v="2024-06-18T00:00:00"/>
    <n v="716"/>
    <s v="New York"/>
    <s v="East"/>
    <s v="Major Market"/>
    <s v="Beans"/>
    <x v="1"/>
    <x v="5"/>
    <s v="Regular"/>
    <n v="2548"/>
    <n v="91"/>
    <x v="191"/>
    <n v="260"/>
    <n v="143"/>
    <n v="367"/>
    <n v="0.52959999999999996"/>
    <n v="540"/>
    <n v="210"/>
    <n v="230"/>
    <n v="0.4259"/>
  </r>
  <r>
    <s v="TXN-00495"/>
    <d v="2024-06-18T00:00:00"/>
    <n v="573"/>
    <s v="Missouri"/>
    <s v="Central"/>
    <s v="Small Market"/>
    <s v="Beans"/>
    <x v="1"/>
    <x v="5"/>
    <s v="Regular"/>
    <n v="601"/>
    <n v="31"/>
    <x v="82"/>
    <n v="82"/>
    <n v="64"/>
    <n v="56"/>
    <n v="0.28570000000000001"/>
    <n v="180"/>
    <n v="80"/>
    <n v="40"/>
    <n v="0.22220000000000001"/>
  </r>
  <r>
    <s v="TXN-00496"/>
    <d v="2024-06-19T00:00:00"/>
    <n v="435"/>
    <s v="Utah"/>
    <s v="West"/>
    <s v="Small Market"/>
    <s v="Leaves"/>
    <x v="0"/>
    <x v="3"/>
    <s v="Regular"/>
    <n v="244"/>
    <n v="12"/>
    <x v="71"/>
    <n v="39"/>
    <n v="39"/>
    <n v="21"/>
    <n v="0.21429999999999999"/>
    <n v="40"/>
    <n v="10"/>
    <n v="20"/>
    <n v="0.5"/>
  </r>
  <r>
    <s v="TXN-00497"/>
    <d v="2024-06-19T00:00:00"/>
    <n v="515"/>
    <s v="Iowa"/>
    <s v="Central"/>
    <s v="Small Market"/>
    <s v="Leaves"/>
    <x v="2"/>
    <x v="4"/>
    <s v="Decaf"/>
    <n v="830"/>
    <n v="40"/>
    <x v="192"/>
    <n v="127"/>
    <n v="62"/>
    <n v="183"/>
    <n v="0.55120000000000002"/>
    <n v="290"/>
    <n v="120"/>
    <n v="120"/>
    <n v="0.4138"/>
  </r>
  <r>
    <s v="TXN-00498"/>
    <d v="2024-06-20T00:00:00"/>
    <n v="860"/>
    <s v="Connecticut"/>
    <s v="East"/>
    <s v="Small Market"/>
    <s v="Beans"/>
    <x v="3"/>
    <x v="6"/>
    <s v="Decaf"/>
    <n v="375"/>
    <n v="15"/>
    <x v="193"/>
    <n v="47"/>
    <n v="43"/>
    <n v="21"/>
    <n v="0.18920000000000001"/>
    <n v="90"/>
    <n v="30"/>
    <n v="50"/>
    <n v="0.55559999999999998"/>
  </r>
  <r>
    <s v="TXN-00499"/>
    <d v="2024-06-20T00:00:00"/>
    <n v="860"/>
    <s v="Connecticut"/>
    <s v="East"/>
    <s v="Small Market"/>
    <s v="Leaves"/>
    <x v="2"/>
    <x v="4"/>
    <s v="Decaf"/>
    <n v="601"/>
    <n v="31"/>
    <x v="58"/>
    <n v="82"/>
    <n v="64"/>
    <n v="38"/>
    <n v="0.20649999999999999"/>
    <n v="130"/>
    <n v="60"/>
    <n v="30"/>
    <n v="0.23080000000000001"/>
  </r>
  <r>
    <s v="TXN-00500"/>
    <d v="2024-06-20T00:00:00"/>
    <n v="702"/>
    <s v="Nevada"/>
    <s v="West"/>
    <s v="Small Market"/>
    <s v="Leaves"/>
    <x v="2"/>
    <x v="4"/>
    <s v="Decaf"/>
    <n v="1150"/>
    <n v="57"/>
    <x v="194"/>
    <n v="173"/>
    <n v="101"/>
    <n v="138"/>
    <n v="0.33500000000000002"/>
    <n v="380"/>
    <n v="160"/>
    <n v="130"/>
    <n v="0.34210000000000002"/>
  </r>
  <r>
    <s v="TXN-00501"/>
    <d v="2024-06-20T00:00:00"/>
    <n v="971"/>
    <s v="Oregon"/>
    <s v="West"/>
    <s v="Small Market"/>
    <s v="Beans"/>
    <x v="3"/>
    <x v="6"/>
    <s v="Decaf"/>
    <n v="1319"/>
    <n v="42"/>
    <x v="109"/>
    <n v="153"/>
    <n v="66"/>
    <n v="129"/>
    <n v="0.3957"/>
    <n v="290"/>
    <n v="150"/>
    <n v="80"/>
    <n v="0.27589999999999998"/>
  </r>
  <r>
    <s v="TXN-00502"/>
    <d v="2024-06-21T00:00:00"/>
    <n v="210"/>
    <s v="Texas"/>
    <s v="South"/>
    <s v="Major Market"/>
    <s v="Beans"/>
    <x v="3"/>
    <x v="6"/>
    <s v="Decaf"/>
    <n v="589"/>
    <n v="14"/>
    <x v="57"/>
    <n v="50"/>
    <n v="25"/>
    <n v="48"/>
    <n v="0.39019999999999999"/>
    <n v="90"/>
    <n v="30"/>
    <n v="40"/>
    <n v="0.44440000000000002"/>
  </r>
  <r>
    <s v="TXN-00503"/>
    <d v="2024-06-21T00:00:00"/>
    <n v="303"/>
    <s v="Colorado"/>
    <s v="Central"/>
    <s v="Major Market"/>
    <s v="Leaves"/>
    <x v="0"/>
    <x v="0"/>
    <s v="Regular"/>
    <n v="422"/>
    <n v="17"/>
    <x v="18"/>
    <n v="46"/>
    <n v="51"/>
    <n v="6"/>
    <n v="5.8299999999999998E-2"/>
    <n v="80"/>
    <n v="30"/>
    <n v="10"/>
    <n v="0.125"/>
  </r>
  <r>
    <s v="TXN-00504"/>
    <d v="2024-06-22T00:00:00"/>
    <n v="660"/>
    <s v="Missouri"/>
    <s v="Central"/>
    <s v="Small Market"/>
    <s v="Beans"/>
    <x v="1"/>
    <x v="11"/>
    <s v="Decaf"/>
    <n v="1053"/>
    <n v="20"/>
    <x v="146"/>
    <n v="65"/>
    <n v="42"/>
    <n v="35"/>
    <n v="0.2465"/>
    <n v="130"/>
    <n v="50"/>
    <n v="70"/>
    <n v="0.53849999999999998"/>
  </r>
  <r>
    <s v="TXN-00505"/>
    <d v="2024-06-22T00:00:00"/>
    <n v="712"/>
    <s v="Iowa"/>
    <s v="Central"/>
    <s v="Small Market"/>
    <s v="Leaves"/>
    <x v="2"/>
    <x v="2"/>
    <s v="Decaf"/>
    <n v="1691"/>
    <n v="75"/>
    <x v="195"/>
    <n v="228"/>
    <n v="108"/>
    <n v="196"/>
    <n v="0.36840000000000001"/>
    <n v="490"/>
    <n v="210"/>
    <n v="180"/>
    <n v="0.36730000000000002"/>
  </r>
  <r>
    <s v="TXN-00506"/>
    <d v="2024-06-23T00:00:00"/>
    <n v="435"/>
    <s v="Utah"/>
    <s v="West"/>
    <s v="Small Market"/>
    <s v="Beans"/>
    <x v="3"/>
    <x v="10"/>
    <s v="Regular"/>
    <n v="833"/>
    <n v="8"/>
    <x v="180"/>
    <n v="32"/>
    <n v="19"/>
    <n v="42"/>
    <n v="0.5"/>
    <n v="60"/>
    <n v="20"/>
    <n v="40"/>
    <n v="0.66669999999999996"/>
  </r>
  <r>
    <s v="TXN-00507"/>
    <d v="2024-06-23T00:00:00"/>
    <n v="914"/>
    <s v="New York"/>
    <s v="East"/>
    <s v="Major Market"/>
    <s v="Beans"/>
    <x v="3"/>
    <x v="9"/>
    <s v="Regular"/>
    <n v="3142"/>
    <n v="113"/>
    <x v="7"/>
    <n v="125"/>
    <n v="146"/>
    <n v="-300"/>
    <n v="-4.0541"/>
    <n v="50"/>
    <n v="110"/>
    <n v="-170"/>
    <n v="-3.4"/>
  </r>
  <r>
    <s v="TXN-00508"/>
    <d v="2024-06-23T00:00:00"/>
    <n v="530"/>
    <s v="California"/>
    <s v="West"/>
    <s v="Major Market"/>
    <s v="Beans"/>
    <x v="3"/>
    <x v="9"/>
    <s v="Regular"/>
    <n v="940"/>
    <n v="122"/>
    <x v="34"/>
    <n v="135"/>
    <n v="156"/>
    <n v="31"/>
    <n v="9.6299999999999997E-2"/>
    <n v="310"/>
    <n v="130"/>
    <n v="40"/>
    <n v="0.129"/>
  </r>
  <r>
    <s v="TXN-00509"/>
    <d v="2024-06-23T00:00:00"/>
    <n v="503"/>
    <s v="Oregon"/>
    <s v="West"/>
    <s v="Small Market"/>
    <s v="Beans"/>
    <x v="3"/>
    <x v="6"/>
    <s v="Decaf"/>
    <n v="1267"/>
    <n v="45"/>
    <x v="63"/>
    <n v="161"/>
    <n v="70"/>
    <n v="135"/>
    <n v="0.39360000000000001"/>
    <n v="290"/>
    <n v="140"/>
    <n v="110"/>
    <n v="0.37930000000000003"/>
  </r>
  <r>
    <s v="TXN-00510"/>
    <d v="2024-06-24T00:00:00"/>
    <n v="712"/>
    <s v="Iowa"/>
    <s v="Central"/>
    <s v="Small Market"/>
    <s v="Leaves"/>
    <x v="2"/>
    <x v="2"/>
    <s v="Decaf"/>
    <n v="1662"/>
    <n v="84"/>
    <x v="185"/>
    <n v="257"/>
    <n v="117"/>
    <n v="224"/>
    <n v="0.37459999999999999"/>
    <n v="480"/>
    <n v="200"/>
    <n v="210"/>
    <n v="0.4375"/>
  </r>
  <r>
    <s v="TXN-00511"/>
    <d v="2024-06-24T00:00:00"/>
    <n v="775"/>
    <s v="Nevada"/>
    <s v="West"/>
    <s v="Small Market"/>
    <s v="Leaves"/>
    <x v="0"/>
    <x v="0"/>
    <s v="Regular"/>
    <n v="1662"/>
    <n v="84"/>
    <x v="91"/>
    <n v="257"/>
    <n v="117"/>
    <n v="332"/>
    <n v="0.5212"/>
    <n v="290"/>
    <n v="110"/>
    <n v="130"/>
    <n v="0.44829999999999998"/>
  </r>
  <r>
    <s v="TXN-00512"/>
    <d v="2024-06-25T00:00:00"/>
    <n v="816"/>
    <s v="Missouri"/>
    <s v="Central"/>
    <s v="Small Market"/>
    <s v="Beans"/>
    <x v="1"/>
    <x v="5"/>
    <s v="Regular"/>
    <n v="593"/>
    <n v="30"/>
    <x v="196"/>
    <n v="79"/>
    <n v="63"/>
    <n v="35"/>
    <n v="0.19769999999999999"/>
    <n v="170"/>
    <n v="70"/>
    <n v="70"/>
    <n v="0.4118"/>
  </r>
  <r>
    <s v="TXN-00513"/>
    <d v="2024-06-26T00:00:00"/>
    <n v="708"/>
    <s v="Illinois"/>
    <s v="Central"/>
    <s v="Major Market"/>
    <s v="Leaves"/>
    <x v="2"/>
    <x v="2"/>
    <s v="Decaf"/>
    <n v="915"/>
    <n v="34"/>
    <x v="34"/>
    <n v="123"/>
    <n v="46"/>
    <n v="197"/>
    <n v="0.61180000000000001"/>
    <n v="240"/>
    <n v="90"/>
    <n v="140"/>
    <n v="0.58330000000000004"/>
  </r>
  <r>
    <s v="TXN-00514"/>
    <d v="2024-06-26T00:00:00"/>
    <n v="213"/>
    <s v="California"/>
    <s v="West"/>
    <s v="Major Market"/>
    <s v="Beans"/>
    <x v="3"/>
    <x v="6"/>
    <s v="Decaf"/>
    <n v="1691"/>
    <n v="75"/>
    <x v="103"/>
    <n v="228"/>
    <n v="107"/>
    <n v="292"/>
    <n v="0.51500000000000001"/>
    <n v="510"/>
    <n v="220"/>
    <n v="190"/>
    <n v="0.3725"/>
  </r>
  <r>
    <s v="TXN-00515"/>
    <d v="2024-06-26T00:00:00"/>
    <n v="801"/>
    <s v="Utah"/>
    <s v="West"/>
    <s v="Small Market"/>
    <s v="Beans"/>
    <x v="3"/>
    <x v="9"/>
    <s v="Regular"/>
    <n v="552"/>
    <n v="33"/>
    <x v="45"/>
    <n v="101"/>
    <n v="45"/>
    <n v="126"/>
    <n v="0.51219999999999999"/>
    <n v="220"/>
    <n v="90"/>
    <n v="90"/>
    <n v="0.40910000000000002"/>
  </r>
  <r>
    <s v="TXN-00516"/>
    <d v="2024-06-27T00:00:00"/>
    <n v="816"/>
    <s v="Missouri"/>
    <s v="Central"/>
    <s v="Small Market"/>
    <s v="Beans"/>
    <x v="3"/>
    <x v="6"/>
    <s v="Decaf"/>
    <n v="844"/>
    <n v="8"/>
    <x v="74"/>
    <n v="31"/>
    <n v="19"/>
    <n v="40"/>
    <n v="0.48780000000000001"/>
    <n v="90"/>
    <n v="30"/>
    <n v="50"/>
    <n v="0.55559999999999998"/>
  </r>
  <r>
    <s v="TXN-00517"/>
    <d v="2024-06-27T00:00:00"/>
    <n v="262"/>
    <s v="Wisconsin"/>
    <s v="Central"/>
    <s v="Small Market"/>
    <s v="Leaves"/>
    <x v="0"/>
    <x v="3"/>
    <s v="Regular"/>
    <n v="606"/>
    <n v="54"/>
    <x v="130"/>
    <n v="60"/>
    <n v="84"/>
    <n v="0"/>
    <n v="0"/>
    <n v="90"/>
    <n v="40"/>
    <n v="0"/>
    <n v="0"/>
  </r>
  <r>
    <s v="TXN-00518"/>
    <d v="2024-06-27T00:00:00"/>
    <n v="641"/>
    <s v="Iowa"/>
    <s v="Central"/>
    <s v="Small Market"/>
    <s v="Leaves"/>
    <x v="2"/>
    <x v="2"/>
    <s v="Decaf"/>
    <n v="1744"/>
    <n v="81"/>
    <x v="55"/>
    <n v="247"/>
    <n v="113"/>
    <n v="216"/>
    <n v="0.375"/>
    <n v="530"/>
    <n v="230"/>
    <n v="200"/>
    <n v="0.37740000000000001"/>
  </r>
  <r>
    <s v="TXN-00519"/>
    <d v="2024-06-27T00:00:00"/>
    <n v="515"/>
    <s v="Iowa"/>
    <s v="Central"/>
    <s v="Small Market"/>
    <s v="Leaves"/>
    <x v="0"/>
    <x v="0"/>
    <s v="Regular"/>
    <n v="1755"/>
    <n v="66"/>
    <x v="133"/>
    <n v="239"/>
    <n v="90"/>
    <n v="221"/>
    <n v="0.43419999999999997"/>
    <n v="340"/>
    <n v="170"/>
    <n v="110"/>
    <n v="0.32350000000000001"/>
  </r>
  <r>
    <s v="TXN-00520"/>
    <d v="2024-06-27T00:00:00"/>
    <n v="360"/>
    <s v="Washington"/>
    <s v="West"/>
    <s v="Small Market"/>
    <s v="Beans"/>
    <x v="3"/>
    <x v="6"/>
    <s v="Decaf"/>
    <n v="1055"/>
    <n v="24"/>
    <x v="42"/>
    <n v="80"/>
    <n v="46"/>
    <n v="71"/>
    <n v="0.38379999999999997"/>
    <n v="150"/>
    <n v="60"/>
    <n v="80"/>
    <n v="0.5333"/>
  </r>
  <r>
    <s v="TXN-00521"/>
    <d v="2024-06-28T00:00:00"/>
    <n v="918"/>
    <s v="Oklahoma"/>
    <s v="South"/>
    <s v="Small Market"/>
    <s v="Beans"/>
    <x v="1"/>
    <x v="11"/>
    <s v="Decaf"/>
    <n v="859"/>
    <n v="7"/>
    <x v="32"/>
    <n v="27"/>
    <n v="18"/>
    <n v="21"/>
    <n v="0.31819999999999998"/>
    <n v="90"/>
    <n v="30"/>
    <n v="60"/>
    <n v="0.66669999999999996"/>
  </r>
  <r>
    <s v="TXN-00522"/>
    <d v="2024-06-28T00:00:00"/>
    <n v="508"/>
    <s v="Massachusetts"/>
    <s v="East"/>
    <s v="Major Market"/>
    <s v="Leaves"/>
    <x v="0"/>
    <x v="0"/>
    <s v="Regular"/>
    <n v="859"/>
    <n v="7"/>
    <x v="32"/>
    <n v="27"/>
    <n v="19"/>
    <n v="20"/>
    <n v="0.30299999999999999"/>
    <n v="70"/>
    <n v="20"/>
    <n v="50"/>
    <n v="0.71430000000000005"/>
  </r>
  <r>
    <s v="TXN-00523"/>
    <d v="2024-06-28T00:00:00"/>
    <n v="352"/>
    <s v="Florida"/>
    <s v="East"/>
    <s v="Major Market"/>
    <s v="Leaves"/>
    <x v="0"/>
    <x v="0"/>
    <s v="Regular"/>
    <n v="875"/>
    <n v="7"/>
    <x v="197"/>
    <n v="28"/>
    <n v="19"/>
    <n v="34"/>
    <n v="0.45329999999999998"/>
    <n v="70"/>
    <n v="20"/>
    <n v="40"/>
    <n v="0.57140000000000002"/>
  </r>
  <r>
    <s v="TXN-00524"/>
    <d v="2024-06-28T00:00:00"/>
    <n v="970"/>
    <s v="Colorado"/>
    <s v="Central"/>
    <s v="Major Market"/>
    <s v="Leaves"/>
    <x v="2"/>
    <x v="2"/>
    <s v="Decaf"/>
    <n v="1283"/>
    <n v="50"/>
    <x v="65"/>
    <n v="181"/>
    <n v="75"/>
    <n v="159"/>
    <n v="0.41089999999999999"/>
    <n v="330"/>
    <n v="170"/>
    <n v="100"/>
    <n v="0.30299999999999999"/>
  </r>
  <r>
    <s v="TXN-00525"/>
    <d v="2024-06-28T00:00:00"/>
    <n v="206"/>
    <s v="Washington"/>
    <s v="West"/>
    <s v="Small Market"/>
    <s v="Leaves"/>
    <x v="2"/>
    <x v="2"/>
    <s v="Decaf"/>
    <n v="1134"/>
    <n v="42"/>
    <x v="98"/>
    <n v="130"/>
    <n v="73"/>
    <n v="181"/>
    <n v="0.52310000000000001"/>
    <n v="300"/>
    <n v="120"/>
    <n v="120"/>
    <n v="0.4"/>
  </r>
  <r>
    <s v="TXN-00526"/>
    <d v="2024-06-28T00:00:00"/>
    <n v="209"/>
    <s v="California"/>
    <s v="West"/>
    <s v="Major Market"/>
    <s v="Beans"/>
    <x v="1"/>
    <x v="1"/>
    <s v="Regular"/>
    <n v="2947"/>
    <n v="40"/>
    <x v="97"/>
    <n v="127"/>
    <n v="63"/>
    <n v="-131"/>
    <n v="-1.2018"/>
    <n v="120"/>
    <n v="150"/>
    <n v="-90"/>
    <n v="-0.75"/>
  </r>
  <r>
    <s v="TXN-00527"/>
    <d v="2024-07-01T00:00:00"/>
    <n v="971"/>
    <s v="Oregon"/>
    <s v="West"/>
    <s v="Small Market"/>
    <s v="Leaves"/>
    <x v="2"/>
    <x v="4"/>
    <s v="Decaf"/>
    <n v="561"/>
    <n v="29"/>
    <x v="198"/>
    <n v="88"/>
    <n v="42"/>
    <n v="70"/>
    <n v="0.35"/>
    <n v="180"/>
    <n v="80"/>
    <n v="70"/>
    <n v="0.38890000000000002"/>
  </r>
  <r>
    <s v="TXN-00528"/>
    <d v="2024-07-02T00:00:00"/>
    <n v="702"/>
    <s v="Nevada"/>
    <s v="West"/>
    <s v="Small Market"/>
    <s v="Beans"/>
    <x v="1"/>
    <x v="11"/>
    <s v="Decaf"/>
    <n v="1009"/>
    <n v="9"/>
    <x v="187"/>
    <n v="31"/>
    <n v="30"/>
    <n v="8"/>
    <n v="0.1159"/>
    <n v="80"/>
    <n v="30"/>
    <n v="30"/>
    <n v="0.375"/>
  </r>
  <r>
    <s v="TXN-00529"/>
    <d v="2024-07-02T00:00:00"/>
    <n v="775"/>
    <s v="Nevada"/>
    <s v="West"/>
    <s v="Small Market"/>
    <s v="Leaves"/>
    <x v="2"/>
    <x v="2"/>
    <s v="Decaf"/>
    <n v="898"/>
    <n v="113"/>
    <x v="11"/>
    <n v="125"/>
    <n v="147"/>
    <n v="26"/>
    <n v="8.72E-2"/>
    <n v="240"/>
    <n v="90"/>
    <n v="60"/>
    <n v="0.25"/>
  </r>
  <r>
    <s v="TXN-00530"/>
    <d v="2024-07-03T00:00:00"/>
    <n v="918"/>
    <s v="Oklahoma"/>
    <s v="South"/>
    <s v="Small Market"/>
    <s v="Beans"/>
    <x v="1"/>
    <x v="11"/>
    <s v="Decaf"/>
    <n v="870"/>
    <n v="9"/>
    <x v="172"/>
    <n v="33"/>
    <n v="21"/>
    <n v="42"/>
    <n v="0.48280000000000001"/>
    <n v="90"/>
    <n v="30"/>
    <n v="50"/>
    <n v="0.55559999999999998"/>
  </r>
  <r>
    <s v="TXN-00531"/>
    <d v="2024-07-03T00:00:00"/>
    <n v="505"/>
    <s v="New Mexico"/>
    <s v="South"/>
    <s v="Small Market"/>
    <s v="Beans"/>
    <x v="3"/>
    <x v="6"/>
    <s v="Decaf"/>
    <n v="256"/>
    <n v="12"/>
    <x v="75"/>
    <n v="38"/>
    <n v="39"/>
    <n v="18"/>
    <n v="0.1895"/>
    <n v="60"/>
    <n v="30"/>
    <n v="0"/>
    <n v="0"/>
  </r>
  <r>
    <s v="TXN-00532"/>
    <d v="2024-07-03T00:00:00"/>
    <n v="801"/>
    <s v="Utah"/>
    <s v="West"/>
    <s v="Small Market"/>
    <s v="Beans"/>
    <x v="3"/>
    <x v="9"/>
    <s v="Regular"/>
    <n v="564"/>
    <n v="33"/>
    <x v="78"/>
    <n v="103"/>
    <n v="46"/>
    <n v="87"/>
    <n v="0.36859999999999998"/>
    <n v="210"/>
    <n v="80"/>
    <n v="110"/>
    <n v="0.52380000000000004"/>
  </r>
  <r>
    <s v="TXN-00533"/>
    <d v="2024-07-04T00:00:00"/>
    <n v="510"/>
    <s v="California"/>
    <s v="West"/>
    <s v="Major Market"/>
    <s v="Leaves"/>
    <x v="0"/>
    <x v="7"/>
    <s v="Regular"/>
    <n v="650"/>
    <n v="23"/>
    <x v="177"/>
    <n v="72"/>
    <n v="54"/>
    <n v="83"/>
    <n v="0.42780000000000001"/>
    <n v="80"/>
    <n v="20"/>
    <n v="50"/>
    <n v="0.625"/>
  </r>
  <r>
    <s v="TXN-00534"/>
    <d v="2024-07-04T00:00:00"/>
    <n v="959"/>
    <s v="Connecticut"/>
    <s v="East"/>
    <s v="Small Market"/>
    <s v="Leaves"/>
    <x v="0"/>
    <x v="0"/>
    <s v="Regular"/>
    <n v="898"/>
    <n v="14"/>
    <x v="30"/>
    <n v="50"/>
    <n v="26"/>
    <n v="70"/>
    <n v="0.53439999999999999"/>
    <n v="120"/>
    <n v="50"/>
    <n v="50"/>
    <n v="0.41670000000000001"/>
  </r>
  <r>
    <s v="TXN-00535"/>
    <d v="2024-07-04T00:00:00"/>
    <n v="419"/>
    <s v="Ohio"/>
    <s v="Central"/>
    <s v="Major Market"/>
    <s v="Beans"/>
    <x v="3"/>
    <x v="6"/>
    <s v="Decaf"/>
    <n v="410"/>
    <n v="20"/>
    <x v="37"/>
    <n v="55"/>
    <n v="53"/>
    <n v="16"/>
    <n v="0.129"/>
    <n v="150"/>
    <n v="70"/>
    <n v="40"/>
    <n v="0.26669999999999999"/>
  </r>
  <r>
    <s v="TXN-00536"/>
    <d v="2024-07-04T00:00:00"/>
    <n v="303"/>
    <s v="Colorado"/>
    <s v="Central"/>
    <s v="Major Market"/>
    <s v="Beans"/>
    <x v="3"/>
    <x v="9"/>
    <s v="Regular"/>
    <n v="589"/>
    <n v="14"/>
    <x v="57"/>
    <n v="50"/>
    <n v="25"/>
    <n v="48"/>
    <n v="0.39019999999999999"/>
    <n v="150"/>
    <n v="60"/>
    <n v="70"/>
    <n v="0.4667"/>
  </r>
  <r>
    <s v="TXN-00537"/>
    <d v="2024-07-04T00:00:00"/>
    <n v="712"/>
    <s v="Iowa"/>
    <s v="Central"/>
    <s v="Small Market"/>
    <s v="Beans"/>
    <x v="1"/>
    <x v="11"/>
    <s v="Decaf"/>
    <n v="594"/>
    <n v="3"/>
    <x v="199"/>
    <n v="10"/>
    <n v="15"/>
    <n v="-1"/>
    <n v="-3.85E-2"/>
    <n v="20"/>
    <n v="0"/>
    <n v="10"/>
    <n v="0.5"/>
  </r>
  <r>
    <s v="TXN-00538"/>
    <d v="2024-07-05T00:00:00"/>
    <n v="970"/>
    <s v="Colorado"/>
    <s v="Central"/>
    <s v="Major Market"/>
    <s v="Beans"/>
    <x v="3"/>
    <x v="9"/>
    <s v="Regular"/>
    <n v="580"/>
    <n v="21"/>
    <x v="131"/>
    <n v="76"/>
    <n v="32"/>
    <n v="117"/>
    <n v="0.58789999999999998"/>
    <n v="280"/>
    <n v="100"/>
    <n v="170"/>
    <n v="0.60709999999999997"/>
  </r>
  <r>
    <s v="TXN-00539"/>
    <d v="2024-07-06T00:00:00"/>
    <n v="435"/>
    <s v="Utah"/>
    <s v="West"/>
    <s v="Small Market"/>
    <s v="Leaves"/>
    <x v="2"/>
    <x v="4"/>
    <s v="Decaf"/>
    <n v="447"/>
    <n v="14"/>
    <x v="16"/>
    <n v="45"/>
    <n v="46"/>
    <n v="34"/>
    <n v="0.28100000000000003"/>
    <n v="90"/>
    <n v="20"/>
    <n v="60"/>
    <n v="0.66669999999999996"/>
  </r>
  <r>
    <s v="TXN-00540"/>
    <d v="2024-07-06T00:00:00"/>
    <n v="319"/>
    <s v="Iowa"/>
    <s v="Central"/>
    <s v="Small Market"/>
    <s v="Beans"/>
    <x v="1"/>
    <x v="11"/>
    <s v="Decaf"/>
    <n v="596"/>
    <n v="3"/>
    <x v="173"/>
    <n v="10"/>
    <n v="16"/>
    <n v="-4"/>
    <n v="-0.16"/>
    <n v="20"/>
    <n v="0"/>
    <n v="10"/>
    <n v="0.5"/>
  </r>
  <r>
    <s v="TXN-00541"/>
    <d v="2024-07-06T00:00:00"/>
    <n v="720"/>
    <s v="Colorado"/>
    <s v="Central"/>
    <s v="Major Market"/>
    <s v="Beans"/>
    <x v="3"/>
    <x v="6"/>
    <s v="Decaf"/>
    <n v="677"/>
    <n v="22"/>
    <x v="99"/>
    <n v="67"/>
    <n v="54"/>
    <n v="70"/>
    <n v="0.3911"/>
    <n v="210"/>
    <n v="80"/>
    <n v="80"/>
    <n v="0.38100000000000001"/>
  </r>
  <r>
    <s v="TXN-00542"/>
    <d v="2024-07-07T00:00:00"/>
    <n v="773"/>
    <s v="Illinois"/>
    <s v="Central"/>
    <s v="Major Market"/>
    <s v="Leaves"/>
    <x v="2"/>
    <x v="4"/>
    <s v="Decaf"/>
    <n v="531"/>
    <n v="14"/>
    <x v="73"/>
    <n v="43"/>
    <n v="27"/>
    <n v="29"/>
    <n v="0.29289999999999999"/>
    <n v="90"/>
    <n v="40"/>
    <n v="30"/>
    <n v="0.33329999999999999"/>
  </r>
  <r>
    <s v="TXN-00543"/>
    <d v="2024-07-07T00:00:00"/>
    <n v="505"/>
    <s v="New Mexico"/>
    <s v="South"/>
    <s v="Small Market"/>
    <s v="Beans"/>
    <x v="1"/>
    <x v="5"/>
    <s v="Regular"/>
    <n v="447"/>
    <n v="14"/>
    <x v="13"/>
    <n v="45"/>
    <n v="46"/>
    <n v="23"/>
    <n v="0.20180000000000001"/>
    <n v="160"/>
    <n v="50"/>
    <n v="80"/>
    <n v="0.5"/>
  </r>
  <r>
    <s v="TXN-00544"/>
    <d v="2024-07-07T00:00:00"/>
    <n v="815"/>
    <s v="Illinois"/>
    <s v="Central"/>
    <s v="Major Market"/>
    <s v="Beans"/>
    <x v="3"/>
    <x v="9"/>
    <s v="Regular"/>
    <n v="1662"/>
    <n v="84"/>
    <x v="185"/>
    <n v="257"/>
    <n v="117"/>
    <n v="224"/>
    <n v="0.37459999999999999"/>
    <n v="890"/>
    <n v="370"/>
    <n v="420"/>
    <n v="0.47189999999999999"/>
  </r>
  <r>
    <s v="TXN-00545"/>
    <d v="2024-07-07T00:00:00"/>
    <n v="712"/>
    <s v="Iowa"/>
    <s v="Central"/>
    <s v="Small Market"/>
    <s v="Leaves"/>
    <x v="0"/>
    <x v="0"/>
    <s v="Regular"/>
    <n v="1778"/>
    <n v="59"/>
    <x v="51"/>
    <n v="211"/>
    <n v="83"/>
    <n v="129"/>
    <n v="0.30499999999999999"/>
    <n v="350"/>
    <n v="170"/>
    <n v="110"/>
    <n v="0.31430000000000002"/>
  </r>
  <r>
    <s v="TXN-00546"/>
    <d v="2024-07-07T00:00:00"/>
    <n v="435"/>
    <s v="Utah"/>
    <s v="West"/>
    <s v="Small Market"/>
    <s v="Beans"/>
    <x v="1"/>
    <x v="11"/>
    <s v="Decaf"/>
    <n v="593"/>
    <n v="30"/>
    <x v="62"/>
    <n v="79"/>
    <n v="64"/>
    <n v="50"/>
    <n v="0.2646"/>
    <n v="260"/>
    <n v="100"/>
    <n v="120"/>
    <n v="0.46150000000000002"/>
  </r>
  <r>
    <s v="TXN-00547"/>
    <d v="2024-07-08T00:00:00"/>
    <n v="561"/>
    <s v="Florida"/>
    <s v="East"/>
    <s v="Major Market"/>
    <s v="Leaves"/>
    <x v="0"/>
    <x v="0"/>
    <s v="Regular"/>
    <n v="871"/>
    <n v="10"/>
    <x v="200"/>
    <n v="38"/>
    <n v="21"/>
    <n v="52"/>
    <n v="0.52"/>
    <n v="100"/>
    <n v="40"/>
    <n v="50"/>
    <n v="0.5"/>
  </r>
  <r>
    <s v="TXN-00548"/>
    <d v="2024-07-08T00:00:00"/>
    <n v="330"/>
    <s v="Ohio"/>
    <s v="Central"/>
    <s v="Major Market"/>
    <s v="Leaves"/>
    <x v="2"/>
    <x v="4"/>
    <s v="Decaf"/>
    <n v="870"/>
    <n v="9"/>
    <x v="74"/>
    <n v="33"/>
    <n v="20"/>
    <n v="29"/>
    <n v="0.35370000000000001"/>
    <n v="70"/>
    <n v="30"/>
    <n v="30"/>
    <n v="0.42859999999999998"/>
  </r>
  <r>
    <s v="TXN-00549"/>
    <d v="2024-07-08T00:00:00"/>
    <n v="857"/>
    <s v="Massachusetts"/>
    <s v="East"/>
    <s v="Major Market"/>
    <s v="Leaves"/>
    <x v="0"/>
    <x v="7"/>
    <s v="Regular"/>
    <n v="490"/>
    <n v="8"/>
    <x v="24"/>
    <n v="29"/>
    <n v="19"/>
    <n v="25"/>
    <n v="0.34250000000000003"/>
    <n v="70"/>
    <n v="30"/>
    <n v="30"/>
    <n v="0.42859999999999998"/>
  </r>
  <r>
    <s v="TXN-00550"/>
    <d v="2024-07-08T00:00:00"/>
    <n v="505"/>
    <s v="New Mexico"/>
    <s v="South"/>
    <s v="Small Market"/>
    <s v="Leaves"/>
    <x v="2"/>
    <x v="2"/>
    <s v="Decaf"/>
    <n v="846"/>
    <n v="5"/>
    <x v="96"/>
    <n v="21"/>
    <n v="17"/>
    <n v="14"/>
    <n v="0.26919999999999999"/>
    <n v="40"/>
    <n v="10"/>
    <n v="30"/>
    <n v="0.75"/>
  </r>
  <r>
    <s v="TXN-00551"/>
    <d v="2024-07-08T00:00:00"/>
    <n v="419"/>
    <s v="Ohio"/>
    <s v="Central"/>
    <s v="Major Market"/>
    <s v="Leaves"/>
    <x v="0"/>
    <x v="0"/>
    <s v="Regular"/>
    <n v="788"/>
    <n v="27"/>
    <x v="175"/>
    <n v="82"/>
    <n v="58"/>
    <n v="96"/>
    <n v="0.44040000000000001"/>
    <n v="140"/>
    <n v="50"/>
    <n v="60"/>
    <n v="0.42859999999999998"/>
  </r>
  <r>
    <s v="TXN-00552"/>
    <d v="2024-07-08T00:00:00"/>
    <n v="971"/>
    <s v="Oregon"/>
    <s v="West"/>
    <s v="Small Market"/>
    <s v="Beans"/>
    <x v="1"/>
    <x v="1"/>
    <s v="Regular"/>
    <n v="503"/>
    <n v="46"/>
    <x v="139"/>
    <n v="51"/>
    <n v="76"/>
    <n v="-5"/>
    <n v="-4.1000000000000002E-2"/>
    <n v="170"/>
    <n v="70"/>
    <n v="50"/>
    <n v="0.29409999999999997"/>
  </r>
  <r>
    <s v="TXN-00553"/>
    <d v="2024-07-09T00:00:00"/>
    <n v="408"/>
    <s v="California"/>
    <s v="West"/>
    <s v="Major Market"/>
    <s v="Leaves"/>
    <x v="0"/>
    <x v="3"/>
    <s v="Regular"/>
    <n v="601"/>
    <n v="15"/>
    <x v="146"/>
    <n v="54"/>
    <n v="26"/>
    <n v="79"/>
    <n v="0.55630000000000002"/>
    <n v="90"/>
    <n v="30"/>
    <n v="50"/>
    <n v="0.55559999999999998"/>
  </r>
  <r>
    <s v="TXN-00554"/>
    <d v="2024-07-09T00:00:00"/>
    <n v="904"/>
    <s v="Florida"/>
    <s v="East"/>
    <s v="Major Market"/>
    <s v="Leaves"/>
    <x v="2"/>
    <x v="2"/>
    <s v="Decaf"/>
    <n v="567"/>
    <n v="7"/>
    <x v="26"/>
    <n v="24"/>
    <n v="20"/>
    <n v="18"/>
    <n v="0.3"/>
    <n v="40"/>
    <n v="10"/>
    <n v="20"/>
    <n v="0.5"/>
  </r>
  <r>
    <s v="TXN-00555"/>
    <d v="2024-07-09T00:00:00"/>
    <n v="319"/>
    <s v="Iowa"/>
    <s v="Central"/>
    <s v="Small Market"/>
    <s v="Leaves"/>
    <x v="2"/>
    <x v="4"/>
    <s v="Decaf"/>
    <n v="830"/>
    <n v="40"/>
    <x v="36"/>
    <n v="127"/>
    <n v="62"/>
    <n v="123"/>
    <n v="0.39419999999999999"/>
    <n v="290"/>
    <n v="120"/>
    <n v="120"/>
    <n v="0.4138"/>
  </r>
  <r>
    <s v="TXN-00556"/>
    <d v="2024-07-10T00:00:00"/>
    <n v="985"/>
    <s v="Louisiana"/>
    <s v="South"/>
    <s v="Small Market"/>
    <s v="Beans"/>
    <x v="3"/>
    <x v="9"/>
    <s v="Regular"/>
    <n v="329"/>
    <n v="18"/>
    <x v="201"/>
    <n v="60"/>
    <n v="41"/>
    <n v="58"/>
    <n v="0.36480000000000001"/>
    <n v="100"/>
    <n v="30"/>
    <n v="70"/>
    <n v="0.7"/>
  </r>
  <r>
    <s v="TXN-00557"/>
    <d v="2024-07-10T00:00:00"/>
    <n v="505"/>
    <s v="New Mexico"/>
    <s v="South"/>
    <s v="Small Market"/>
    <s v="Beans"/>
    <x v="1"/>
    <x v="11"/>
    <s v="Decaf"/>
    <n v="1898"/>
    <n v="28"/>
    <x v="127"/>
    <n v="92"/>
    <n v="52"/>
    <n v="24"/>
    <n v="0.1404"/>
    <n v="190"/>
    <n v="100"/>
    <n v="40"/>
    <n v="0.21049999999999999"/>
  </r>
  <r>
    <s v="TXN-00558"/>
    <d v="2024-07-10T00:00:00"/>
    <n v="614"/>
    <s v="Ohio"/>
    <s v="Central"/>
    <s v="Major Market"/>
    <s v="Beans"/>
    <x v="3"/>
    <x v="6"/>
    <s v="Decaf"/>
    <n v="404"/>
    <n v="20"/>
    <x v="40"/>
    <n v="54"/>
    <n v="54"/>
    <n v="12"/>
    <n v="0.1"/>
    <n v="170"/>
    <n v="70"/>
    <n v="70"/>
    <n v="0.4118"/>
  </r>
  <r>
    <s v="TXN-00559"/>
    <d v="2024-07-11T00:00:00"/>
    <n v="603"/>
    <s v="New Hampshire"/>
    <s v="East"/>
    <s v="Small Market"/>
    <s v="Beans"/>
    <x v="3"/>
    <x v="12"/>
    <s v="Regular"/>
    <n v="218"/>
    <n v="7"/>
    <x v="129"/>
    <n v="20"/>
    <n v="41"/>
    <n v="-16"/>
    <n v="-0.35560000000000003"/>
    <n v="40"/>
    <n v="10"/>
    <n v="0"/>
    <n v="0"/>
  </r>
  <r>
    <s v="TXN-00560"/>
    <d v="2024-07-13T00:00:00"/>
    <n v="314"/>
    <s v="Missouri"/>
    <s v="Central"/>
    <s v="Small Market"/>
    <s v="Leaves"/>
    <x v="0"/>
    <x v="0"/>
    <s v="Regular"/>
    <n v="244"/>
    <n v="12"/>
    <x v="71"/>
    <n v="39"/>
    <n v="40"/>
    <n v="19"/>
    <n v="0.19389999999999999"/>
    <n v="60"/>
    <n v="20"/>
    <n v="30"/>
    <n v="0.5"/>
  </r>
  <r>
    <s v="TXN-00561"/>
    <d v="2024-07-13T00:00:00"/>
    <n v="312"/>
    <s v="Illinois"/>
    <s v="Central"/>
    <s v="Major Market"/>
    <s v="Beans"/>
    <x v="1"/>
    <x v="11"/>
    <s v="Decaf"/>
    <n v="830"/>
    <n v="40"/>
    <x v="192"/>
    <n v="127"/>
    <n v="63"/>
    <n v="181"/>
    <n v="0.54520000000000002"/>
    <n v="300"/>
    <n v="120"/>
    <n v="130"/>
    <n v="0.43330000000000002"/>
  </r>
  <r>
    <s v="TXN-00562"/>
    <d v="2024-07-13T00:00:00"/>
    <n v="312"/>
    <s v="Illinois"/>
    <s v="Central"/>
    <s v="Major Market"/>
    <s v="Beans"/>
    <x v="1"/>
    <x v="5"/>
    <s v="Regular"/>
    <n v="1191"/>
    <n v="73"/>
    <x v="176"/>
    <n v="224"/>
    <n v="116"/>
    <n v="288"/>
    <n v="0.50619999999999998"/>
    <n v="520"/>
    <n v="220"/>
    <n v="190"/>
    <n v="0.3654"/>
  </r>
  <r>
    <s v="TXN-00563"/>
    <d v="2024-07-14T00:00:00"/>
    <n v="505"/>
    <s v="New Mexico"/>
    <s v="South"/>
    <s v="Small Market"/>
    <s v="Leaves"/>
    <x v="2"/>
    <x v="4"/>
    <s v="Decaf"/>
    <n v="1009"/>
    <n v="9"/>
    <x v="187"/>
    <n v="31"/>
    <n v="31"/>
    <n v="7"/>
    <n v="0.1014"/>
    <n v="60"/>
    <n v="20"/>
    <n v="20"/>
    <n v="0.33329999999999999"/>
  </r>
  <r>
    <s v="TXN-00564"/>
    <d v="2024-07-14T00:00:00"/>
    <n v="435"/>
    <s v="Utah"/>
    <s v="West"/>
    <s v="Small Market"/>
    <s v="Leaves"/>
    <x v="0"/>
    <x v="0"/>
    <s v="Regular"/>
    <n v="320"/>
    <n v="41"/>
    <x v="44"/>
    <n v="45"/>
    <n v="70"/>
    <n v="-9"/>
    <n v="-7.7600000000000002E-2"/>
    <n v="50"/>
    <n v="10"/>
    <n v="20"/>
    <n v="0.4"/>
  </r>
  <r>
    <s v="TXN-00565"/>
    <d v="2024-07-14T00:00:00"/>
    <n v="440"/>
    <s v="Ohio"/>
    <s v="Central"/>
    <s v="Major Market"/>
    <s v="Leaves"/>
    <x v="2"/>
    <x v="4"/>
    <s v="Decaf"/>
    <n v="870"/>
    <n v="9"/>
    <x v="172"/>
    <n v="33"/>
    <n v="20"/>
    <n v="43"/>
    <n v="0.49430000000000002"/>
    <n v="70"/>
    <n v="30"/>
    <n v="30"/>
    <n v="0.42859999999999998"/>
  </r>
  <r>
    <s v="TXN-00566"/>
    <d v="2024-07-14T00:00:00"/>
    <n v="561"/>
    <s v="Florida"/>
    <s v="East"/>
    <s v="Major Market"/>
    <s v="Beans"/>
    <x v="1"/>
    <x v="11"/>
    <s v="Decaf"/>
    <n v="656"/>
    <n v="28"/>
    <x v="175"/>
    <n v="91"/>
    <n v="51"/>
    <n v="76"/>
    <n v="0.34860000000000002"/>
    <n v="180"/>
    <n v="70"/>
    <n v="90"/>
    <n v="0.5"/>
  </r>
  <r>
    <s v="TXN-00567"/>
    <d v="2024-07-15T00:00:00"/>
    <n v="435"/>
    <s v="Utah"/>
    <s v="West"/>
    <s v="Small Market"/>
    <s v="Beans"/>
    <x v="3"/>
    <x v="6"/>
    <s v="Decaf"/>
    <n v="881"/>
    <n v="11"/>
    <x v="110"/>
    <n v="40"/>
    <n v="22"/>
    <n v="55"/>
    <n v="0.51890000000000003"/>
    <n v="80"/>
    <n v="20"/>
    <n v="60"/>
    <n v="0.75"/>
  </r>
  <r>
    <s v="TXN-00568"/>
    <d v="2024-07-15T00:00:00"/>
    <n v="541"/>
    <s v="Oregon"/>
    <s v="West"/>
    <s v="Small Market"/>
    <s v="Leaves"/>
    <x v="0"/>
    <x v="7"/>
    <s v="Regular"/>
    <n v="656"/>
    <n v="28"/>
    <x v="48"/>
    <n v="91"/>
    <n v="51"/>
    <n v="113"/>
    <n v="0.48709999999999998"/>
    <n v="100"/>
    <n v="40"/>
    <n v="50"/>
    <n v="0.5"/>
  </r>
  <r>
    <s v="TXN-00569"/>
    <d v="2024-07-15T00:00:00"/>
    <n v="225"/>
    <s v="Louisiana"/>
    <s v="South"/>
    <s v="Small Market"/>
    <s v="Beans"/>
    <x v="1"/>
    <x v="5"/>
    <s v="Regular"/>
    <n v="829"/>
    <n v="13"/>
    <x v="124"/>
    <n v="48"/>
    <n v="24"/>
    <n v="47"/>
    <n v="0.39500000000000002"/>
    <n v="160"/>
    <n v="70"/>
    <n v="80"/>
    <n v="0.5"/>
  </r>
  <r>
    <s v="TXN-00570"/>
    <d v="2024-07-15T00:00:00"/>
    <n v="775"/>
    <s v="Nevada"/>
    <s v="West"/>
    <s v="Small Market"/>
    <s v="Leaves"/>
    <x v="2"/>
    <x v="2"/>
    <s v="Decaf"/>
    <n v="912"/>
    <n v="109"/>
    <x v="100"/>
    <n v="121"/>
    <n v="142"/>
    <n v="26"/>
    <n v="0.09"/>
    <n v="260"/>
    <n v="110"/>
    <n v="20"/>
    <n v="7.6899999999999996E-2"/>
  </r>
  <r>
    <s v="TXN-00571"/>
    <d v="2024-07-16T00:00:00"/>
    <n v="707"/>
    <s v="California"/>
    <s v="West"/>
    <s v="Major Market"/>
    <s v="Leaves"/>
    <x v="2"/>
    <x v="8"/>
    <s v="Decaf"/>
    <n v="536"/>
    <n v="13"/>
    <x v="132"/>
    <n v="40"/>
    <n v="25"/>
    <n v="27"/>
    <n v="0.29349999999999998"/>
    <n v="80"/>
    <n v="30"/>
    <n v="30"/>
    <n v="0.375"/>
  </r>
  <r>
    <s v="TXN-00572"/>
    <d v="2024-07-16T00:00:00"/>
    <n v="435"/>
    <s v="Utah"/>
    <s v="West"/>
    <s v="Small Market"/>
    <s v="Leaves"/>
    <x v="2"/>
    <x v="4"/>
    <s v="Decaf"/>
    <n v="447"/>
    <n v="14"/>
    <x v="13"/>
    <n v="45"/>
    <n v="46"/>
    <n v="23"/>
    <n v="0.20180000000000001"/>
    <n v="90"/>
    <n v="20"/>
    <n v="60"/>
    <n v="0.66669999999999996"/>
  </r>
  <r>
    <s v="TXN-00573"/>
    <d v="2024-07-16T00:00:00"/>
    <n v="503"/>
    <s v="Oregon"/>
    <s v="West"/>
    <s v="Small Market"/>
    <s v="Beans"/>
    <x v="1"/>
    <x v="5"/>
    <s v="Regular"/>
    <n v="482"/>
    <n v="13"/>
    <x v="71"/>
    <n v="41"/>
    <n v="56"/>
    <n v="1"/>
    <n v="1.0200000000000001E-2"/>
    <n v="110"/>
    <n v="40"/>
    <n v="20"/>
    <n v="0.18179999999999999"/>
  </r>
  <r>
    <s v="TXN-00574"/>
    <d v="2024-07-16T00:00:00"/>
    <n v="505"/>
    <s v="New Mexico"/>
    <s v="South"/>
    <s v="Small Market"/>
    <s v="Beans"/>
    <x v="3"/>
    <x v="6"/>
    <s v="Decaf"/>
    <n v="256"/>
    <n v="12"/>
    <x v="43"/>
    <n v="38"/>
    <n v="39"/>
    <n v="12"/>
    <n v="0.1348"/>
    <n v="60"/>
    <n v="30"/>
    <n v="0"/>
    <n v="0"/>
  </r>
  <r>
    <s v="TXN-00575"/>
    <d v="2024-07-17T00:00:00"/>
    <n v="504"/>
    <s v="Louisiana"/>
    <s v="South"/>
    <s v="Small Market"/>
    <s v="Beans"/>
    <x v="1"/>
    <x v="11"/>
    <s v="Decaf"/>
    <n v="856"/>
    <n v="8"/>
    <x v="116"/>
    <n v="31"/>
    <n v="19"/>
    <n v="42"/>
    <n v="0.50600000000000001"/>
    <n v="90"/>
    <n v="30"/>
    <n v="50"/>
    <n v="0.55559999999999998"/>
  </r>
  <r>
    <s v="TXN-00576"/>
    <d v="2024-07-18T00:00:00"/>
    <n v="503"/>
    <s v="Oregon"/>
    <s v="West"/>
    <s v="Small Market"/>
    <s v="Leaves"/>
    <x v="0"/>
    <x v="3"/>
    <s v="Regular"/>
    <n v="788"/>
    <n v="27"/>
    <x v="175"/>
    <n v="82"/>
    <n v="59"/>
    <n v="95"/>
    <n v="0.43580000000000002"/>
    <n v="90"/>
    <n v="30"/>
    <n v="50"/>
    <n v="0.55559999999999998"/>
  </r>
  <r>
    <s v="TXN-00577"/>
    <d v="2024-07-18T00:00:00"/>
    <n v="719"/>
    <s v="Colorado"/>
    <s v="Central"/>
    <s v="Major Market"/>
    <s v="Leaves"/>
    <x v="2"/>
    <x v="4"/>
    <s v="Decaf"/>
    <n v="521"/>
    <n v="42"/>
    <x v="124"/>
    <n v="47"/>
    <n v="71"/>
    <n v="-9"/>
    <n v="-7.5600000000000001E-2"/>
    <n v="100"/>
    <n v="40"/>
    <n v="0"/>
    <n v="0"/>
  </r>
  <r>
    <s v="TXN-00578"/>
    <d v="2024-07-18T00:00:00"/>
    <n v="774"/>
    <s v="Massachusetts"/>
    <s v="East"/>
    <s v="Major Market"/>
    <s v="Beans"/>
    <x v="3"/>
    <x v="9"/>
    <s v="Regular"/>
    <n v="542"/>
    <n v="46"/>
    <x v="44"/>
    <n v="51"/>
    <n v="76"/>
    <n v="-11"/>
    <n v="-9.4799999999999995E-2"/>
    <n v="100"/>
    <n v="30"/>
    <n v="30"/>
    <n v="0.3"/>
  </r>
  <r>
    <s v="TXN-00579"/>
    <d v="2024-07-18T00:00:00"/>
    <n v="772"/>
    <s v="Florida"/>
    <s v="East"/>
    <s v="Major Market"/>
    <s v="Leaves"/>
    <x v="2"/>
    <x v="2"/>
    <s v="Decaf"/>
    <n v="567"/>
    <n v="7"/>
    <x v="166"/>
    <n v="24"/>
    <n v="20"/>
    <n v="12"/>
    <n v="0.21429999999999999"/>
    <n v="40"/>
    <n v="10"/>
    <n v="20"/>
    <n v="0.5"/>
  </r>
  <r>
    <s v="TXN-00580"/>
    <d v="2024-07-18T00:00:00"/>
    <n v="719"/>
    <s v="Colorado"/>
    <s v="Central"/>
    <s v="Major Market"/>
    <s v="Leaves"/>
    <x v="2"/>
    <x v="2"/>
    <s v="Decaf"/>
    <n v="1267"/>
    <n v="45"/>
    <x v="34"/>
    <n v="161"/>
    <n v="69"/>
    <n v="92"/>
    <n v="0.28570000000000001"/>
    <n v="260"/>
    <n v="120"/>
    <n v="110"/>
    <n v="0.42309999999999998"/>
  </r>
  <r>
    <s v="TXN-00581"/>
    <d v="2024-07-18T00:00:00"/>
    <n v="419"/>
    <s v="Ohio"/>
    <s v="Central"/>
    <s v="Major Market"/>
    <s v="Leaves"/>
    <x v="0"/>
    <x v="3"/>
    <s v="Regular"/>
    <n v="656"/>
    <n v="28"/>
    <x v="48"/>
    <n v="91"/>
    <n v="51"/>
    <n v="113"/>
    <n v="0.48709999999999998"/>
    <n v="150"/>
    <n v="50"/>
    <n v="80"/>
    <n v="0.5333"/>
  </r>
  <r>
    <s v="TXN-00582"/>
    <d v="2024-07-19T00:00:00"/>
    <n v="603"/>
    <s v="New Hampshire"/>
    <s v="East"/>
    <s v="Small Market"/>
    <s v="Leaves"/>
    <x v="2"/>
    <x v="4"/>
    <s v="Decaf"/>
    <n v="250"/>
    <n v="14"/>
    <x v="202"/>
    <n v="39"/>
    <n v="47"/>
    <n v="2"/>
    <n v="2.2700000000000001E-2"/>
    <n v="60"/>
    <n v="20"/>
    <n v="10"/>
    <n v="0.16669999999999999"/>
  </r>
  <r>
    <s v="TXN-00583"/>
    <d v="2024-07-19T00:00:00"/>
    <n v="318"/>
    <s v="Louisiana"/>
    <s v="South"/>
    <s v="Small Market"/>
    <s v="Beans"/>
    <x v="1"/>
    <x v="5"/>
    <s v="Regular"/>
    <n v="834"/>
    <n v="13"/>
    <x v="57"/>
    <n v="47"/>
    <n v="24"/>
    <n v="65"/>
    <n v="0.52849999999999997"/>
    <n v="130"/>
    <n v="50"/>
    <n v="60"/>
    <n v="0.46150000000000002"/>
  </r>
  <r>
    <s v="TXN-00584"/>
    <d v="2024-07-20T00:00:00"/>
    <n v="959"/>
    <s v="Connecticut"/>
    <s v="East"/>
    <s v="Small Market"/>
    <s v="Leaves"/>
    <x v="2"/>
    <x v="4"/>
    <s v="Decaf"/>
    <n v="593"/>
    <n v="30"/>
    <x v="196"/>
    <n v="79"/>
    <n v="64"/>
    <n v="34"/>
    <n v="0.19209999999999999"/>
    <n v="90"/>
    <n v="40"/>
    <n v="30"/>
    <n v="0.33329999999999999"/>
  </r>
  <r>
    <s v="TXN-00585"/>
    <d v="2024-07-20T00:00:00"/>
    <n v="971"/>
    <s v="Oregon"/>
    <s v="West"/>
    <s v="Small Market"/>
    <s v="Beans"/>
    <x v="1"/>
    <x v="1"/>
    <s v="Regular"/>
    <n v="509"/>
    <n v="47"/>
    <x v="2"/>
    <n v="52"/>
    <n v="77"/>
    <n v="-6"/>
    <n v="-4.5100000000000001E-2"/>
    <n v="140"/>
    <n v="60"/>
    <n v="10"/>
    <n v="7.1400000000000005E-2"/>
  </r>
  <r>
    <s v="TXN-00586"/>
    <d v="2024-07-20T00:00:00"/>
    <n v="806"/>
    <s v="Texas"/>
    <s v="South"/>
    <s v="Major Market"/>
    <s v="Beans"/>
    <x v="3"/>
    <x v="10"/>
    <s v="Regular"/>
    <n v="-1050"/>
    <n v="24"/>
    <x v="9"/>
    <n v="75"/>
    <n v="55"/>
    <n v="88"/>
    <n v="0.43780000000000002"/>
    <n v="140"/>
    <n v="50"/>
    <n v="40"/>
    <n v="0.28570000000000001"/>
  </r>
  <r>
    <s v="TXN-00587"/>
    <d v="2024-07-21T00:00:00"/>
    <n v="505"/>
    <s v="New Mexico"/>
    <s v="South"/>
    <s v="Small Market"/>
    <s v="Leaves"/>
    <x v="2"/>
    <x v="4"/>
    <s v="Decaf"/>
    <n v="1003"/>
    <n v="8"/>
    <x v="137"/>
    <n v="29"/>
    <n v="30"/>
    <n v="7"/>
    <n v="0.10290000000000001"/>
    <n v="50"/>
    <n v="20"/>
    <n v="10"/>
    <n v="0.2"/>
  </r>
  <r>
    <s v="TXN-00588"/>
    <d v="2024-07-21T00:00:00"/>
    <n v="718"/>
    <s v="New York"/>
    <s v="East"/>
    <s v="Major Market"/>
    <s v="Beans"/>
    <x v="3"/>
    <x v="12"/>
    <s v="Regular"/>
    <n v="723"/>
    <n v="70"/>
    <x v="203"/>
    <n v="250"/>
    <n v="95"/>
    <n v="312"/>
    <n v="0.47489999999999999"/>
    <n v="640"/>
    <n v="240"/>
    <n v="320"/>
    <n v="0.5"/>
  </r>
  <r>
    <s v="TXN-00589"/>
    <d v="2024-07-21T00:00:00"/>
    <n v="727"/>
    <s v="Florida"/>
    <s v="East"/>
    <s v="Major Market"/>
    <s v="Beans"/>
    <x v="3"/>
    <x v="9"/>
    <s v="Regular"/>
    <n v="683"/>
    <n v="87"/>
    <x v="152"/>
    <n v="96"/>
    <n v="116"/>
    <n v="27"/>
    <n v="0.11020000000000001"/>
    <n v="210"/>
    <n v="80"/>
    <n v="50"/>
    <n v="0.23810000000000001"/>
  </r>
  <r>
    <s v="TXN-00590"/>
    <d v="2024-07-21T00:00:00"/>
    <n v="719"/>
    <s v="Colorado"/>
    <s v="Central"/>
    <s v="Major Market"/>
    <s v="Beans"/>
    <x v="1"/>
    <x v="11"/>
    <s v="Decaf"/>
    <n v="971"/>
    <n v="30"/>
    <x v="79"/>
    <n v="108"/>
    <n v="41"/>
    <n v="172"/>
    <n v="0.6099"/>
    <n v="260"/>
    <n v="100"/>
    <n v="150"/>
    <n v="0.57689999999999997"/>
  </r>
  <r>
    <s v="TXN-00591"/>
    <d v="2024-07-22T00:00:00"/>
    <n v="971"/>
    <s v="Oregon"/>
    <s v="West"/>
    <s v="Small Market"/>
    <s v="Leaves"/>
    <x v="0"/>
    <x v="3"/>
    <s v="Regular"/>
    <n v="788"/>
    <n v="27"/>
    <x v="41"/>
    <n v="82"/>
    <n v="59"/>
    <n v="64"/>
    <n v="0.31219999999999998"/>
    <n v="90"/>
    <n v="30"/>
    <n v="50"/>
    <n v="0.55559999999999998"/>
  </r>
  <r>
    <s v="TXN-00592"/>
    <d v="2024-07-22T00:00:00"/>
    <n v="971"/>
    <s v="Oregon"/>
    <s v="West"/>
    <s v="Small Market"/>
    <s v="Beans"/>
    <x v="3"/>
    <x v="10"/>
    <s v="Regular"/>
    <n v="422"/>
    <n v="17"/>
    <x v="204"/>
    <n v="46"/>
    <n v="51"/>
    <n v="9"/>
    <n v="8.1799999999999998E-2"/>
    <n v="90"/>
    <n v="40"/>
    <n v="10"/>
    <n v="0.1111"/>
  </r>
  <r>
    <s v="TXN-00593"/>
    <d v="2024-07-22T00:00:00"/>
    <n v="505"/>
    <s v="New Mexico"/>
    <s v="South"/>
    <s v="Small Market"/>
    <s v="Beans"/>
    <x v="3"/>
    <x v="9"/>
    <s v="Regular"/>
    <n v="320"/>
    <n v="41"/>
    <x v="97"/>
    <n v="45"/>
    <n v="70"/>
    <n v="-6"/>
    <n v="-5.5E-2"/>
    <n v="60"/>
    <n v="20"/>
    <n v="10"/>
    <n v="0.16669999999999999"/>
  </r>
  <r>
    <s v="TXN-00594"/>
    <d v="2024-07-22T00:00:00"/>
    <n v="850"/>
    <s v="Florida"/>
    <s v="East"/>
    <s v="Major Market"/>
    <s v="Leaves"/>
    <x v="2"/>
    <x v="4"/>
    <s v="Decaf"/>
    <n v="385"/>
    <n v="21"/>
    <x v="29"/>
    <n v="56"/>
    <n v="54"/>
    <n v="16"/>
    <n v="0.127"/>
    <n v="60"/>
    <n v="30"/>
    <n v="20"/>
    <n v="0.33329999999999999"/>
  </r>
  <r>
    <s v="TXN-00595"/>
    <d v="2024-07-22T00:00:00"/>
    <n v="425"/>
    <s v="Washington"/>
    <s v="West"/>
    <s v="Small Market"/>
    <s v="Beans"/>
    <x v="3"/>
    <x v="6"/>
    <s v="Decaf"/>
    <n v="1063"/>
    <n v="23"/>
    <x v="179"/>
    <n v="75"/>
    <n v="44"/>
    <n v="67"/>
    <n v="0.38290000000000002"/>
    <n v="150"/>
    <n v="70"/>
    <n v="40"/>
    <n v="0.26669999999999999"/>
  </r>
  <r>
    <s v="TXN-00596"/>
    <d v="2024-07-22T00:00:00"/>
    <n v="563"/>
    <s v="Iowa"/>
    <s v="Central"/>
    <s v="Small Market"/>
    <s v="Leaves"/>
    <x v="0"/>
    <x v="3"/>
    <s v="Regular"/>
    <n v="1756"/>
    <n v="96"/>
    <x v="103"/>
    <n v="255"/>
    <n v="129"/>
    <n v="183"/>
    <n v="0.32279999999999998"/>
    <n v="400"/>
    <n v="170"/>
    <n v="130"/>
    <n v="0.32500000000000001"/>
  </r>
  <r>
    <s v="TXN-00597"/>
    <d v="2024-07-23T00:00:00"/>
    <n v="206"/>
    <s v="Washington"/>
    <s v="West"/>
    <s v="Small Market"/>
    <s v="Leaves"/>
    <x v="0"/>
    <x v="0"/>
    <s v="Regular"/>
    <n v="329"/>
    <n v="18"/>
    <x v="201"/>
    <n v="60"/>
    <n v="42"/>
    <n v="57"/>
    <n v="0.35849999999999999"/>
    <n v="70"/>
    <n v="20"/>
    <n v="40"/>
    <n v="0.57140000000000002"/>
  </r>
  <r>
    <s v="TXN-00598"/>
    <d v="2024-07-24T00:00:00"/>
    <n v="561"/>
    <s v="Florida"/>
    <s v="East"/>
    <s v="Major Market"/>
    <s v="Leaves"/>
    <x v="2"/>
    <x v="8"/>
    <s v="Decaf"/>
    <n v="1079"/>
    <n v="24"/>
    <x v="144"/>
    <n v="80"/>
    <n v="46"/>
    <n v="50"/>
    <n v="0.28410000000000002"/>
    <n v="120"/>
    <n v="60"/>
    <n v="30"/>
    <n v="0.25"/>
  </r>
  <r>
    <s v="TXN-00599"/>
    <d v="2024-07-24T00:00:00"/>
    <n v="754"/>
    <s v="Florida"/>
    <s v="East"/>
    <s v="Major Market"/>
    <s v="Beans"/>
    <x v="3"/>
    <x v="9"/>
    <s v="Regular"/>
    <n v="694"/>
    <n v="85"/>
    <x v="92"/>
    <n v="94"/>
    <n v="115"/>
    <n v="15"/>
    <n v="6.7000000000000004E-2"/>
    <n v="210"/>
    <n v="90"/>
    <n v="20"/>
    <n v="9.5200000000000007E-2"/>
  </r>
  <r>
    <s v="TXN-00600"/>
    <d v="2024-07-26T00:00:00"/>
    <n v="425"/>
    <s v="Washington"/>
    <s v="West"/>
    <s v="Small Market"/>
    <s v="Leaves"/>
    <x v="0"/>
    <x v="0"/>
    <s v="Regular"/>
    <n v="329"/>
    <n v="18"/>
    <x v="205"/>
    <n v="60"/>
    <n v="42"/>
    <n v="85"/>
    <n v="0.503"/>
    <n v="70"/>
    <n v="20"/>
    <n v="40"/>
    <n v="0.57140000000000002"/>
  </r>
  <r>
    <s v="TXN-00601"/>
    <d v="2024-07-26T00:00:00"/>
    <n v="631"/>
    <s v="New York"/>
    <s v="East"/>
    <s v="Major Market"/>
    <s v="Leaves"/>
    <x v="2"/>
    <x v="8"/>
    <s v="Decaf"/>
    <n v="4360"/>
    <n v="74"/>
    <x v="179"/>
    <n v="239"/>
    <n v="95"/>
    <n v="-252"/>
    <n v="-1.44"/>
    <n v="80"/>
    <n v="130"/>
    <n v="-100"/>
    <n v="-1.25"/>
  </r>
  <r>
    <s v="TXN-00602"/>
    <d v="2024-07-26T00:00:00"/>
    <n v="253"/>
    <s v="Washington"/>
    <s v="West"/>
    <s v="Small Market"/>
    <s v="Beans"/>
    <x v="1"/>
    <x v="5"/>
    <s v="Regular"/>
    <n v="461"/>
    <n v="23"/>
    <x v="144"/>
    <n v="72"/>
    <n v="46"/>
    <n v="58"/>
    <n v="0.32950000000000002"/>
    <n v="200"/>
    <n v="80"/>
    <n v="80"/>
    <n v="0.4"/>
  </r>
  <r>
    <s v="TXN-00603"/>
    <d v="2024-07-26T00:00:00"/>
    <n v="541"/>
    <s v="Oregon"/>
    <s v="West"/>
    <s v="Small Market"/>
    <s v="Leaves"/>
    <x v="2"/>
    <x v="4"/>
    <s v="Decaf"/>
    <n v="561"/>
    <n v="29"/>
    <x v="206"/>
    <n v="88"/>
    <n v="42"/>
    <n v="104"/>
    <n v="0.48830000000000001"/>
    <n v="180"/>
    <n v="80"/>
    <n v="70"/>
    <n v="0.38890000000000002"/>
  </r>
  <r>
    <s v="TXN-00604"/>
    <d v="2024-07-27T00:00:00"/>
    <n v="781"/>
    <s v="Massachusetts"/>
    <s v="East"/>
    <s v="Major Market"/>
    <s v="Leaves"/>
    <x v="0"/>
    <x v="7"/>
    <s v="Regular"/>
    <n v="480"/>
    <n v="5"/>
    <x v="166"/>
    <n v="21"/>
    <n v="17"/>
    <n v="22"/>
    <n v="0.39290000000000003"/>
    <n v="50"/>
    <n v="20"/>
    <n v="30"/>
    <n v="0.6"/>
  </r>
  <r>
    <s v="TXN-00605"/>
    <d v="2024-07-27T00:00:00"/>
    <n v="715"/>
    <s v="Wisconsin"/>
    <s v="Central"/>
    <s v="Small Market"/>
    <s v="Beans"/>
    <x v="3"/>
    <x v="9"/>
    <s v="Regular"/>
    <n v="1063"/>
    <n v="23"/>
    <x v="179"/>
    <n v="75"/>
    <n v="44"/>
    <n v="67"/>
    <n v="0.38290000000000002"/>
    <n v="200"/>
    <n v="90"/>
    <n v="70"/>
    <n v="0.35"/>
  </r>
  <r>
    <s v="TXN-00606"/>
    <d v="2024-07-27T00:00:00"/>
    <n v="262"/>
    <s v="Wisconsin"/>
    <s v="Central"/>
    <s v="Small Market"/>
    <s v="Beans"/>
    <x v="1"/>
    <x v="5"/>
    <s v="Regular"/>
    <n v="716"/>
    <n v="95"/>
    <x v="128"/>
    <n v="105"/>
    <n v="125"/>
    <n v="30"/>
    <n v="0.1128"/>
    <n v="240"/>
    <n v="100"/>
    <n v="30"/>
    <n v="0.125"/>
  </r>
  <r>
    <s v="TXN-00607"/>
    <d v="2024-07-28T00:00:00"/>
    <n v="435"/>
    <s v="Utah"/>
    <s v="West"/>
    <s v="Small Market"/>
    <s v="Leaves"/>
    <x v="2"/>
    <x v="4"/>
    <s v="Decaf"/>
    <n v="452"/>
    <n v="14"/>
    <x v="97"/>
    <n v="43"/>
    <n v="46"/>
    <n v="20"/>
    <n v="0.1835"/>
    <n v="100"/>
    <n v="40"/>
    <n v="30"/>
    <n v="0.3"/>
  </r>
  <r>
    <s v="TXN-00608"/>
    <d v="2024-07-28T00:00:00"/>
    <n v="314"/>
    <s v="Missouri"/>
    <s v="Central"/>
    <s v="Small Market"/>
    <s v="Leaves"/>
    <x v="2"/>
    <x v="2"/>
    <s v="Decaf"/>
    <n v="335"/>
    <n v="44"/>
    <x v="29"/>
    <n v="49"/>
    <n v="74"/>
    <n v="-7"/>
    <n v="-5.5599999999999997E-2"/>
    <n v="100"/>
    <n v="40"/>
    <n v="0"/>
    <n v="0"/>
  </r>
  <r>
    <s v="TXN-00609"/>
    <d v="2024-07-28T00:00:00"/>
    <n v="505"/>
    <s v="New Mexico"/>
    <s v="South"/>
    <s v="Small Market"/>
    <s v="Beans"/>
    <x v="1"/>
    <x v="5"/>
    <s v="Regular"/>
    <n v="452"/>
    <n v="14"/>
    <x v="97"/>
    <n v="43"/>
    <n v="46"/>
    <n v="20"/>
    <n v="0.1835"/>
    <n v="120"/>
    <n v="50"/>
    <n v="30"/>
    <n v="0.25"/>
  </r>
  <r>
    <s v="TXN-00610"/>
    <d v="2024-07-28T00:00:00"/>
    <n v="563"/>
    <s v="Iowa"/>
    <s v="Central"/>
    <s v="Small Market"/>
    <s v="Beans"/>
    <x v="1"/>
    <x v="5"/>
    <s v="Regular"/>
    <n v="1009"/>
    <n v="9"/>
    <x v="187"/>
    <n v="31"/>
    <n v="30"/>
    <n v="8"/>
    <n v="0.1159"/>
    <n v="60"/>
    <n v="30"/>
    <n v="10"/>
    <n v="0.16669999999999999"/>
  </r>
  <r>
    <s v="TXN-00611"/>
    <d v="2024-07-28T00:00:00"/>
    <n v="702"/>
    <s v="Nevada"/>
    <s v="West"/>
    <s v="Small Market"/>
    <s v="Leaves"/>
    <x v="0"/>
    <x v="3"/>
    <s v="Regular"/>
    <n v="1778"/>
    <n v="59"/>
    <x v="178"/>
    <n v="211"/>
    <n v="84"/>
    <n v="190"/>
    <n v="0.42130000000000001"/>
    <n v="300"/>
    <n v="150"/>
    <n v="80"/>
    <n v="0.26669999999999999"/>
  </r>
  <r>
    <s v="TXN-00612"/>
    <d v="2024-07-28T00:00:00"/>
    <n v="253"/>
    <s v="Washington"/>
    <s v="West"/>
    <s v="Small Market"/>
    <s v="Leaves"/>
    <x v="2"/>
    <x v="2"/>
    <s v="Decaf"/>
    <n v="1166"/>
    <n v="37"/>
    <x v="12"/>
    <n v="115"/>
    <n v="69"/>
    <n v="156"/>
    <n v="0.50649999999999995"/>
    <n v="260"/>
    <n v="100"/>
    <n v="110"/>
    <n v="0.42309999999999998"/>
  </r>
  <r>
    <s v="TXN-00613"/>
    <d v="2024-08-01T00:00:00"/>
    <n v="214"/>
    <s v="Texas"/>
    <s v="South"/>
    <s v="Major Market"/>
    <s v="Beans"/>
    <x v="1"/>
    <x v="11"/>
    <s v="Decaf"/>
    <n v="541"/>
    <n v="12"/>
    <x v="162"/>
    <n v="39"/>
    <n v="25"/>
    <n v="26"/>
    <n v="0.28889999999999999"/>
    <n v="130"/>
    <n v="40"/>
    <n v="80"/>
    <n v="0.61539999999999995"/>
  </r>
  <r>
    <s v="TXN-00614"/>
    <d v="2024-08-02T00:00:00"/>
    <n v="330"/>
    <s v="Ohio"/>
    <s v="Central"/>
    <s v="Major Market"/>
    <s v="Beans"/>
    <x v="1"/>
    <x v="5"/>
    <s v="Regular"/>
    <n v="435"/>
    <n v="13"/>
    <x v="189"/>
    <n v="41"/>
    <n v="36"/>
    <n v="36"/>
    <n v="0.33329999999999999"/>
    <n v="90"/>
    <n v="40"/>
    <n v="20"/>
    <n v="0.22220000000000001"/>
  </r>
  <r>
    <s v="TXN-00615"/>
    <d v="2024-08-02T00:00:00"/>
    <n v="435"/>
    <s v="Utah"/>
    <s v="West"/>
    <s v="Small Market"/>
    <s v="Beans"/>
    <x v="1"/>
    <x v="11"/>
    <s v="Decaf"/>
    <n v="593"/>
    <n v="30"/>
    <x v="196"/>
    <n v="79"/>
    <n v="64"/>
    <n v="34"/>
    <n v="0.19209999999999999"/>
    <n v="260"/>
    <n v="100"/>
    <n v="120"/>
    <n v="0.46150000000000002"/>
  </r>
  <r>
    <s v="TXN-00616"/>
    <d v="2024-08-03T00:00:00"/>
    <n v="435"/>
    <s v="Utah"/>
    <s v="West"/>
    <s v="Small Market"/>
    <s v="Beans"/>
    <x v="1"/>
    <x v="5"/>
    <s v="Regular"/>
    <n v="380"/>
    <n v="17"/>
    <x v="50"/>
    <n v="53"/>
    <n v="44"/>
    <n v="40"/>
    <n v="0.30299999999999999"/>
    <n v="140"/>
    <n v="60"/>
    <n v="50"/>
    <n v="0.35709999999999997"/>
  </r>
  <r>
    <s v="TXN-00617"/>
    <d v="2024-08-04T00:00:00"/>
    <n v="417"/>
    <s v="Missouri"/>
    <s v="Central"/>
    <s v="Small Market"/>
    <s v="Leaves"/>
    <x v="0"/>
    <x v="0"/>
    <s v="Regular"/>
    <n v="248"/>
    <n v="11"/>
    <x v="74"/>
    <n v="35"/>
    <n v="38"/>
    <n v="9"/>
    <n v="0.10979999999999999"/>
    <n v="60"/>
    <n v="20"/>
    <n v="10"/>
    <n v="0.16669999999999999"/>
  </r>
  <r>
    <s v="TXN-00618"/>
    <d v="2024-08-04T00:00:00"/>
    <n v="503"/>
    <s v="Oregon"/>
    <s v="West"/>
    <s v="Small Market"/>
    <s v="Beans"/>
    <x v="3"/>
    <x v="9"/>
    <s v="Regular"/>
    <n v="424"/>
    <n v="17"/>
    <x v="39"/>
    <n v="54"/>
    <n v="45"/>
    <n v="42"/>
    <n v="0.31109999999999999"/>
    <n v="120"/>
    <n v="50"/>
    <n v="40"/>
    <n v="0.33329999999999999"/>
  </r>
  <r>
    <s v="TXN-00619"/>
    <d v="2024-08-04T00:00:00"/>
    <n v="305"/>
    <s v="Florida"/>
    <s v="East"/>
    <s v="Major Market"/>
    <s v="Beans"/>
    <x v="3"/>
    <x v="9"/>
    <s v="Regular"/>
    <n v="716"/>
    <n v="95"/>
    <x v="128"/>
    <n v="105"/>
    <n v="124"/>
    <n v="31"/>
    <n v="0.11650000000000001"/>
    <n v="240"/>
    <n v="100"/>
    <n v="30"/>
    <n v="0.125"/>
  </r>
  <r>
    <s v="TXN-00620"/>
    <d v="2024-08-04T00:00:00"/>
    <n v="573"/>
    <s v="Missouri"/>
    <s v="Central"/>
    <s v="Small Market"/>
    <s v="Beans"/>
    <x v="1"/>
    <x v="5"/>
    <s v="Regular"/>
    <n v="593"/>
    <n v="30"/>
    <x v="62"/>
    <n v="79"/>
    <n v="63"/>
    <n v="52"/>
    <n v="0.27510000000000001"/>
    <n v="170"/>
    <n v="70"/>
    <n v="70"/>
    <n v="0.4118"/>
  </r>
  <r>
    <s v="TXN-00621"/>
    <d v="2024-08-04T00:00:00"/>
    <n v="618"/>
    <s v="Illinois"/>
    <s v="Central"/>
    <s v="Major Market"/>
    <s v="Leaves"/>
    <x v="2"/>
    <x v="2"/>
    <s v="Decaf"/>
    <n v="959"/>
    <n v="34"/>
    <x v="34"/>
    <n v="123"/>
    <n v="46"/>
    <n v="197"/>
    <n v="0.61180000000000001"/>
    <n v="280"/>
    <n v="110"/>
    <n v="130"/>
    <n v="0.46429999999999999"/>
  </r>
  <r>
    <s v="TXN-00622"/>
    <d v="2024-08-04T00:00:00"/>
    <n v="702"/>
    <s v="Nevada"/>
    <s v="West"/>
    <s v="Small Market"/>
    <s v="Leaves"/>
    <x v="0"/>
    <x v="7"/>
    <s v="Regular"/>
    <n v="7653"/>
    <n v="93"/>
    <x v="207"/>
    <n v="245"/>
    <n v="127"/>
    <n v="-340"/>
    <n v="-10.625"/>
    <n v="0"/>
    <n v="180"/>
    <n v="-280"/>
    <e v="#DIV/0!"/>
  </r>
  <r>
    <s v="TXN-00623"/>
    <d v="2024-08-05T00:00:00"/>
    <n v="636"/>
    <s v="Missouri"/>
    <s v="Central"/>
    <s v="Small Market"/>
    <s v="Beans"/>
    <x v="3"/>
    <x v="6"/>
    <s v="Decaf"/>
    <n v="836"/>
    <n v="9"/>
    <x v="208"/>
    <n v="33"/>
    <n v="21"/>
    <n v="40"/>
    <n v="0.46510000000000001"/>
    <n v="100"/>
    <n v="40"/>
    <n v="50"/>
    <n v="0.5"/>
  </r>
  <r>
    <s v="TXN-00624"/>
    <d v="2024-08-05T00:00:00"/>
    <n v="503"/>
    <s v="Oregon"/>
    <s v="West"/>
    <s v="Small Market"/>
    <s v="Beans"/>
    <x v="3"/>
    <x v="9"/>
    <s v="Regular"/>
    <n v="424"/>
    <n v="17"/>
    <x v="117"/>
    <n v="54"/>
    <n v="45"/>
    <n v="28"/>
    <n v="0.2205"/>
    <n v="120"/>
    <n v="50"/>
    <n v="40"/>
    <n v="0.33329999999999999"/>
  </r>
  <r>
    <s v="TXN-00625"/>
    <d v="2024-08-05T00:00:00"/>
    <n v="720"/>
    <s v="Colorado"/>
    <s v="Central"/>
    <s v="Major Market"/>
    <s v="Beans"/>
    <x v="1"/>
    <x v="11"/>
    <s v="Decaf"/>
    <n v="1003"/>
    <n v="24"/>
    <x v="169"/>
    <n v="86"/>
    <n v="36"/>
    <n v="88"/>
    <n v="0.41899999999999998"/>
    <n v="200"/>
    <n v="80"/>
    <n v="90"/>
    <n v="0.45"/>
  </r>
  <r>
    <s v="TXN-00626"/>
    <d v="2024-08-07T00:00:00"/>
    <n v="918"/>
    <s v="Oklahoma"/>
    <s v="South"/>
    <s v="Small Market"/>
    <s v="Beans"/>
    <x v="3"/>
    <x v="9"/>
    <s v="Regular"/>
    <n v="482"/>
    <n v="8"/>
    <x v="21"/>
    <n v="32"/>
    <n v="19"/>
    <n v="29"/>
    <n v="0.36249999999999999"/>
    <n v="60"/>
    <n v="20"/>
    <n v="30"/>
    <n v="0.5"/>
  </r>
  <r>
    <s v="TXN-00627"/>
    <d v="2024-08-07T00:00:00"/>
    <n v="860"/>
    <s v="Connecticut"/>
    <s v="East"/>
    <s v="Small Market"/>
    <s v="Leaves"/>
    <x v="0"/>
    <x v="0"/>
    <s v="Regular"/>
    <n v="885"/>
    <n v="15"/>
    <x v="19"/>
    <n v="54"/>
    <n v="27"/>
    <n v="76"/>
    <n v="0.53900000000000003"/>
    <n v="130"/>
    <n v="50"/>
    <n v="60"/>
    <n v="0.46150000000000002"/>
  </r>
  <r>
    <s v="TXN-00628"/>
    <d v="2024-08-08T00:00:00"/>
    <n v="203"/>
    <s v="Connecticut"/>
    <s v="East"/>
    <s v="Small Market"/>
    <s v="Beans"/>
    <x v="3"/>
    <x v="6"/>
    <s v="Decaf"/>
    <n v="375"/>
    <n v="15"/>
    <x v="77"/>
    <n v="47"/>
    <n v="43"/>
    <n v="31"/>
    <n v="0.26269999999999999"/>
    <n v="90"/>
    <n v="30"/>
    <n v="50"/>
    <n v="0.55559999999999998"/>
  </r>
  <r>
    <s v="TXN-00629"/>
    <d v="2024-08-08T00:00:00"/>
    <n v="603"/>
    <s v="New Hampshire"/>
    <s v="East"/>
    <s v="Small Market"/>
    <s v="Beans"/>
    <x v="3"/>
    <x v="9"/>
    <s v="Regular"/>
    <n v="320"/>
    <n v="41"/>
    <x v="44"/>
    <n v="45"/>
    <n v="71"/>
    <n v="-10"/>
    <n v="-8.6199999999999999E-2"/>
    <n v="90"/>
    <n v="30"/>
    <n v="30"/>
    <n v="0.33329999999999999"/>
  </r>
  <r>
    <s v="TXN-00630"/>
    <d v="2024-08-08T00:00:00"/>
    <n v="315"/>
    <s v="New York"/>
    <s v="East"/>
    <s v="Major Market"/>
    <s v="Beans"/>
    <x v="1"/>
    <x v="5"/>
    <s v="Regular"/>
    <n v="2642"/>
    <n v="97"/>
    <x v="52"/>
    <n v="279"/>
    <n v="149"/>
    <n v="402"/>
    <n v="0.53959999999999997"/>
    <n v="620"/>
    <n v="250"/>
    <n v="250"/>
    <n v="0.4032"/>
  </r>
  <r>
    <s v="TXN-00631"/>
    <d v="2024-08-08T00:00:00"/>
    <n v="702"/>
    <s v="Nevada"/>
    <s v="West"/>
    <s v="Small Market"/>
    <s v="Leaves"/>
    <x v="0"/>
    <x v="7"/>
    <s v="Regular"/>
    <n v="7058"/>
    <n v="96"/>
    <x v="209"/>
    <n v="255"/>
    <n v="129"/>
    <n v="-539"/>
    <n v="-24.5"/>
    <n v="0"/>
    <n v="110"/>
    <n v="-170"/>
    <e v="#DIV/0!"/>
  </r>
  <r>
    <s v="TXN-00632"/>
    <d v="2024-08-09T00:00:00"/>
    <n v="234"/>
    <s v="Ohio"/>
    <s v="Central"/>
    <s v="Major Market"/>
    <s v="Beans"/>
    <x v="1"/>
    <x v="1"/>
    <s v="Regular"/>
    <n v="411"/>
    <n v="19"/>
    <x v="14"/>
    <n v="59"/>
    <n v="46"/>
    <n v="49"/>
    <n v="0.33329999999999999"/>
    <n v="130"/>
    <n v="50"/>
    <n v="50"/>
    <n v="0.3846"/>
  </r>
  <r>
    <s v="TXN-00633"/>
    <d v="2024-08-09T00:00:00"/>
    <n v="405"/>
    <s v="Oklahoma"/>
    <s v="South"/>
    <s v="Small Market"/>
    <s v="Beans"/>
    <x v="3"/>
    <x v="6"/>
    <s v="Decaf"/>
    <n v="817"/>
    <n v="29"/>
    <x v="149"/>
    <n v="88"/>
    <n v="61"/>
    <n v="72"/>
    <n v="0.32579999999999998"/>
    <n v="170"/>
    <n v="60"/>
    <n v="60"/>
    <n v="0.35289999999999999"/>
  </r>
  <r>
    <s v="TXN-00634"/>
    <d v="2024-08-10T00:00:00"/>
    <n v="435"/>
    <s v="Utah"/>
    <s v="West"/>
    <s v="Small Market"/>
    <s v="Beans"/>
    <x v="3"/>
    <x v="6"/>
    <s v="Decaf"/>
    <n v="881"/>
    <n v="11"/>
    <x v="73"/>
    <n v="40"/>
    <n v="22"/>
    <n v="37"/>
    <n v="0.37369999999999998"/>
    <n v="80"/>
    <n v="20"/>
    <n v="60"/>
    <n v="0.75"/>
  </r>
  <r>
    <s v="TXN-00635"/>
    <d v="2024-08-10T00:00:00"/>
    <n v="630"/>
    <s v="Illinois"/>
    <s v="Central"/>
    <s v="Major Market"/>
    <s v="Beans"/>
    <x v="3"/>
    <x v="6"/>
    <s v="Decaf"/>
    <n v="1820"/>
    <n v="70"/>
    <x v="72"/>
    <n v="250"/>
    <n v="94"/>
    <n v="157"/>
    <n v="0.31340000000000001"/>
    <n v="640"/>
    <n v="320"/>
    <n v="240"/>
    <n v="0.375"/>
  </r>
  <r>
    <s v="TXN-00636"/>
    <d v="2024-08-11T00:00:00"/>
    <n v="775"/>
    <s v="Nevada"/>
    <s v="West"/>
    <s v="Small Market"/>
    <s v="Beans"/>
    <x v="1"/>
    <x v="5"/>
    <s v="Regular"/>
    <n v="243"/>
    <n v="12"/>
    <x v="171"/>
    <n v="33"/>
    <n v="45"/>
    <n v="-6"/>
    <n v="-7.5899999999999995E-2"/>
    <n v="80"/>
    <n v="30"/>
    <n v="10"/>
    <n v="0.125"/>
  </r>
  <r>
    <s v="TXN-00637"/>
    <d v="2024-08-11T00:00:00"/>
    <n v="505"/>
    <s v="New Mexico"/>
    <s v="South"/>
    <s v="Small Market"/>
    <s v="Beans"/>
    <x v="1"/>
    <x v="5"/>
    <s v="Regular"/>
    <n v="447"/>
    <n v="14"/>
    <x v="16"/>
    <n v="45"/>
    <n v="46"/>
    <n v="34"/>
    <n v="0.28100000000000003"/>
    <n v="160"/>
    <n v="50"/>
    <n v="80"/>
    <n v="0.5"/>
  </r>
  <r>
    <s v="TXN-00638"/>
    <d v="2024-08-11T00:00:00"/>
    <n v="818"/>
    <s v="California"/>
    <s v="West"/>
    <s v="Major Market"/>
    <s v="Beans"/>
    <x v="3"/>
    <x v="9"/>
    <s v="Regular"/>
    <n v="912"/>
    <n v="109"/>
    <x v="100"/>
    <n v="121"/>
    <n v="142"/>
    <n v="26"/>
    <n v="0.09"/>
    <n v="280"/>
    <n v="110"/>
    <n v="40"/>
    <n v="0.1429"/>
  </r>
  <r>
    <s v="TXN-00639"/>
    <d v="2024-08-12T00:00:00"/>
    <n v="509"/>
    <s v="Washington"/>
    <s v="West"/>
    <s v="Small Market"/>
    <s v="Leaves"/>
    <x v="2"/>
    <x v="4"/>
    <s v="Decaf"/>
    <n v="829"/>
    <n v="13"/>
    <x v="117"/>
    <n v="48"/>
    <n v="24"/>
    <n v="70"/>
    <n v="0.55120000000000002"/>
    <n v="90"/>
    <n v="30"/>
    <n v="60"/>
    <n v="0.66669999999999996"/>
  </r>
  <r>
    <s v="TXN-00640"/>
    <d v="2024-08-12T00:00:00"/>
    <n v="206"/>
    <s v="Washington"/>
    <s v="West"/>
    <s v="Small Market"/>
    <s v="Leaves"/>
    <x v="0"/>
    <x v="3"/>
    <s v="Regular"/>
    <n v="454"/>
    <n v="15"/>
    <x v="40"/>
    <n v="49"/>
    <n v="37"/>
    <n v="34"/>
    <n v="0.2833"/>
    <n v="80"/>
    <n v="30"/>
    <n v="30"/>
    <n v="0.375"/>
  </r>
  <r>
    <s v="TXN-00641"/>
    <d v="2024-08-12T00:00:00"/>
    <n v="754"/>
    <s v="Florida"/>
    <s v="East"/>
    <s v="Major Market"/>
    <s v="Beans"/>
    <x v="1"/>
    <x v="5"/>
    <s v="Regular"/>
    <n v="798"/>
    <n v="25"/>
    <x v="108"/>
    <n v="78"/>
    <n v="56"/>
    <n v="63"/>
    <n v="0.31979999999999997"/>
    <n v="170"/>
    <n v="70"/>
    <n v="60"/>
    <n v="0.35289999999999999"/>
  </r>
  <r>
    <s v="TXN-00642"/>
    <d v="2024-08-12T00:00:00"/>
    <n v="904"/>
    <s v="Florida"/>
    <s v="East"/>
    <s v="Major Market"/>
    <s v="Leaves"/>
    <x v="2"/>
    <x v="2"/>
    <s v="Decaf"/>
    <n v="573"/>
    <n v="7"/>
    <x v="170"/>
    <n v="22"/>
    <n v="19"/>
    <n v="15"/>
    <n v="0.27779999999999999"/>
    <n v="20"/>
    <n v="0"/>
    <n v="20"/>
    <n v="1"/>
  </r>
  <r>
    <s v="TXN-00643"/>
    <d v="2024-08-12T00:00:00"/>
    <n v="775"/>
    <s v="Nevada"/>
    <s v="West"/>
    <s v="Small Market"/>
    <s v="Leaves"/>
    <x v="2"/>
    <x v="8"/>
    <s v="Decaf"/>
    <n v="803"/>
    <n v="36"/>
    <x v="210"/>
    <n v="113"/>
    <n v="58"/>
    <n v="159"/>
    <n v="0.53720000000000001"/>
    <n v="250"/>
    <n v="100"/>
    <n v="100"/>
    <n v="0.4"/>
  </r>
  <r>
    <s v="TXN-00644"/>
    <d v="2024-08-13T00:00:00"/>
    <n v="959"/>
    <s v="Connecticut"/>
    <s v="East"/>
    <s v="Small Market"/>
    <s v="Leaves"/>
    <x v="0"/>
    <x v="7"/>
    <s v="Regular"/>
    <n v="818"/>
    <n v="9"/>
    <x v="74"/>
    <n v="33"/>
    <n v="21"/>
    <n v="28"/>
    <n v="0.34150000000000003"/>
    <n v="80"/>
    <n v="30"/>
    <n v="40"/>
    <n v="0.5"/>
  </r>
  <r>
    <s v="TXN-00645"/>
    <d v="2024-08-13T00:00:00"/>
    <n v="234"/>
    <s v="Ohio"/>
    <s v="Central"/>
    <s v="Major Market"/>
    <s v="Beans"/>
    <x v="1"/>
    <x v="5"/>
    <s v="Regular"/>
    <n v="424"/>
    <n v="14"/>
    <x v="16"/>
    <n v="46"/>
    <n v="36"/>
    <n v="47"/>
    <n v="0.38840000000000002"/>
    <n v="110"/>
    <n v="40"/>
    <n v="40"/>
    <n v="0.36359999999999998"/>
  </r>
  <r>
    <s v="TXN-00646"/>
    <d v="2024-08-13T00:00:00"/>
    <n v="786"/>
    <s v="Florida"/>
    <s v="East"/>
    <s v="Major Market"/>
    <s v="Leaves"/>
    <x v="2"/>
    <x v="4"/>
    <s v="Decaf"/>
    <n v="385"/>
    <n v="21"/>
    <x v="168"/>
    <n v="56"/>
    <n v="54"/>
    <n v="24"/>
    <n v="0.17910000000000001"/>
    <n v="60"/>
    <n v="30"/>
    <n v="20"/>
    <n v="0.33329999999999999"/>
  </r>
  <r>
    <s v="TXN-00647"/>
    <d v="2024-08-13T00:00:00"/>
    <n v="715"/>
    <s v="Wisconsin"/>
    <s v="Central"/>
    <s v="Small Market"/>
    <s v="Leaves"/>
    <x v="2"/>
    <x v="2"/>
    <s v="Decaf"/>
    <n v="329"/>
    <n v="18"/>
    <x v="205"/>
    <n v="60"/>
    <n v="42"/>
    <n v="85"/>
    <n v="0.503"/>
    <n v="120"/>
    <n v="40"/>
    <n v="80"/>
    <n v="0.66669999999999996"/>
  </r>
  <r>
    <s v="TXN-00648"/>
    <d v="2024-08-14T00:00:00"/>
    <n v="970"/>
    <s v="Colorado"/>
    <s v="Central"/>
    <s v="Major Market"/>
    <s v="Beans"/>
    <x v="1"/>
    <x v="5"/>
    <s v="Regular"/>
    <n v="531"/>
    <n v="14"/>
    <x v="110"/>
    <n v="43"/>
    <n v="27"/>
    <n v="43"/>
    <n v="0.40570000000000001"/>
    <n v="90"/>
    <n v="40"/>
    <n v="30"/>
    <n v="0.33329999999999999"/>
  </r>
  <r>
    <s v="TXN-00649"/>
    <d v="2024-08-14T00:00:00"/>
    <n v="253"/>
    <s v="Washington"/>
    <s v="West"/>
    <s v="Small Market"/>
    <s v="Leaves"/>
    <x v="0"/>
    <x v="3"/>
    <s v="Regular"/>
    <n v="466"/>
    <n v="13"/>
    <x v="153"/>
    <n v="43"/>
    <n v="35"/>
    <n v="42"/>
    <n v="0.37169999999999997"/>
    <n v="70"/>
    <n v="30"/>
    <n v="20"/>
    <n v="0.28570000000000001"/>
  </r>
  <r>
    <s v="TXN-00650"/>
    <d v="2024-08-14T00:00:00"/>
    <n v="541"/>
    <s v="Oregon"/>
    <s v="West"/>
    <s v="Small Market"/>
    <s v="Beans"/>
    <x v="1"/>
    <x v="5"/>
    <s v="Regular"/>
    <n v="482"/>
    <n v="13"/>
    <x v="211"/>
    <n v="41"/>
    <n v="56"/>
    <n v="1"/>
    <n v="9.5999999999999992E-3"/>
    <n v="110"/>
    <n v="40"/>
    <n v="20"/>
    <n v="0.18179999999999999"/>
  </r>
  <r>
    <s v="TXN-00651"/>
    <d v="2024-08-14T00:00:00"/>
    <n v="580"/>
    <s v="Oklahoma"/>
    <s v="South"/>
    <s v="Small Market"/>
    <s v="Beans"/>
    <x v="3"/>
    <x v="9"/>
    <s v="Regular"/>
    <n v="490"/>
    <n v="8"/>
    <x v="24"/>
    <n v="29"/>
    <n v="20"/>
    <n v="24"/>
    <n v="0.32879999999999998"/>
    <n v="50"/>
    <n v="20"/>
    <n v="20"/>
    <n v="0.4"/>
  </r>
  <r>
    <s v="TXN-00652"/>
    <d v="2024-08-14T00:00:00"/>
    <n v="414"/>
    <s v="Wisconsin"/>
    <s v="Central"/>
    <s v="Small Market"/>
    <s v="Leaves"/>
    <x v="2"/>
    <x v="2"/>
    <s v="Decaf"/>
    <n v="329"/>
    <n v="18"/>
    <x v="201"/>
    <n v="60"/>
    <n v="42"/>
    <n v="57"/>
    <n v="0.35849999999999999"/>
    <n v="120"/>
    <n v="40"/>
    <n v="80"/>
    <n v="0.66669999999999996"/>
  </r>
  <r>
    <s v="TXN-00653"/>
    <d v="2024-08-14T00:00:00"/>
    <n v="641"/>
    <s v="Iowa"/>
    <s v="Central"/>
    <s v="Small Market"/>
    <s v="Leaves"/>
    <x v="2"/>
    <x v="4"/>
    <s v="Decaf"/>
    <n v="803"/>
    <n v="36"/>
    <x v="210"/>
    <n v="113"/>
    <n v="58"/>
    <n v="159"/>
    <n v="0.53720000000000001"/>
    <n v="250"/>
    <n v="100"/>
    <n v="100"/>
    <n v="0.4"/>
  </r>
  <r>
    <s v="TXN-00654"/>
    <d v="2024-08-14T00:00:00"/>
    <n v="303"/>
    <s v="Colorado"/>
    <s v="Central"/>
    <s v="Major Market"/>
    <s v="Beans"/>
    <x v="1"/>
    <x v="1"/>
    <s v="Regular"/>
    <n v="959"/>
    <n v="34"/>
    <x v="34"/>
    <n v="123"/>
    <n v="45"/>
    <n v="199"/>
    <n v="0.61799999999999999"/>
    <n v="290"/>
    <n v="120"/>
    <n v="130"/>
    <n v="0.44829999999999998"/>
  </r>
  <r>
    <s v="TXN-00655"/>
    <d v="2024-08-15T00:00:00"/>
    <n v="585"/>
    <s v="New York"/>
    <s v="East"/>
    <s v="Major Market"/>
    <s v="Leaves"/>
    <x v="2"/>
    <x v="4"/>
    <s v="Decaf"/>
    <n v="1622"/>
    <n v="96"/>
    <x v="212"/>
    <n v="255"/>
    <n v="129"/>
    <n v="191"/>
    <n v="0.34920000000000001"/>
    <n v="290"/>
    <n v="140"/>
    <n v="70"/>
    <n v="0.2414"/>
  </r>
  <r>
    <s v="TXN-00656"/>
    <d v="2024-08-15T00:00:00"/>
    <n v="970"/>
    <s v="Colorado"/>
    <s v="Central"/>
    <s v="Major Market"/>
    <s v="Beans"/>
    <x v="1"/>
    <x v="1"/>
    <s v="Regular"/>
    <n v="915"/>
    <n v="34"/>
    <x v="1"/>
    <n v="123"/>
    <n v="46"/>
    <n v="133"/>
    <n v="0.44040000000000001"/>
    <n v="300"/>
    <n v="120"/>
    <n v="160"/>
    <n v="0.5333"/>
  </r>
  <r>
    <s v="TXN-00657"/>
    <d v="2024-08-15T00:00:00"/>
    <n v="312"/>
    <s v="Illinois"/>
    <s v="Central"/>
    <s v="Major Market"/>
    <s v="Leaves"/>
    <x v="2"/>
    <x v="2"/>
    <s v="Decaf"/>
    <n v="930"/>
    <n v="33"/>
    <x v="10"/>
    <n v="118"/>
    <n v="45"/>
    <n v="127"/>
    <n v="0.43790000000000001"/>
    <n v="260"/>
    <n v="110"/>
    <n v="110"/>
    <n v="0.42309999999999998"/>
  </r>
  <r>
    <s v="TXN-00658"/>
    <d v="2024-08-16T00:00:00"/>
    <n v="775"/>
    <s v="Nevada"/>
    <s v="West"/>
    <s v="Small Market"/>
    <s v="Beans"/>
    <x v="1"/>
    <x v="5"/>
    <s v="Regular"/>
    <n v="240"/>
    <n v="12"/>
    <x v="125"/>
    <n v="34"/>
    <n v="45"/>
    <n v="-2"/>
    <n v="-2.5999999999999999E-2"/>
    <n v="100"/>
    <n v="40"/>
    <n v="30"/>
    <n v="0.3"/>
  </r>
  <r>
    <s v="TXN-00659"/>
    <d v="2024-08-19T00:00:00"/>
    <n v="603"/>
    <s v="New Hampshire"/>
    <s v="East"/>
    <s v="Small Market"/>
    <s v="Beans"/>
    <x v="1"/>
    <x v="5"/>
    <s v="Regular"/>
    <n v="447"/>
    <n v="14"/>
    <x v="13"/>
    <n v="45"/>
    <n v="45"/>
    <n v="24"/>
    <n v="0.21049999999999999"/>
    <n v="90"/>
    <n v="30"/>
    <n v="50"/>
    <n v="0.55559999999999998"/>
  </r>
  <r>
    <s v="TXN-00660"/>
    <d v="2024-08-19T00:00:00"/>
    <n v="209"/>
    <s v="California"/>
    <s v="West"/>
    <s v="Major Market"/>
    <s v="Leaves"/>
    <x v="0"/>
    <x v="3"/>
    <s v="Regular"/>
    <n v="580"/>
    <n v="21"/>
    <x v="163"/>
    <n v="76"/>
    <n v="32"/>
    <n v="79"/>
    <n v="0.42249999999999999"/>
    <n v="80"/>
    <n v="30"/>
    <n v="50"/>
    <n v="0.625"/>
  </r>
  <r>
    <s v="TXN-00661"/>
    <d v="2024-08-19T00:00:00"/>
    <n v="206"/>
    <s v="Washington"/>
    <s v="West"/>
    <s v="Small Market"/>
    <s v="Beans"/>
    <x v="3"/>
    <x v="10"/>
    <s v="Regular"/>
    <n v="567"/>
    <n v="7"/>
    <x v="26"/>
    <n v="24"/>
    <n v="19"/>
    <n v="19"/>
    <n v="0.31669999999999998"/>
    <n v="50"/>
    <n v="20"/>
    <n v="20"/>
    <n v="0.4"/>
  </r>
  <r>
    <s v="TXN-00662"/>
    <d v="2024-08-19T00:00:00"/>
    <n v="801"/>
    <s v="Utah"/>
    <s v="West"/>
    <s v="Small Market"/>
    <s v="Beans"/>
    <x v="1"/>
    <x v="5"/>
    <s v="Regular"/>
    <n v="392"/>
    <n v="16"/>
    <x v="13"/>
    <n v="49"/>
    <n v="44"/>
    <n v="21"/>
    <n v="0.1842"/>
    <n v="130"/>
    <n v="50"/>
    <n v="50"/>
    <n v="0.3846"/>
  </r>
  <r>
    <s v="TXN-00663"/>
    <d v="2024-08-20T00:00:00"/>
    <n v="626"/>
    <s v="California"/>
    <s v="West"/>
    <s v="Major Market"/>
    <s v="Leaves"/>
    <x v="0"/>
    <x v="3"/>
    <s v="Regular"/>
    <n v="580"/>
    <n v="21"/>
    <x v="131"/>
    <n v="76"/>
    <n v="32"/>
    <n v="117"/>
    <n v="0.58789999999999998"/>
    <n v="80"/>
    <n v="30"/>
    <n v="50"/>
    <n v="0.625"/>
  </r>
  <r>
    <s v="TXN-00664"/>
    <d v="2024-08-20T00:00:00"/>
    <n v="845"/>
    <s v="New York"/>
    <s v="East"/>
    <s v="Major Market"/>
    <s v="Beans"/>
    <x v="1"/>
    <x v="5"/>
    <s v="Regular"/>
    <n v="2642"/>
    <n v="97"/>
    <x v="213"/>
    <n v="279"/>
    <n v="149"/>
    <n v="271"/>
    <n v="0.38769999999999999"/>
    <n v="620"/>
    <n v="250"/>
    <n v="250"/>
    <n v="0.4032"/>
  </r>
  <r>
    <s v="TXN-00665"/>
    <d v="2024-08-21T00:00:00"/>
    <n v="603"/>
    <s v="New Hampshire"/>
    <s v="East"/>
    <s v="Small Market"/>
    <s v="Leaves"/>
    <x v="0"/>
    <x v="7"/>
    <s v="Regular"/>
    <n v="387"/>
    <n v="0"/>
    <x v="190"/>
    <n v="0"/>
    <n v="11"/>
    <n v="47"/>
    <n v="1.0217000000000001"/>
    <n v="40"/>
    <n v="0"/>
    <n v="30"/>
    <n v="0.75"/>
  </r>
  <r>
    <s v="TXN-00666"/>
    <d v="2024-08-21T00:00:00"/>
    <n v="321"/>
    <s v="Florida"/>
    <s v="East"/>
    <s v="Major Market"/>
    <s v="Leaves"/>
    <x v="0"/>
    <x v="0"/>
    <s v="Regular"/>
    <n v="882"/>
    <n v="8"/>
    <x v="21"/>
    <n v="30"/>
    <n v="19"/>
    <n v="39"/>
    <n v="0.48749999999999999"/>
    <n v="70"/>
    <n v="30"/>
    <n v="30"/>
    <n v="0.42859999999999998"/>
  </r>
  <r>
    <s v="TXN-00667"/>
    <d v="2024-08-22T00:00:00"/>
    <n v="970"/>
    <s v="Colorado"/>
    <s v="Central"/>
    <s v="Major Market"/>
    <s v="Beans"/>
    <x v="1"/>
    <x v="5"/>
    <s v="Regular"/>
    <n v="531"/>
    <n v="14"/>
    <x v="73"/>
    <n v="43"/>
    <n v="27"/>
    <n v="29"/>
    <n v="0.29289999999999999"/>
    <n v="90"/>
    <n v="40"/>
    <n v="30"/>
    <n v="0.33329999999999999"/>
  </r>
  <r>
    <s v="TXN-00668"/>
    <d v="2024-08-22T00:00:00"/>
    <n v="775"/>
    <s v="Nevada"/>
    <s v="West"/>
    <s v="Small Market"/>
    <s v="Beans"/>
    <x v="3"/>
    <x v="10"/>
    <s v="Regular"/>
    <n v="344"/>
    <n v="0"/>
    <x v="190"/>
    <n v="0"/>
    <n v="12"/>
    <n v="46"/>
    <n v="1"/>
    <n v="40"/>
    <n v="0"/>
    <n v="30"/>
    <n v="0.75"/>
  </r>
  <r>
    <s v="TXN-00669"/>
    <d v="2024-08-22T00:00:00"/>
    <n v="314"/>
    <s v="Missouri"/>
    <s v="Central"/>
    <s v="Small Market"/>
    <s v="Beans"/>
    <x v="1"/>
    <x v="11"/>
    <s v="Decaf"/>
    <n v="1060"/>
    <n v="21"/>
    <x v="182"/>
    <n v="69"/>
    <n v="43"/>
    <n v="38"/>
    <n v="0.25330000000000003"/>
    <n v="140"/>
    <n v="60"/>
    <n v="40"/>
    <n v="0.28570000000000001"/>
  </r>
  <r>
    <s v="TXN-00670"/>
    <d v="2024-08-22T00:00:00"/>
    <n v="815"/>
    <s v="Illinois"/>
    <s v="Central"/>
    <s v="Major Market"/>
    <s v="Beans"/>
    <x v="1"/>
    <x v="5"/>
    <s v="Regular"/>
    <n v="1150"/>
    <n v="57"/>
    <x v="194"/>
    <n v="173"/>
    <n v="100"/>
    <n v="139"/>
    <n v="0.33739999999999998"/>
    <n v="400"/>
    <n v="170"/>
    <n v="140"/>
    <n v="0.35"/>
  </r>
  <r>
    <s v="TXN-00671"/>
    <d v="2024-08-22T00:00:00"/>
    <n v="775"/>
    <s v="Nevada"/>
    <s v="West"/>
    <s v="Small Market"/>
    <s v="Leaves"/>
    <x v="0"/>
    <x v="3"/>
    <s v="Regular"/>
    <n v="1820"/>
    <n v="70"/>
    <x v="85"/>
    <n v="250"/>
    <n v="94"/>
    <n v="233"/>
    <n v="0.43630000000000002"/>
    <n v="360"/>
    <n v="180"/>
    <n v="100"/>
    <n v="0.27779999999999999"/>
  </r>
  <r>
    <s v="TXN-00672"/>
    <d v="2024-08-23T00:00:00"/>
    <n v="970"/>
    <s v="Colorado"/>
    <s v="Central"/>
    <s v="Major Market"/>
    <s v="Leaves"/>
    <x v="2"/>
    <x v="4"/>
    <s v="Decaf"/>
    <n v="521"/>
    <n v="42"/>
    <x v="22"/>
    <n v="47"/>
    <n v="71"/>
    <n v="-6"/>
    <n v="-5.3600000000000002E-2"/>
    <n v="100"/>
    <n v="40"/>
    <n v="0"/>
    <n v="0"/>
  </r>
  <r>
    <s v="TXN-00673"/>
    <d v="2024-08-23T00:00:00"/>
    <n v="435"/>
    <s v="Utah"/>
    <s v="West"/>
    <s v="Small Market"/>
    <s v="Beans"/>
    <x v="3"/>
    <x v="10"/>
    <s v="Regular"/>
    <n v="836"/>
    <n v="9"/>
    <x v="208"/>
    <n v="33"/>
    <n v="21"/>
    <n v="40"/>
    <n v="0.46510000000000001"/>
    <n v="70"/>
    <n v="30"/>
    <n v="30"/>
    <n v="0.42859999999999998"/>
  </r>
  <r>
    <s v="TXN-00674"/>
    <d v="2024-08-23T00:00:00"/>
    <n v="505"/>
    <s v="New Mexico"/>
    <s v="South"/>
    <s v="Small Market"/>
    <s v="Beans"/>
    <x v="3"/>
    <x v="10"/>
    <s v="Regular"/>
    <n v="-466"/>
    <n v="9"/>
    <x v="166"/>
    <n v="25"/>
    <n v="43"/>
    <n v="-12"/>
    <n v="-0.21429999999999999"/>
    <n v="30"/>
    <n v="10"/>
    <n v="10"/>
    <n v="0.33329999999999999"/>
  </r>
  <r>
    <s v="TXN-00675"/>
    <d v="2024-08-23T00:00:00"/>
    <n v="646"/>
    <s v="New York"/>
    <s v="East"/>
    <s v="Major Market"/>
    <s v="Beans"/>
    <x v="3"/>
    <x v="12"/>
    <s v="Regular"/>
    <n v="933"/>
    <n v="59"/>
    <x v="214"/>
    <n v="211"/>
    <n v="83"/>
    <n v="381"/>
    <n v="0.56440000000000001"/>
    <n v="660"/>
    <n v="200"/>
    <n v="390"/>
    <n v="0.59089999999999998"/>
  </r>
  <r>
    <s v="TXN-00676"/>
    <d v="2024-08-23T00:00:00"/>
    <n v="573"/>
    <s v="Missouri"/>
    <s v="Central"/>
    <s v="Small Market"/>
    <s v="Beans"/>
    <x v="3"/>
    <x v="9"/>
    <s v="Regular"/>
    <n v="898"/>
    <n v="14"/>
    <x v="30"/>
    <n v="50"/>
    <n v="25"/>
    <n v="71"/>
    <n v="0.54200000000000004"/>
    <n v="150"/>
    <n v="60"/>
    <n v="70"/>
    <n v="0.4667"/>
  </r>
  <r>
    <s v="TXN-00677"/>
    <d v="2024-08-24T00:00:00"/>
    <n v="956"/>
    <s v="Texas"/>
    <s v="South"/>
    <s v="Major Market"/>
    <s v="Beans"/>
    <x v="1"/>
    <x v="11"/>
    <s v="Decaf"/>
    <n v="531"/>
    <n v="14"/>
    <x v="110"/>
    <n v="43"/>
    <n v="26"/>
    <n v="45"/>
    <n v="0.42449999999999999"/>
    <n v="110"/>
    <n v="50"/>
    <n v="40"/>
    <n v="0.36359999999999998"/>
  </r>
  <r>
    <s v="TXN-00678"/>
    <d v="2024-08-24T00:00:00"/>
    <n v="206"/>
    <s v="Washington"/>
    <s v="West"/>
    <s v="Small Market"/>
    <s v="Leaves"/>
    <x v="0"/>
    <x v="3"/>
    <s v="Regular"/>
    <n v="454"/>
    <n v="15"/>
    <x v="0"/>
    <n v="49"/>
    <n v="37"/>
    <n v="50"/>
    <n v="0.3906"/>
    <n v="80"/>
    <n v="30"/>
    <n v="30"/>
    <n v="0.375"/>
  </r>
  <r>
    <s v="TXN-00679"/>
    <d v="2024-08-24T00:00:00"/>
    <n v="513"/>
    <s v="Ohio"/>
    <s v="Central"/>
    <s v="Major Market"/>
    <s v="Leaves"/>
    <x v="2"/>
    <x v="4"/>
    <s v="Decaf"/>
    <n v="859"/>
    <n v="7"/>
    <x v="32"/>
    <n v="27"/>
    <n v="19"/>
    <n v="20"/>
    <n v="0.30299999999999999"/>
    <n v="40"/>
    <n v="10"/>
    <n v="30"/>
    <n v="0.75"/>
  </r>
  <r>
    <s v="TXN-00680"/>
    <d v="2024-08-24T00:00:00"/>
    <n v="407"/>
    <s v="Florida"/>
    <s v="East"/>
    <s v="Major Market"/>
    <s v="Beans"/>
    <x v="1"/>
    <x v="5"/>
    <s v="Regular"/>
    <n v="817"/>
    <n v="29"/>
    <x v="78"/>
    <n v="88"/>
    <n v="60"/>
    <n v="108"/>
    <n v="0.45760000000000001"/>
    <n v="190"/>
    <n v="70"/>
    <n v="80"/>
    <n v="0.42109999999999997"/>
  </r>
  <r>
    <s v="TXN-00681"/>
    <d v="2024-08-24T00:00:00"/>
    <n v="303"/>
    <s v="Colorado"/>
    <s v="Central"/>
    <s v="Major Market"/>
    <s v="Beans"/>
    <x v="3"/>
    <x v="9"/>
    <s v="Regular"/>
    <n v="589"/>
    <n v="14"/>
    <x v="30"/>
    <n v="50"/>
    <n v="25"/>
    <n v="71"/>
    <n v="0.54200000000000004"/>
    <n v="150"/>
    <n v="60"/>
    <n v="70"/>
    <n v="0.4667"/>
  </r>
  <r>
    <s v="TXN-00682"/>
    <d v="2024-08-25T00:00:00"/>
    <n v="305"/>
    <s v="Florida"/>
    <s v="East"/>
    <s v="Major Market"/>
    <s v="Leaves"/>
    <x v="2"/>
    <x v="8"/>
    <s v="Decaf"/>
    <n v="1055"/>
    <n v="24"/>
    <x v="147"/>
    <n v="80"/>
    <n v="46"/>
    <n v="48"/>
    <n v="0.27589999999999998"/>
    <n v="90"/>
    <n v="40"/>
    <n v="40"/>
    <n v="0.44440000000000002"/>
  </r>
  <r>
    <s v="TXN-00683"/>
    <d v="2024-08-25T00:00:00"/>
    <n v="530"/>
    <s v="California"/>
    <s v="West"/>
    <s v="Major Market"/>
    <s v="Leaves"/>
    <x v="2"/>
    <x v="8"/>
    <s v="Decaf"/>
    <n v="541"/>
    <n v="12"/>
    <x v="157"/>
    <n v="39"/>
    <n v="25"/>
    <n v="39"/>
    <n v="0.40629999999999999"/>
    <n v="60"/>
    <n v="20"/>
    <n v="40"/>
    <n v="0.66669999999999996"/>
  </r>
  <r>
    <s v="TXN-00684"/>
    <d v="2024-08-25T00:00:00"/>
    <n v="607"/>
    <s v="New York"/>
    <s v="East"/>
    <s v="Major Market"/>
    <s v="Beans"/>
    <x v="1"/>
    <x v="5"/>
    <s v="Regular"/>
    <n v="2580"/>
    <n v="87"/>
    <x v="215"/>
    <n v="249"/>
    <n v="138"/>
    <n v="350"/>
    <n v="0.52710000000000001"/>
    <n v="560"/>
    <n v="220"/>
    <n v="230"/>
    <n v="0.41070000000000001"/>
  </r>
  <r>
    <s v="TXN-00685"/>
    <d v="2024-08-25T00:00:00"/>
    <n v="702"/>
    <s v="Nevada"/>
    <s v="West"/>
    <s v="Small Market"/>
    <s v="Leaves"/>
    <x v="0"/>
    <x v="0"/>
    <s v="Regular"/>
    <n v="1744"/>
    <n v="81"/>
    <x v="55"/>
    <n v="247"/>
    <n v="114"/>
    <n v="215"/>
    <n v="0.37330000000000002"/>
    <n v="420"/>
    <n v="180"/>
    <n v="150"/>
    <n v="0.35709999999999997"/>
  </r>
  <r>
    <s v="TXN-00686"/>
    <d v="2024-08-25T00:00:00"/>
    <n v="360"/>
    <s v="Washington"/>
    <s v="West"/>
    <s v="Small Market"/>
    <s v="Beans"/>
    <x v="1"/>
    <x v="5"/>
    <s v="Regular"/>
    <n v="438"/>
    <n v="21"/>
    <x v="216"/>
    <n v="68"/>
    <n v="43"/>
    <n v="83"/>
    <n v="0.46629999999999999"/>
    <n v="230"/>
    <n v="90"/>
    <n v="110"/>
    <n v="0.4783"/>
  </r>
  <r>
    <s v="TXN-00687"/>
    <d v="2024-08-26T00:00:00"/>
    <n v="715"/>
    <s v="Wisconsin"/>
    <s v="Central"/>
    <s v="Small Market"/>
    <s v="Leaves"/>
    <x v="0"/>
    <x v="3"/>
    <s v="Regular"/>
    <n v="613"/>
    <n v="55"/>
    <x v="14"/>
    <n v="61"/>
    <n v="84"/>
    <n v="2"/>
    <n v="1.3599999999999999E-2"/>
    <n v="120"/>
    <n v="50"/>
    <n v="0"/>
    <n v="0"/>
  </r>
  <r>
    <s v="TXN-00688"/>
    <d v="2024-08-26T00:00:00"/>
    <n v="405"/>
    <s v="Oklahoma"/>
    <s v="South"/>
    <s v="Small Market"/>
    <s v="Beans"/>
    <x v="3"/>
    <x v="10"/>
    <s v="Regular"/>
    <n v="-1785"/>
    <n v="28"/>
    <x v="48"/>
    <n v="91"/>
    <n v="51"/>
    <n v="113"/>
    <n v="0.48709999999999998"/>
    <n v="130"/>
    <n v="50"/>
    <n v="70"/>
    <n v="0.53849999999999998"/>
  </r>
  <r>
    <s v="TXN-00689"/>
    <d v="2024-08-26T00:00:00"/>
    <n v="951"/>
    <s v="California"/>
    <s v="West"/>
    <s v="Major Market"/>
    <s v="Beans"/>
    <x v="3"/>
    <x v="10"/>
    <s v="Regular"/>
    <n v="1778"/>
    <n v="59"/>
    <x v="178"/>
    <n v="211"/>
    <n v="83"/>
    <n v="191"/>
    <n v="0.42349999999999999"/>
    <n v="410"/>
    <n v="200"/>
    <n v="140"/>
    <n v="0.34150000000000003"/>
  </r>
  <r>
    <s v="TXN-00690"/>
    <d v="2024-08-27T00:00:00"/>
    <n v="580"/>
    <s v="Oklahoma"/>
    <s v="South"/>
    <s v="Small Market"/>
    <s v="Beans"/>
    <x v="3"/>
    <x v="9"/>
    <s v="Regular"/>
    <n v="480"/>
    <n v="5"/>
    <x v="166"/>
    <n v="21"/>
    <n v="17"/>
    <n v="22"/>
    <n v="0.39290000000000003"/>
    <n v="30"/>
    <n v="0"/>
    <n v="30"/>
    <n v="1"/>
  </r>
  <r>
    <s v="TXN-00691"/>
    <d v="2024-08-28T00:00:00"/>
    <n v="603"/>
    <s v="New Hampshire"/>
    <s v="East"/>
    <s v="Small Market"/>
    <s v="Beans"/>
    <x v="1"/>
    <x v="5"/>
    <s v="Regular"/>
    <n v="452"/>
    <n v="14"/>
    <x v="44"/>
    <n v="43"/>
    <n v="46"/>
    <n v="30"/>
    <n v="0.2586"/>
    <n v="90"/>
    <n v="30"/>
    <n v="30"/>
    <n v="0.33329999999999999"/>
  </r>
  <r>
    <s v="TXN-00692"/>
    <d v="2024-08-28T00:00:00"/>
    <n v="518"/>
    <s v="New York"/>
    <s v="East"/>
    <s v="Major Market"/>
    <s v="Leaves"/>
    <x v="0"/>
    <x v="0"/>
    <s v="Regular"/>
    <n v="984"/>
    <n v="22"/>
    <x v="88"/>
    <n v="81"/>
    <n v="33"/>
    <n v="84"/>
    <n v="0.42420000000000002"/>
    <n v="200"/>
    <n v="80"/>
    <n v="90"/>
    <n v="0.45"/>
  </r>
  <r>
    <s v="TXN-00693"/>
    <d v="2024-08-28T00:00:00"/>
    <n v="760"/>
    <s v="California"/>
    <s v="West"/>
    <s v="Major Market"/>
    <s v="Leaves"/>
    <x v="2"/>
    <x v="2"/>
    <s v="Decaf"/>
    <n v="984"/>
    <n v="22"/>
    <x v="217"/>
    <n v="81"/>
    <n v="33"/>
    <n v="125"/>
    <n v="0.59240000000000004"/>
    <n v="180"/>
    <n v="70"/>
    <n v="80"/>
    <n v="0.44440000000000002"/>
  </r>
  <r>
    <s v="TXN-00694"/>
    <d v="2024-09-01T00:00:00"/>
    <n v="425"/>
    <s v="Washington"/>
    <s v="West"/>
    <s v="Small Market"/>
    <s v="Beans"/>
    <x v="3"/>
    <x v="9"/>
    <s v="Regular"/>
    <n v="391"/>
    <n v="20"/>
    <x v="16"/>
    <n v="54"/>
    <n v="54"/>
    <n v="13"/>
    <n v="0.1074"/>
    <n v="110"/>
    <n v="50"/>
    <n v="20"/>
    <n v="0.18179999999999999"/>
  </r>
  <r>
    <s v="TXN-00695"/>
    <d v="2024-09-01T00:00:00"/>
    <n v="959"/>
    <s v="Connecticut"/>
    <s v="East"/>
    <s v="Small Market"/>
    <s v="Leaves"/>
    <x v="0"/>
    <x v="0"/>
    <s v="Regular"/>
    <n v="885"/>
    <n v="15"/>
    <x v="50"/>
    <n v="54"/>
    <n v="27"/>
    <n v="51"/>
    <n v="0.38640000000000002"/>
    <n v="130"/>
    <n v="50"/>
    <n v="60"/>
    <n v="0.46150000000000002"/>
  </r>
  <r>
    <s v="TXN-00696"/>
    <d v="2024-09-01T00:00:00"/>
    <n v="435"/>
    <s v="Utah"/>
    <s v="West"/>
    <s v="Small Market"/>
    <s v="Beans"/>
    <x v="1"/>
    <x v="1"/>
    <s v="Regular"/>
    <n v="1075"/>
    <n v="19"/>
    <x v="76"/>
    <n v="63"/>
    <n v="40"/>
    <n v="36"/>
    <n v="0.25900000000000001"/>
    <n v="160"/>
    <n v="70"/>
    <n v="50"/>
    <n v="0.3125"/>
  </r>
  <r>
    <s v="TXN-00697"/>
    <d v="2024-09-01T00:00:00"/>
    <n v="435"/>
    <s v="Utah"/>
    <s v="West"/>
    <s v="Small Market"/>
    <s v="Leaves"/>
    <x v="2"/>
    <x v="8"/>
    <s v="Decaf"/>
    <n v="1698"/>
    <n v="26"/>
    <x v="44"/>
    <n v="86"/>
    <n v="50"/>
    <n v="-40"/>
    <n v="-0.3448"/>
    <n v="80"/>
    <n v="60"/>
    <n v="0"/>
    <n v="0"/>
  </r>
  <r>
    <s v="TXN-00698"/>
    <d v="2024-09-02T00:00:00"/>
    <n v="920"/>
    <s v="Wisconsin"/>
    <s v="Central"/>
    <s v="Small Market"/>
    <s v="Leaves"/>
    <x v="2"/>
    <x v="2"/>
    <s v="Decaf"/>
    <n v="320"/>
    <n v="12"/>
    <x v="60"/>
    <n v="41"/>
    <n v="36"/>
    <n v="30"/>
    <n v="0.28039999999999998"/>
    <n v="90"/>
    <n v="30"/>
    <n v="30"/>
    <n v="0.33329999999999999"/>
  </r>
  <r>
    <s v="TXN-00699"/>
    <d v="2024-09-02T00:00:00"/>
    <n v="773"/>
    <s v="Illinois"/>
    <s v="Central"/>
    <s v="Major Market"/>
    <s v="Leaves"/>
    <x v="2"/>
    <x v="4"/>
    <s v="Decaf"/>
    <n v="536"/>
    <n v="13"/>
    <x v="132"/>
    <n v="40"/>
    <n v="25"/>
    <n v="27"/>
    <n v="0.29349999999999998"/>
    <n v="80"/>
    <n v="30"/>
    <n v="30"/>
    <n v="0.375"/>
  </r>
  <r>
    <s v="TXN-00700"/>
    <d v="2024-09-02T00:00:00"/>
    <n v="971"/>
    <s v="Oregon"/>
    <s v="West"/>
    <s v="Small Market"/>
    <s v="Beans"/>
    <x v="3"/>
    <x v="10"/>
    <s v="Regular"/>
    <n v="422"/>
    <n v="17"/>
    <x v="18"/>
    <n v="46"/>
    <n v="51"/>
    <n v="6"/>
    <n v="5.8299999999999998E-2"/>
    <n v="90"/>
    <n v="40"/>
    <n v="10"/>
    <n v="0.1111"/>
  </r>
  <r>
    <s v="TXN-00701"/>
    <d v="2024-09-02T00:00:00"/>
    <n v="323"/>
    <s v="California"/>
    <s v="West"/>
    <s v="Major Market"/>
    <s v="Leaves"/>
    <x v="2"/>
    <x v="8"/>
    <s v="Decaf"/>
    <n v="531"/>
    <n v="14"/>
    <x v="110"/>
    <n v="43"/>
    <n v="27"/>
    <n v="43"/>
    <n v="0.40570000000000001"/>
    <n v="90"/>
    <n v="40"/>
    <n v="30"/>
    <n v="0.33329999999999999"/>
  </r>
  <r>
    <s v="TXN-00702"/>
    <d v="2024-09-02T00:00:00"/>
    <n v="914"/>
    <s v="New York"/>
    <s v="East"/>
    <s v="Major Market"/>
    <s v="Beans"/>
    <x v="3"/>
    <x v="9"/>
    <s v="Regular"/>
    <n v="3385"/>
    <n v="109"/>
    <x v="218"/>
    <n v="121"/>
    <n v="142"/>
    <n v="-300"/>
    <n v="-4.6154000000000002"/>
    <n v="50"/>
    <n v="110"/>
    <n v="-190"/>
    <n v="-3.8"/>
  </r>
  <r>
    <s v="TXN-00703"/>
    <d v="2024-09-02T00:00:00"/>
    <n v="206"/>
    <s v="Washington"/>
    <s v="West"/>
    <s v="Small Market"/>
    <s v="Beans"/>
    <x v="3"/>
    <x v="10"/>
    <s v="Regular"/>
    <n v="573"/>
    <n v="7"/>
    <x v="6"/>
    <n v="22"/>
    <n v="19"/>
    <n v="10"/>
    <n v="0.1961"/>
    <n v="30"/>
    <n v="10"/>
    <n v="20"/>
    <n v="0.66669999999999996"/>
  </r>
  <r>
    <s v="TXN-00704"/>
    <d v="2024-09-03T00:00:00"/>
    <n v="713"/>
    <s v="Texas"/>
    <s v="South"/>
    <s v="Major Market"/>
    <s v="Leaves"/>
    <x v="2"/>
    <x v="2"/>
    <s v="Decaf"/>
    <n v="411"/>
    <n v="19"/>
    <x v="87"/>
    <n v="59"/>
    <n v="47"/>
    <n v="32"/>
    <n v="0.2319"/>
    <n v="120"/>
    <n v="50"/>
    <n v="40"/>
    <n v="0.33329999999999999"/>
  </r>
  <r>
    <s v="TXN-00705"/>
    <d v="2024-09-03T00:00:00"/>
    <n v="971"/>
    <s v="Oregon"/>
    <s v="West"/>
    <s v="Small Market"/>
    <s v="Leaves"/>
    <x v="0"/>
    <x v="0"/>
    <s v="Regular"/>
    <n v="480"/>
    <n v="5"/>
    <x v="166"/>
    <n v="21"/>
    <n v="16"/>
    <n v="24"/>
    <n v="0.42859999999999998"/>
    <n v="20"/>
    <n v="0"/>
    <n v="20"/>
    <n v="1"/>
  </r>
  <r>
    <s v="TXN-00706"/>
    <d v="2024-09-04T00:00:00"/>
    <n v="970"/>
    <s v="Colorado"/>
    <s v="Central"/>
    <s v="Major Market"/>
    <s v="Leaves"/>
    <x v="0"/>
    <x v="3"/>
    <s v="Regular"/>
    <n v="1037"/>
    <n v="16"/>
    <x v="29"/>
    <n v="54"/>
    <n v="37"/>
    <n v="40"/>
    <n v="0.3175"/>
    <n v="80"/>
    <n v="30"/>
    <n v="40"/>
    <n v="0.5"/>
  </r>
  <r>
    <s v="TXN-00707"/>
    <d v="2024-09-04T00:00:00"/>
    <n v="603"/>
    <s v="New Hampshire"/>
    <s v="East"/>
    <s v="Small Market"/>
    <s v="Leaves"/>
    <x v="2"/>
    <x v="4"/>
    <s v="Decaf"/>
    <n v="240"/>
    <n v="12"/>
    <x v="74"/>
    <n v="34"/>
    <n v="46"/>
    <n v="-4"/>
    <n v="-4.8800000000000003E-2"/>
    <n v="40"/>
    <n v="10"/>
    <n v="20"/>
    <n v="0.5"/>
  </r>
  <r>
    <s v="TXN-00708"/>
    <d v="2024-09-04T00:00:00"/>
    <n v="337"/>
    <s v="Louisiana"/>
    <s v="South"/>
    <s v="Small Market"/>
    <s v="Leaves"/>
    <x v="2"/>
    <x v="2"/>
    <s v="Decaf"/>
    <n v="552"/>
    <n v="33"/>
    <x v="219"/>
    <n v="101"/>
    <n v="45"/>
    <n v="85"/>
    <n v="0.36799999999999999"/>
    <n v="210"/>
    <n v="90"/>
    <n v="80"/>
    <n v="0.38100000000000001"/>
  </r>
  <r>
    <s v="TXN-00709"/>
    <d v="2024-09-05T00:00:00"/>
    <n v="718"/>
    <s v="New York"/>
    <s v="East"/>
    <s v="Major Market"/>
    <s v="Leaves"/>
    <x v="0"/>
    <x v="3"/>
    <s v="Regular"/>
    <n v="959"/>
    <n v="34"/>
    <x v="1"/>
    <n v="123"/>
    <n v="46"/>
    <n v="133"/>
    <n v="0.44040000000000001"/>
    <n v="310"/>
    <n v="120"/>
    <n v="150"/>
    <n v="0.4839"/>
  </r>
  <r>
    <s v="TXN-00710"/>
    <d v="2024-09-05T00:00:00"/>
    <n v="562"/>
    <s v="California"/>
    <s v="West"/>
    <s v="Major Market"/>
    <s v="Beans"/>
    <x v="3"/>
    <x v="9"/>
    <s v="Regular"/>
    <n v="898"/>
    <n v="113"/>
    <x v="11"/>
    <n v="125"/>
    <n v="146"/>
    <n v="27"/>
    <n v="9.06E-2"/>
    <n v="270"/>
    <n v="110"/>
    <n v="50"/>
    <n v="0.1852"/>
  </r>
  <r>
    <s v="TXN-00711"/>
    <d v="2024-09-05T00:00:00"/>
    <n v="503"/>
    <s v="Oregon"/>
    <s v="West"/>
    <s v="Small Market"/>
    <s v="Beans"/>
    <x v="1"/>
    <x v="5"/>
    <s v="Regular"/>
    <n v="463"/>
    <n v="19"/>
    <x v="130"/>
    <n v="60"/>
    <n v="63"/>
    <n v="31"/>
    <n v="0.2026"/>
    <n v="210"/>
    <n v="80"/>
    <n v="90"/>
    <n v="0.42859999999999998"/>
  </r>
  <r>
    <s v="TXN-00712"/>
    <d v="2024-09-06T00:00:00"/>
    <n v="425"/>
    <s v="Washington"/>
    <s v="West"/>
    <s v="Small Market"/>
    <s v="Leaves"/>
    <x v="2"/>
    <x v="4"/>
    <s v="Decaf"/>
    <n v="845"/>
    <n v="13"/>
    <x v="40"/>
    <n v="49"/>
    <n v="25"/>
    <n v="46"/>
    <n v="0.38329999999999997"/>
    <n v="110"/>
    <n v="40"/>
    <n v="50"/>
    <n v="0.45450000000000002"/>
  </r>
  <r>
    <s v="TXN-00713"/>
    <d v="2024-09-06T00:00:00"/>
    <n v="580"/>
    <s v="Oklahoma"/>
    <s v="South"/>
    <s v="Small Market"/>
    <s v="Leaves"/>
    <x v="2"/>
    <x v="4"/>
    <s v="Decaf"/>
    <n v="716"/>
    <n v="95"/>
    <x v="128"/>
    <n v="105"/>
    <n v="125"/>
    <n v="30"/>
    <n v="0.1128"/>
    <n v="230"/>
    <n v="90"/>
    <n v="30"/>
    <n v="0.13039999999999999"/>
  </r>
  <r>
    <s v="TXN-00714"/>
    <d v="2024-09-06T00:00:00"/>
    <n v="417"/>
    <s v="Missouri"/>
    <s v="Central"/>
    <s v="Small Market"/>
    <s v="Leaves"/>
    <x v="0"/>
    <x v="3"/>
    <s v="Regular"/>
    <n v="209"/>
    <n v="9"/>
    <x v="166"/>
    <n v="25"/>
    <n v="42"/>
    <n v="-11"/>
    <n v="-0.19639999999999999"/>
    <n v="30"/>
    <n v="10"/>
    <n v="0"/>
    <n v="0"/>
  </r>
  <r>
    <s v="TXN-00715"/>
    <d v="2024-09-06T00:00:00"/>
    <n v="573"/>
    <s v="Missouri"/>
    <s v="Central"/>
    <s v="Small Market"/>
    <s v="Leaves"/>
    <x v="0"/>
    <x v="3"/>
    <s v="Regular"/>
    <n v="218"/>
    <n v="7"/>
    <x v="129"/>
    <n v="20"/>
    <n v="41"/>
    <n v="-16"/>
    <n v="-0.35560000000000003"/>
    <n v="30"/>
    <n v="10"/>
    <n v="-10"/>
    <n v="-0.33329999999999999"/>
  </r>
  <r>
    <s v="TXN-00716"/>
    <d v="2024-09-06T00:00:00"/>
    <n v="971"/>
    <s v="Oregon"/>
    <s v="West"/>
    <s v="Small Market"/>
    <s v="Leaves"/>
    <x v="0"/>
    <x v="7"/>
    <s v="Regular"/>
    <n v="666"/>
    <n v="31"/>
    <x v="152"/>
    <n v="102"/>
    <n v="54"/>
    <n v="89"/>
    <n v="0.36330000000000001"/>
    <n v="170"/>
    <n v="70"/>
    <n v="70"/>
    <n v="0.4118"/>
  </r>
  <r>
    <s v="TXN-00717"/>
    <d v="2024-09-07T00:00:00"/>
    <n v="715"/>
    <s v="Wisconsin"/>
    <s v="Central"/>
    <s v="Small Market"/>
    <s v="Leaves"/>
    <x v="0"/>
    <x v="3"/>
    <s v="Regular"/>
    <n v="606"/>
    <n v="54"/>
    <x v="114"/>
    <n v="60"/>
    <n v="84"/>
    <n v="0"/>
    <n v="0"/>
    <n v="90"/>
    <n v="40"/>
    <n v="0"/>
    <n v="0"/>
  </r>
  <r>
    <s v="TXN-00718"/>
    <d v="2024-09-07T00:00:00"/>
    <n v="702"/>
    <s v="Nevada"/>
    <s v="West"/>
    <s v="Small Market"/>
    <s v="Beans"/>
    <x v="3"/>
    <x v="6"/>
    <s v="Decaf"/>
    <n v="807"/>
    <n v="6"/>
    <x v="118"/>
    <n v="23"/>
    <n v="18"/>
    <n v="17"/>
    <n v="0.29310000000000003"/>
    <n v="50"/>
    <n v="20"/>
    <n v="20"/>
    <n v="0.4"/>
  </r>
  <r>
    <s v="TXN-00719"/>
    <d v="2024-09-08T00:00:00"/>
    <n v="603"/>
    <s v="New Hampshire"/>
    <s v="East"/>
    <s v="Small Market"/>
    <s v="Beans"/>
    <x v="3"/>
    <x v="9"/>
    <s v="Regular"/>
    <n v="325"/>
    <n v="40"/>
    <x v="110"/>
    <n v="44"/>
    <n v="70"/>
    <n v="-8"/>
    <n v="-7.5499999999999998E-2"/>
    <n v="100"/>
    <n v="40"/>
    <n v="10"/>
    <n v="0.1"/>
  </r>
  <r>
    <s v="TXN-00720"/>
    <d v="2024-09-08T00:00:00"/>
    <n v="515"/>
    <s v="Iowa"/>
    <s v="Central"/>
    <s v="Small Market"/>
    <s v="Beans"/>
    <x v="3"/>
    <x v="9"/>
    <s v="Regular"/>
    <n v="802"/>
    <n v="6"/>
    <x v="166"/>
    <n v="22"/>
    <n v="18"/>
    <n v="16"/>
    <n v="0.28570000000000001"/>
    <n v="70"/>
    <n v="20"/>
    <n v="40"/>
    <n v="0.57140000000000002"/>
  </r>
  <r>
    <s v="TXN-00721"/>
    <d v="2024-09-08T00:00:00"/>
    <n v="813"/>
    <s v="Florida"/>
    <s v="East"/>
    <s v="Major Market"/>
    <s v="Leaves"/>
    <x v="0"/>
    <x v="0"/>
    <s v="Regular"/>
    <n v="882"/>
    <n v="8"/>
    <x v="197"/>
    <n v="30"/>
    <n v="19"/>
    <n v="26"/>
    <n v="0.34670000000000001"/>
    <n v="70"/>
    <n v="30"/>
    <n v="30"/>
    <n v="0.42859999999999998"/>
  </r>
  <r>
    <s v="TXN-00722"/>
    <d v="2024-09-08T00:00:00"/>
    <n v="727"/>
    <s v="Florida"/>
    <s v="East"/>
    <s v="Major Market"/>
    <s v="Leaves"/>
    <x v="2"/>
    <x v="2"/>
    <s v="Decaf"/>
    <n v="570"/>
    <n v="7"/>
    <x v="27"/>
    <n v="22"/>
    <n v="19"/>
    <n v="16"/>
    <n v="0.29089999999999999"/>
    <n v="30"/>
    <n v="10"/>
    <n v="10"/>
    <n v="0.33329999999999999"/>
  </r>
  <r>
    <s v="TXN-00723"/>
    <d v="2024-09-09T00:00:00"/>
    <n v="774"/>
    <s v="Massachusetts"/>
    <s v="East"/>
    <s v="Major Market"/>
    <s v="Beans"/>
    <x v="3"/>
    <x v="9"/>
    <s v="Regular"/>
    <n v="554"/>
    <n v="47"/>
    <x v="40"/>
    <n v="52"/>
    <n v="76"/>
    <n v="-8"/>
    <n v="-6.6699999999999995E-2"/>
    <n v="110"/>
    <n v="50"/>
    <n v="0"/>
    <n v="0"/>
  </r>
  <r>
    <s v="TXN-00724"/>
    <d v="2024-09-09T00:00:00"/>
    <n v="603"/>
    <s v="New Hampshire"/>
    <s v="East"/>
    <s v="Small Market"/>
    <s v="Beans"/>
    <x v="1"/>
    <x v="1"/>
    <s v="Regular"/>
    <n v="316"/>
    <n v="14"/>
    <x v="153"/>
    <n v="46"/>
    <n v="37"/>
    <n v="30"/>
    <n v="0.26550000000000001"/>
    <n v="100"/>
    <n v="40"/>
    <n v="40"/>
    <n v="0.4"/>
  </r>
  <r>
    <s v="TXN-00725"/>
    <d v="2024-09-09T00:00:00"/>
    <n v="682"/>
    <s v="Texas"/>
    <s v="South"/>
    <s v="Major Market"/>
    <s v="Beans"/>
    <x v="1"/>
    <x v="11"/>
    <s v="Decaf"/>
    <n v="531"/>
    <n v="14"/>
    <x v="73"/>
    <n v="43"/>
    <n v="26"/>
    <n v="30"/>
    <n v="0.30299999999999999"/>
    <n v="110"/>
    <n v="50"/>
    <n v="40"/>
    <n v="0.36359999999999998"/>
  </r>
  <r>
    <s v="TXN-00726"/>
    <d v="2024-09-09T00:00:00"/>
    <n v="563"/>
    <s v="Iowa"/>
    <s v="Central"/>
    <s v="Small Market"/>
    <s v="Beans"/>
    <x v="3"/>
    <x v="6"/>
    <s v="Decaf"/>
    <n v="430"/>
    <n v="0"/>
    <x v="190"/>
    <n v="0"/>
    <n v="12"/>
    <n v="46"/>
    <n v="1"/>
    <n v="60"/>
    <n v="0"/>
    <n v="60"/>
    <n v="1"/>
  </r>
  <r>
    <s v="TXN-00727"/>
    <d v="2024-09-10T00:00:00"/>
    <n v="641"/>
    <s v="Iowa"/>
    <s v="Central"/>
    <s v="Small Market"/>
    <s v="Beans"/>
    <x v="3"/>
    <x v="6"/>
    <s v="Decaf"/>
    <n v="344"/>
    <n v="0"/>
    <x v="101"/>
    <n v="0"/>
    <n v="11"/>
    <n v="32"/>
    <n v="0.74419999999999997"/>
    <n v="50"/>
    <n v="0"/>
    <n v="40"/>
    <n v="0.8"/>
  </r>
  <r>
    <s v="TXN-00728"/>
    <d v="2024-09-10T00:00:00"/>
    <n v="860"/>
    <s v="Connecticut"/>
    <s v="East"/>
    <s v="Small Market"/>
    <s v="Beans"/>
    <x v="1"/>
    <x v="5"/>
    <s v="Regular"/>
    <n v="1119"/>
    <n v="41"/>
    <x v="113"/>
    <n v="125"/>
    <n v="73"/>
    <n v="115"/>
    <n v="0.3674"/>
    <n v="260"/>
    <n v="100"/>
    <n v="130"/>
    <n v="0.5"/>
  </r>
  <r>
    <s v="TXN-00729"/>
    <d v="2024-09-11T00:00:00"/>
    <n v="435"/>
    <s v="Utah"/>
    <s v="West"/>
    <s v="Small Market"/>
    <s v="Beans"/>
    <x v="3"/>
    <x v="6"/>
    <s v="Decaf"/>
    <n v="898"/>
    <n v="14"/>
    <x v="57"/>
    <n v="50"/>
    <n v="26"/>
    <n v="47"/>
    <n v="0.3821"/>
    <n v="110"/>
    <n v="40"/>
    <n v="50"/>
    <n v="0.45450000000000002"/>
  </r>
  <r>
    <s v="TXN-00730"/>
    <d v="2024-09-11T00:00:00"/>
    <n v="954"/>
    <s v="Florida"/>
    <s v="East"/>
    <s v="Major Market"/>
    <s v="Beans"/>
    <x v="1"/>
    <x v="5"/>
    <s v="Regular"/>
    <n v="788"/>
    <n v="27"/>
    <x v="175"/>
    <n v="82"/>
    <n v="59"/>
    <n v="95"/>
    <n v="0.43580000000000002"/>
    <n v="170"/>
    <n v="60"/>
    <n v="90"/>
    <n v="0.52939999999999998"/>
  </r>
  <r>
    <s v="TXN-00731"/>
    <d v="2024-09-12T00:00:00"/>
    <n v="314"/>
    <s v="Missouri"/>
    <s v="Central"/>
    <s v="Small Market"/>
    <s v="Beans"/>
    <x v="3"/>
    <x v="6"/>
    <s v="Decaf"/>
    <n v="844"/>
    <n v="8"/>
    <x v="125"/>
    <n v="31"/>
    <n v="19"/>
    <n v="27"/>
    <n v="0.35060000000000002"/>
    <n v="90"/>
    <n v="30"/>
    <n v="50"/>
    <n v="0.55559999999999998"/>
  </r>
  <r>
    <s v="TXN-00732"/>
    <d v="2024-09-12T00:00:00"/>
    <n v="970"/>
    <s v="Colorado"/>
    <s v="Central"/>
    <s v="Major Market"/>
    <s v="Leaves"/>
    <x v="2"/>
    <x v="8"/>
    <s v="Decaf"/>
    <n v="424"/>
    <n v="17"/>
    <x v="39"/>
    <n v="54"/>
    <n v="44"/>
    <n v="43"/>
    <n v="0.31850000000000001"/>
    <n v="110"/>
    <n v="50"/>
    <n v="30"/>
    <n v="0.2727"/>
  </r>
  <r>
    <s v="TXN-00733"/>
    <d v="2024-09-12T00:00:00"/>
    <n v="603"/>
    <s v="New Hampshire"/>
    <s v="East"/>
    <s v="Small Market"/>
    <s v="Beans"/>
    <x v="3"/>
    <x v="9"/>
    <s v="Regular"/>
    <n v="335"/>
    <n v="44"/>
    <x v="29"/>
    <n v="49"/>
    <n v="73"/>
    <n v="-6"/>
    <n v="-4.7600000000000003E-2"/>
    <n v="110"/>
    <n v="40"/>
    <n v="10"/>
    <n v="9.0899999999999995E-2"/>
  </r>
  <r>
    <s v="TXN-00734"/>
    <d v="2024-09-12T00:00:00"/>
    <n v="781"/>
    <s v="Massachusetts"/>
    <s v="East"/>
    <s v="Major Market"/>
    <s v="Leaves"/>
    <x v="2"/>
    <x v="4"/>
    <s v="Decaf"/>
    <n v="404"/>
    <n v="20"/>
    <x v="40"/>
    <n v="54"/>
    <n v="53"/>
    <n v="13"/>
    <n v="0.10829999999999999"/>
    <n v="60"/>
    <n v="30"/>
    <n v="20"/>
    <n v="0.33329999999999999"/>
  </r>
  <r>
    <s v="TXN-00735"/>
    <d v="2024-09-12T00:00:00"/>
    <n v="509"/>
    <s v="Washington"/>
    <s v="West"/>
    <s v="Small Market"/>
    <s v="Beans"/>
    <x v="3"/>
    <x v="9"/>
    <s v="Regular"/>
    <n v="403"/>
    <n v="24"/>
    <x v="47"/>
    <n v="65"/>
    <n v="57"/>
    <n v="34"/>
    <n v="0.21940000000000001"/>
    <n v="140"/>
    <n v="60"/>
    <n v="30"/>
    <n v="0.21429999999999999"/>
  </r>
  <r>
    <s v="TXN-00736"/>
    <d v="2024-09-13T00:00:00"/>
    <n v="303"/>
    <s v="Colorado"/>
    <s v="Central"/>
    <s v="Major Market"/>
    <s v="Leaves"/>
    <x v="0"/>
    <x v="3"/>
    <s v="Regular"/>
    <n v="1037"/>
    <n v="16"/>
    <x v="77"/>
    <n v="54"/>
    <n v="37"/>
    <n v="27"/>
    <n v="0.2288"/>
    <n v="80"/>
    <n v="30"/>
    <n v="40"/>
    <n v="0.5"/>
  </r>
  <r>
    <s v="TXN-00737"/>
    <d v="2024-09-13T00:00:00"/>
    <n v="580"/>
    <s v="Oklahoma"/>
    <s v="South"/>
    <s v="Small Market"/>
    <s v="Beans"/>
    <x v="3"/>
    <x v="6"/>
    <s v="Decaf"/>
    <n v="798"/>
    <n v="25"/>
    <x v="169"/>
    <n v="78"/>
    <n v="57"/>
    <n v="92"/>
    <n v="0.43809999999999999"/>
    <n v="150"/>
    <n v="60"/>
    <n v="40"/>
    <n v="0.26669999999999999"/>
  </r>
  <r>
    <s v="TXN-00738"/>
    <d v="2024-09-13T00:00:00"/>
    <n v="918"/>
    <s v="Oklahoma"/>
    <s v="South"/>
    <s v="Small Market"/>
    <s v="Beans"/>
    <x v="1"/>
    <x v="5"/>
    <s v="Regular"/>
    <n v="561"/>
    <n v="29"/>
    <x v="206"/>
    <n v="88"/>
    <n v="41"/>
    <n v="105"/>
    <n v="0.49299999999999999"/>
    <n v="230"/>
    <n v="100"/>
    <n v="90"/>
    <n v="0.39129999999999998"/>
  </r>
  <r>
    <s v="TXN-00739"/>
    <d v="2024-09-13T00:00:00"/>
    <n v="716"/>
    <s v="New York"/>
    <s v="East"/>
    <s v="Major Market"/>
    <s v="Leaves"/>
    <x v="2"/>
    <x v="8"/>
    <s v="Decaf"/>
    <n v="5121"/>
    <n v="74"/>
    <x v="220"/>
    <n v="241"/>
    <n v="96"/>
    <n v="-280"/>
    <n v="-1.7722"/>
    <n v="100"/>
    <n v="180"/>
    <n v="-150"/>
    <n v="-1.5"/>
  </r>
  <r>
    <s v="TXN-00740"/>
    <d v="2024-09-13T00:00:00"/>
    <n v="253"/>
    <s v="Washington"/>
    <s v="West"/>
    <s v="Small Market"/>
    <s v="Beans"/>
    <x v="3"/>
    <x v="6"/>
    <s v="Decaf"/>
    <n v="1079"/>
    <n v="24"/>
    <x v="144"/>
    <n v="80"/>
    <n v="45"/>
    <n v="51"/>
    <n v="0.2898"/>
    <n v="170"/>
    <n v="70"/>
    <n v="60"/>
    <n v="0.35289999999999999"/>
  </r>
  <r>
    <s v="TXN-00741"/>
    <d v="2024-09-13T00:00:00"/>
    <n v="206"/>
    <s v="Washington"/>
    <s v="West"/>
    <s v="Small Market"/>
    <s v="Beans"/>
    <x v="1"/>
    <x v="11"/>
    <s v="Decaf"/>
    <n v="683"/>
    <n v="87"/>
    <x v="152"/>
    <n v="96"/>
    <n v="117"/>
    <n v="25"/>
    <n v="0.10199999999999999"/>
    <n v="330"/>
    <n v="140"/>
    <n v="100"/>
    <n v="0.30299999999999999"/>
  </r>
  <r>
    <s v="TXN-00742"/>
    <d v="2024-09-13T00:00:00"/>
    <n v="435"/>
    <s v="Utah"/>
    <s v="West"/>
    <s v="Small Market"/>
    <s v="Leaves"/>
    <x v="0"/>
    <x v="7"/>
    <s v="Regular"/>
    <n v="209"/>
    <n v="9"/>
    <x v="26"/>
    <n v="25"/>
    <n v="43"/>
    <n v="-18"/>
    <n v="-0.3"/>
    <n v="20"/>
    <n v="0"/>
    <n v="10"/>
    <n v="0.5"/>
  </r>
  <r>
    <s v="TXN-00743"/>
    <d v="2024-09-14T00:00:00"/>
    <n v="203"/>
    <s v="Connecticut"/>
    <s v="East"/>
    <s v="Small Market"/>
    <s v="Leaves"/>
    <x v="2"/>
    <x v="8"/>
    <s v="Decaf"/>
    <n v="1075"/>
    <n v="19"/>
    <x v="164"/>
    <n v="63"/>
    <n v="40"/>
    <n v="53"/>
    <n v="0.35809999999999997"/>
    <n v="100"/>
    <n v="40"/>
    <n v="40"/>
    <n v="0.4"/>
  </r>
  <r>
    <s v="TXN-00744"/>
    <d v="2024-09-14T00:00:00"/>
    <n v="318"/>
    <s v="Louisiana"/>
    <s v="South"/>
    <s v="Small Market"/>
    <s v="Beans"/>
    <x v="3"/>
    <x v="6"/>
    <s v="Decaf"/>
    <n v="466"/>
    <n v="13"/>
    <x v="153"/>
    <n v="43"/>
    <n v="36"/>
    <n v="40"/>
    <n v="0.35399999999999998"/>
    <n v="80"/>
    <n v="30"/>
    <n v="20"/>
    <n v="0.25"/>
  </r>
  <r>
    <s v="TXN-00745"/>
    <d v="2024-09-14T00:00:00"/>
    <n v="702"/>
    <s v="Nevada"/>
    <s v="West"/>
    <s v="Small Market"/>
    <s v="Beans"/>
    <x v="1"/>
    <x v="11"/>
    <s v="Decaf"/>
    <n v="1003"/>
    <n v="8"/>
    <x v="137"/>
    <n v="29"/>
    <n v="30"/>
    <n v="7"/>
    <n v="0.10290000000000001"/>
    <n v="70"/>
    <n v="30"/>
    <n v="20"/>
    <n v="0.28570000000000001"/>
  </r>
  <r>
    <s v="TXN-00746"/>
    <d v="2024-09-15T00:00:00"/>
    <n v="314"/>
    <s v="Missouri"/>
    <s v="Central"/>
    <s v="Small Market"/>
    <s v="Leaves"/>
    <x v="0"/>
    <x v="7"/>
    <s v="Regular"/>
    <n v="240"/>
    <n v="12"/>
    <x v="74"/>
    <n v="34"/>
    <n v="46"/>
    <n v="-4"/>
    <n v="-4.8800000000000003E-2"/>
    <n v="40"/>
    <n v="10"/>
    <n v="10"/>
    <n v="0.25"/>
  </r>
  <r>
    <s v="TXN-00747"/>
    <d v="2024-09-15T00:00:00"/>
    <n v="312"/>
    <s v="Illinois"/>
    <s v="Central"/>
    <s v="Major Market"/>
    <s v="Beans"/>
    <x v="3"/>
    <x v="6"/>
    <s v="Decaf"/>
    <n v="1755"/>
    <n v="66"/>
    <x v="120"/>
    <n v="239"/>
    <n v="90"/>
    <n v="149"/>
    <n v="0.31169999999999998"/>
    <n v="710"/>
    <n v="340"/>
    <n v="300"/>
    <n v="0.42249999999999999"/>
  </r>
  <r>
    <s v="TXN-00748"/>
    <d v="2024-09-16T00:00:00"/>
    <n v="603"/>
    <s v="New Hampshire"/>
    <s v="East"/>
    <s v="Small Market"/>
    <s v="Beans"/>
    <x v="1"/>
    <x v="5"/>
    <s v="Regular"/>
    <n v="452"/>
    <n v="14"/>
    <x v="97"/>
    <n v="43"/>
    <n v="46"/>
    <n v="20"/>
    <n v="0.1835"/>
    <n v="90"/>
    <n v="30"/>
    <n v="30"/>
    <n v="0.33329999999999999"/>
  </r>
  <r>
    <s v="TXN-00749"/>
    <d v="2024-09-16T00:00:00"/>
    <n v="515"/>
    <s v="Iowa"/>
    <s v="Central"/>
    <s v="Small Market"/>
    <s v="Beans"/>
    <x v="3"/>
    <x v="6"/>
    <s v="Decaf"/>
    <n v="387"/>
    <n v="0"/>
    <x v="190"/>
    <n v="0"/>
    <n v="12"/>
    <n v="46"/>
    <n v="1"/>
    <n v="50"/>
    <n v="0"/>
    <n v="40"/>
    <n v="0.8"/>
  </r>
  <r>
    <s v="TXN-00750"/>
    <d v="2024-09-16T00:00:00"/>
    <n v="505"/>
    <s v="New Mexico"/>
    <s v="South"/>
    <s v="Small Market"/>
    <s v="Leaves"/>
    <x v="2"/>
    <x v="2"/>
    <s v="Decaf"/>
    <n v="851"/>
    <n v="4"/>
    <x v="123"/>
    <n v="16"/>
    <n v="16"/>
    <n v="13"/>
    <n v="0.29549999999999998"/>
    <n v="30"/>
    <n v="10"/>
    <n v="10"/>
    <n v="0.33329999999999999"/>
  </r>
  <r>
    <s v="TXN-00751"/>
    <d v="2024-09-16T00:00:00"/>
    <n v="567"/>
    <s v="Ohio"/>
    <s v="Central"/>
    <s v="Major Market"/>
    <s v="Beans"/>
    <x v="3"/>
    <x v="9"/>
    <s v="Regular"/>
    <n v="1267"/>
    <n v="45"/>
    <x v="34"/>
    <n v="161"/>
    <n v="69"/>
    <n v="92"/>
    <n v="0.28570000000000001"/>
    <n v="470"/>
    <n v="230"/>
    <n v="190"/>
    <n v="0.40429999999999999"/>
  </r>
  <r>
    <s v="TXN-00752"/>
    <d v="2024-09-16T00:00:00"/>
    <n v="714"/>
    <s v="California"/>
    <s v="West"/>
    <s v="Major Market"/>
    <s v="Beans"/>
    <x v="3"/>
    <x v="10"/>
    <s v="Regular"/>
    <n v="1755"/>
    <n v="66"/>
    <x v="133"/>
    <n v="239"/>
    <n v="90"/>
    <n v="221"/>
    <n v="0.43419999999999997"/>
    <n v="430"/>
    <n v="210"/>
    <n v="160"/>
    <n v="0.37209999999999999"/>
  </r>
  <r>
    <s v="TXN-00753"/>
    <d v="2024-09-17T00:00:00"/>
    <n v="614"/>
    <s v="Ohio"/>
    <s v="Central"/>
    <s v="Major Market"/>
    <s v="Beans"/>
    <x v="1"/>
    <x v="11"/>
    <s v="Decaf"/>
    <n v="509"/>
    <n v="47"/>
    <x v="2"/>
    <n v="52"/>
    <n v="76"/>
    <n v="-4"/>
    <n v="-3.0099999999999998E-2"/>
    <n v="120"/>
    <n v="50"/>
    <n v="10"/>
    <n v="8.3299999999999999E-2"/>
  </r>
  <r>
    <s v="TXN-00754"/>
    <d v="2024-09-17T00:00:00"/>
    <n v="614"/>
    <s v="Ohio"/>
    <s v="Central"/>
    <s v="Major Market"/>
    <s v="Leaves"/>
    <x v="0"/>
    <x v="3"/>
    <s v="Regular"/>
    <n v="656"/>
    <n v="28"/>
    <x v="175"/>
    <n v="91"/>
    <n v="51"/>
    <n v="76"/>
    <n v="0.34860000000000002"/>
    <n v="150"/>
    <n v="50"/>
    <n v="80"/>
    <n v="0.5333"/>
  </r>
  <r>
    <s v="TXN-00755"/>
    <d v="2024-09-17T00:00:00"/>
    <n v="563"/>
    <s v="Iowa"/>
    <s v="Central"/>
    <s v="Small Market"/>
    <s v="Beans"/>
    <x v="1"/>
    <x v="1"/>
    <s v="Regular"/>
    <n v="848"/>
    <n v="4"/>
    <x v="121"/>
    <n v="15"/>
    <n v="16"/>
    <n v="8"/>
    <n v="0.2051"/>
    <n v="30"/>
    <n v="10"/>
    <n v="10"/>
    <n v="0.33329999999999999"/>
  </r>
  <r>
    <s v="TXN-00756"/>
    <d v="2024-09-17T00:00:00"/>
    <n v="319"/>
    <s v="Iowa"/>
    <s v="Central"/>
    <s v="Small Market"/>
    <s v="Beans"/>
    <x v="1"/>
    <x v="11"/>
    <s v="Decaf"/>
    <n v="594"/>
    <n v="3"/>
    <x v="221"/>
    <n v="10"/>
    <n v="15"/>
    <n v="-1"/>
    <n v="-4.1700000000000001E-2"/>
    <n v="20"/>
    <n v="0"/>
    <n v="10"/>
    <n v="0.5"/>
  </r>
  <r>
    <s v="TXN-00757"/>
    <d v="2024-09-18T00:00:00"/>
    <n v="915"/>
    <s v="Texas"/>
    <s v="South"/>
    <s v="Major Market"/>
    <s v="Beans"/>
    <x v="1"/>
    <x v="11"/>
    <s v="Decaf"/>
    <n v="536"/>
    <n v="13"/>
    <x v="132"/>
    <n v="40"/>
    <n v="26"/>
    <n v="26"/>
    <n v="0.28260000000000002"/>
    <n v="100"/>
    <n v="40"/>
    <n v="40"/>
    <n v="0.4"/>
  </r>
  <r>
    <s v="TXN-00758"/>
    <d v="2024-09-18T00:00:00"/>
    <n v="775"/>
    <s v="Nevada"/>
    <s v="West"/>
    <s v="Small Market"/>
    <s v="Beans"/>
    <x v="1"/>
    <x v="5"/>
    <s v="Regular"/>
    <n v="250"/>
    <n v="14"/>
    <x v="202"/>
    <n v="39"/>
    <n v="48"/>
    <n v="1"/>
    <n v="1.14E-2"/>
    <n v="100"/>
    <n v="40"/>
    <n v="20"/>
    <n v="0.2"/>
  </r>
  <r>
    <s v="TXN-00759"/>
    <d v="2024-09-18T00:00:00"/>
    <n v="978"/>
    <s v="Massachusetts"/>
    <s v="East"/>
    <s v="Major Market"/>
    <s v="Leaves"/>
    <x v="0"/>
    <x v="7"/>
    <s v="Regular"/>
    <n v="482"/>
    <n v="8"/>
    <x v="138"/>
    <n v="32"/>
    <n v="19"/>
    <n v="43"/>
    <n v="0.50590000000000002"/>
    <n v="80"/>
    <n v="30"/>
    <n v="40"/>
    <n v="0.5"/>
  </r>
  <r>
    <s v="TXN-00760"/>
    <d v="2024-09-18T00:00:00"/>
    <n v="563"/>
    <s v="Iowa"/>
    <s v="Central"/>
    <s v="Small Market"/>
    <s v="Beans"/>
    <x v="1"/>
    <x v="5"/>
    <s v="Regular"/>
    <n v="1003"/>
    <n v="8"/>
    <x v="86"/>
    <n v="29"/>
    <n v="30"/>
    <n v="5"/>
    <n v="7.8100000000000003E-2"/>
    <n v="60"/>
    <n v="20"/>
    <n v="20"/>
    <n v="0.33329999999999999"/>
  </r>
  <r>
    <s v="TXN-00761"/>
    <d v="2024-09-18T00:00:00"/>
    <n v="435"/>
    <s v="Utah"/>
    <s v="West"/>
    <s v="Small Market"/>
    <s v="Beans"/>
    <x v="3"/>
    <x v="6"/>
    <s v="Decaf"/>
    <n v="898"/>
    <n v="14"/>
    <x v="30"/>
    <n v="50"/>
    <n v="26"/>
    <n v="70"/>
    <n v="0.53439999999999999"/>
    <n v="110"/>
    <n v="40"/>
    <n v="50"/>
    <n v="0.45450000000000002"/>
  </r>
  <r>
    <s v="TXN-00762"/>
    <d v="2024-09-19T00:00:00"/>
    <n v="505"/>
    <s v="New Mexico"/>
    <s v="South"/>
    <s v="Small Market"/>
    <s v="Leaves"/>
    <x v="2"/>
    <x v="4"/>
    <s v="Decaf"/>
    <n v="1003"/>
    <n v="8"/>
    <x v="86"/>
    <n v="29"/>
    <n v="30"/>
    <n v="5"/>
    <n v="7.8100000000000003E-2"/>
    <n v="50"/>
    <n v="20"/>
    <n v="10"/>
    <n v="0.2"/>
  </r>
  <r>
    <s v="TXN-00763"/>
    <d v="2024-09-19T00:00:00"/>
    <n v="503"/>
    <s v="Oregon"/>
    <s v="West"/>
    <s v="Small Market"/>
    <s v="Leaves"/>
    <x v="2"/>
    <x v="2"/>
    <s v="Decaf"/>
    <n v="829"/>
    <n v="6"/>
    <x v="86"/>
    <n v="24"/>
    <n v="17"/>
    <n v="28"/>
    <n v="0.4375"/>
    <n v="50"/>
    <n v="20"/>
    <n v="20"/>
    <n v="0.4"/>
  </r>
  <r>
    <s v="TXN-00764"/>
    <d v="2024-09-19T00:00:00"/>
    <n v="414"/>
    <s v="Wisconsin"/>
    <s v="Central"/>
    <s v="Small Market"/>
    <s v="Beans"/>
    <x v="1"/>
    <x v="1"/>
    <s v="Regular"/>
    <n v="385"/>
    <n v="21"/>
    <x v="168"/>
    <n v="56"/>
    <n v="55"/>
    <n v="22"/>
    <n v="0.16420000000000001"/>
    <n v="120"/>
    <n v="40"/>
    <n v="50"/>
    <n v="0.41670000000000001"/>
  </r>
  <r>
    <s v="TXN-00765"/>
    <d v="2024-09-19T00:00:00"/>
    <n v="315"/>
    <s v="New York"/>
    <s v="East"/>
    <s v="Major Market"/>
    <s v="Leaves"/>
    <x v="0"/>
    <x v="3"/>
    <s v="Regular"/>
    <n v="930"/>
    <n v="33"/>
    <x v="10"/>
    <n v="118"/>
    <n v="45"/>
    <n v="127"/>
    <n v="0.43790000000000001"/>
    <n v="290"/>
    <n v="120"/>
    <n v="130"/>
    <n v="0.44829999999999998"/>
  </r>
  <r>
    <s v="TXN-00766"/>
    <d v="2024-09-19T00:00:00"/>
    <n v="435"/>
    <s v="Utah"/>
    <s v="West"/>
    <s v="Small Market"/>
    <s v="Beans"/>
    <x v="1"/>
    <x v="5"/>
    <s v="Regular"/>
    <n v="375"/>
    <n v="15"/>
    <x v="193"/>
    <n v="47"/>
    <n v="42"/>
    <n v="22"/>
    <n v="0.19819999999999999"/>
    <n v="150"/>
    <n v="50"/>
    <n v="80"/>
    <n v="0.5333"/>
  </r>
  <r>
    <s v="TXN-00767"/>
    <d v="2024-09-19T00:00:00"/>
    <n v="707"/>
    <s v="California"/>
    <s v="West"/>
    <s v="Major Market"/>
    <s v="Beans"/>
    <x v="1"/>
    <x v="5"/>
    <s v="Regular"/>
    <n v="2642"/>
    <n v="97"/>
    <x v="213"/>
    <n v="279"/>
    <n v="149"/>
    <n v="271"/>
    <n v="0.38769999999999999"/>
    <n v="830"/>
    <n v="330"/>
    <n v="350"/>
    <n v="0.42170000000000002"/>
  </r>
  <r>
    <s v="TXN-00768"/>
    <d v="2024-09-19T00:00:00"/>
    <n v="831"/>
    <s v="California"/>
    <s v="West"/>
    <s v="Major Market"/>
    <s v="Leaves"/>
    <x v="0"/>
    <x v="0"/>
    <s v="Regular"/>
    <n v="915"/>
    <n v="34"/>
    <x v="34"/>
    <n v="123"/>
    <n v="45"/>
    <n v="199"/>
    <n v="0.61799999999999999"/>
    <n v="140"/>
    <n v="50"/>
    <n v="80"/>
    <n v="0.57140000000000002"/>
  </r>
  <r>
    <s v="TXN-00769"/>
    <d v="2024-09-20T00:00:00"/>
    <n v="719"/>
    <s v="Colorado"/>
    <s v="Central"/>
    <s v="Major Market"/>
    <s v="Beans"/>
    <x v="1"/>
    <x v="5"/>
    <s v="Regular"/>
    <n v="541"/>
    <n v="12"/>
    <x v="162"/>
    <n v="39"/>
    <n v="24"/>
    <n v="27"/>
    <n v="0.3"/>
    <n v="80"/>
    <n v="30"/>
    <n v="50"/>
    <n v="0.625"/>
  </r>
  <r>
    <s v="TXN-00770"/>
    <d v="2024-09-20T00:00:00"/>
    <n v="212"/>
    <s v="New York"/>
    <s v="East"/>
    <s v="Major Market"/>
    <s v="Beans"/>
    <x v="3"/>
    <x v="12"/>
    <s v="Regular"/>
    <n v="1197"/>
    <n v="66"/>
    <x v="222"/>
    <n v="239"/>
    <n v="91"/>
    <n v="646"/>
    <n v="0.79259999999999997"/>
    <n v="720"/>
    <n v="210"/>
    <n v="450"/>
    <n v="0.625"/>
  </r>
  <r>
    <s v="TXN-00771"/>
    <d v="2024-09-20T00:00:00"/>
    <n v="312"/>
    <s v="Illinois"/>
    <s v="Central"/>
    <s v="Major Market"/>
    <s v="Beans"/>
    <x v="3"/>
    <x v="9"/>
    <s v="Regular"/>
    <n v="1662"/>
    <n v="84"/>
    <x v="91"/>
    <n v="257"/>
    <n v="117"/>
    <n v="332"/>
    <n v="0.5212"/>
    <n v="890"/>
    <n v="370"/>
    <n v="420"/>
    <n v="0.47189999999999999"/>
  </r>
  <r>
    <s v="TXN-00772"/>
    <d v="2024-09-21T00:00:00"/>
    <n v="619"/>
    <s v="California"/>
    <s v="West"/>
    <s v="Major Market"/>
    <s v="Leaves"/>
    <x v="0"/>
    <x v="3"/>
    <s v="Regular"/>
    <n v="601"/>
    <n v="15"/>
    <x v="2"/>
    <n v="54"/>
    <n v="26"/>
    <n v="53"/>
    <n v="0.39850000000000002"/>
    <n v="90"/>
    <n v="30"/>
    <n v="50"/>
    <n v="0.55559999999999998"/>
  </r>
  <r>
    <s v="TXN-00773"/>
    <d v="2024-09-21T00:00:00"/>
    <n v="505"/>
    <s v="New Mexico"/>
    <s v="South"/>
    <s v="Small Market"/>
    <s v="Beans"/>
    <x v="3"/>
    <x v="9"/>
    <s v="Regular"/>
    <n v="335"/>
    <n v="44"/>
    <x v="77"/>
    <n v="49"/>
    <n v="74"/>
    <n v="-5"/>
    <n v="-4.24E-2"/>
    <n v="90"/>
    <n v="30"/>
    <n v="10"/>
    <n v="0.1111"/>
  </r>
  <r>
    <s v="TXN-00774"/>
    <d v="2024-09-21T00:00:00"/>
    <n v="603"/>
    <s v="New Hampshire"/>
    <s v="East"/>
    <s v="Small Market"/>
    <s v="Leaves"/>
    <x v="2"/>
    <x v="4"/>
    <s v="Decaf"/>
    <n v="243"/>
    <n v="12"/>
    <x v="7"/>
    <n v="33"/>
    <n v="45"/>
    <n v="-4"/>
    <n v="-5.4100000000000002E-2"/>
    <n v="50"/>
    <n v="20"/>
    <n v="0"/>
    <n v="0"/>
  </r>
  <r>
    <s v="TXN-00775"/>
    <d v="2024-09-21T00:00:00"/>
    <n v="505"/>
    <s v="New Mexico"/>
    <s v="South"/>
    <s v="Small Market"/>
    <s v="Leaves"/>
    <x v="2"/>
    <x v="2"/>
    <s v="Decaf"/>
    <n v="848"/>
    <n v="4"/>
    <x v="104"/>
    <n v="15"/>
    <n v="15"/>
    <n v="13"/>
    <n v="0.3095"/>
    <n v="30"/>
    <n v="10"/>
    <n v="10"/>
    <n v="0.33329999999999999"/>
  </r>
  <r>
    <s v="TXN-00776"/>
    <d v="2024-09-22T00:00:00"/>
    <n v="914"/>
    <s v="New York"/>
    <s v="East"/>
    <s v="Major Market"/>
    <s v="Leaves"/>
    <x v="2"/>
    <x v="8"/>
    <s v="Decaf"/>
    <n v="4742"/>
    <n v="69"/>
    <x v="59"/>
    <n v="225"/>
    <n v="91"/>
    <n v="-156"/>
    <n v="-0.97499999999999998"/>
    <n v="110"/>
    <n v="160"/>
    <n v="-120"/>
    <n v="-1.0909"/>
  </r>
  <r>
    <s v="TXN-00777"/>
    <d v="2024-09-23T00:00:00"/>
    <n v="718"/>
    <s v="New York"/>
    <s v="East"/>
    <s v="Major Market"/>
    <s v="Leaves"/>
    <x v="0"/>
    <x v="3"/>
    <s v="Regular"/>
    <n v="915"/>
    <n v="34"/>
    <x v="34"/>
    <n v="123"/>
    <n v="45"/>
    <n v="199"/>
    <n v="0.61799999999999999"/>
    <n v="320"/>
    <n v="130"/>
    <n v="160"/>
    <n v="0.5"/>
  </r>
  <r>
    <s v="TXN-00778"/>
    <d v="2024-09-23T00:00:00"/>
    <n v="719"/>
    <s v="Colorado"/>
    <s v="Central"/>
    <s v="Major Market"/>
    <s v="Beans"/>
    <x v="1"/>
    <x v="1"/>
    <s v="Regular"/>
    <n v="930"/>
    <n v="33"/>
    <x v="102"/>
    <n v="118"/>
    <n v="44"/>
    <n v="190"/>
    <n v="0.6149"/>
    <n v="280"/>
    <n v="110"/>
    <n v="130"/>
    <n v="0.46429999999999999"/>
  </r>
  <r>
    <s v="TXN-00779"/>
    <d v="2024-09-23T00:00:00"/>
    <n v="805"/>
    <s v="California"/>
    <s v="West"/>
    <s v="Major Market"/>
    <s v="Leaves"/>
    <x v="0"/>
    <x v="0"/>
    <s v="Regular"/>
    <n v="930"/>
    <n v="33"/>
    <x v="102"/>
    <n v="118"/>
    <n v="44"/>
    <n v="190"/>
    <n v="0.6149"/>
    <n v="210"/>
    <n v="80"/>
    <n v="110"/>
    <n v="0.52380000000000004"/>
  </r>
  <r>
    <s v="TXN-00780"/>
    <d v="2024-09-24T00:00:00"/>
    <n v="775"/>
    <s v="Nevada"/>
    <s v="West"/>
    <s v="Small Market"/>
    <s v="Beans"/>
    <x v="1"/>
    <x v="11"/>
    <s v="Decaf"/>
    <n v="1000"/>
    <n v="9"/>
    <x v="137"/>
    <n v="31"/>
    <n v="30"/>
    <n v="7"/>
    <n v="0.10290000000000001"/>
    <n v="90"/>
    <n v="30"/>
    <n v="50"/>
    <n v="0.55559999999999998"/>
  </r>
  <r>
    <s v="TXN-00781"/>
    <d v="2024-09-24T00:00:00"/>
    <n v="339"/>
    <s v="Massachusetts"/>
    <s v="East"/>
    <s v="Major Market"/>
    <s v="Leaves"/>
    <x v="0"/>
    <x v="0"/>
    <s v="Regular"/>
    <n v="862"/>
    <n v="10"/>
    <x v="202"/>
    <n v="36"/>
    <n v="21"/>
    <n v="31"/>
    <n v="0.3523"/>
    <n v="90"/>
    <n v="30"/>
    <n v="40"/>
    <n v="0.44440000000000002"/>
  </r>
  <r>
    <s v="TXN-00782"/>
    <d v="2024-09-24T00:00:00"/>
    <n v="203"/>
    <s v="Connecticut"/>
    <s v="East"/>
    <s v="Small Market"/>
    <s v="Leaves"/>
    <x v="0"/>
    <x v="7"/>
    <s v="Regular"/>
    <n v="809"/>
    <n v="10"/>
    <x v="157"/>
    <n v="36"/>
    <n v="21"/>
    <n v="49"/>
    <n v="0.51039999999999996"/>
    <n v="90"/>
    <n v="30"/>
    <n v="40"/>
    <n v="0.44440000000000002"/>
  </r>
  <r>
    <s v="TXN-00783"/>
    <d v="2024-09-24T00:00:00"/>
    <n v="225"/>
    <s v="Louisiana"/>
    <s v="South"/>
    <s v="Small Market"/>
    <s v="Beans"/>
    <x v="3"/>
    <x v="9"/>
    <s v="Regular"/>
    <n v="329"/>
    <n v="18"/>
    <x v="205"/>
    <n v="60"/>
    <n v="41"/>
    <n v="86"/>
    <n v="0.50890000000000002"/>
    <n v="100"/>
    <n v="30"/>
    <n v="70"/>
    <n v="0.7"/>
  </r>
  <r>
    <s v="TXN-00784"/>
    <d v="2024-09-24T00:00:00"/>
    <n v="417"/>
    <s v="Missouri"/>
    <s v="Central"/>
    <s v="Small Market"/>
    <s v="Leaves"/>
    <x v="2"/>
    <x v="4"/>
    <s v="Decaf"/>
    <n v="1698"/>
    <n v="26"/>
    <x v="44"/>
    <n v="86"/>
    <n v="49"/>
    <n v="-39"/>
    <n v="-0.3362"/>
    <n v="80"/>
    <n v="60"/>
    <n v="10"/>
    <n v="0.125"/>
  </r>
  <r>
    <s v="TXN-00785"/>
    <d v="2024-09-25T00:00:00"/>
    <n v="970"/>
    <s v="Colorado"/>
    <s v="Central"/>
    <s v="Major Market"/>
    <s v="Beans"/>
    <x v="1"/>
    <x v="5"/>
    <s v="Regular"/>
    <n v="536"/>
    <n v="13"/>
    <x v="132"/>
    <n v="40"/>
    <n v="25"/>
    <n v="27"/>
    <n v="0.29349999999999998"/>
    <n v="90"/>
    <n v="30"/>
    <n v="40"/>
    <n v="0.44440000000000002"/>
  </r>
  <r>
    <s v="TXN-00786"/>
    <d v="2024-09-26T00:00:00"/>
    <n v="563"/>
    <s v="Iowa"/>
    <s v="Central"/>
    <s v="Small Market"/>
    <s v="Beans"/>
    <x v="1"/>
    <x v="1"/>
    <s v="Regular"/>
    <n v="851"/>
    <n v="4"/>
    <x v="123"/>
    <n v="16"/>
    <n v="15"/>
    <n v="15"/>
    <n v="0.34089999999999998"/>
    <n v="40"/>
    <n v="10"/>
    <n v="20"/>
    <n v="0.5"/>
  </r>
  <r>
    <s v="TXN-00787"/>
    <d v="2024-09-26T00:00:00"/>
    <n v="719"/>
    <s v="Colorado"/>
    <s v="Central"/>
    <s v="Major Market"/>
    <s v="Beans"/>
    <x v="1"/>
    <x v="11"/>
    <s v="Decaf"/>
    <n v="971"/>
    <n v="30"/>
    <x v="223"/>
    <n v="108"/>
    <n v="41"/>
    <n v="116"/>
    <n v="0.43769999999999998"/>
    <n v="260"/>
    <n v="100"/>
    <n v="150"/>
    <n v="0.57689999999999997"/>
  </r>
  <r>
    <s v="TXN-00788"/>
    <d v="2024-09-26T00:00:00"/>
    <n v="513"/>
    <s v="Ohio"/>
    <s v="Central"/>
    <s v="Major Market"/>
    <s v="Leaves"/>
    <x v="0"/>
    <x v="3"/>
    <s v="Regular"/>
    <n v="690"/>
    <n v="41"/>
    <x v="106"/>
    <n v="134"/>
    <n v="65"/>
    <n v="180"/>
    <n v="0.52790000000000004"/>
    <n v="260"/>
    <n v="110"/>
    <n v="90"/>
    <n v="0.34620000000000001"/>
  </r>
  <r>
    <s v="TXN-00789"/>
    <d v="2024-09-27T00:00:00"/>
    <n v="409"/>
    <s v="Texas"/>
    <s v="South"/>
    <s v="Major Market"/>
    <s v="Beans"/>
    <x v="3"/>
    <x v="9"/>
    <s v="Regular"/>
    <n v="930"/>
    <n v="33"/>
    <x v="10"/>
    <n v="118"/>
    <n v="45"/>
    <n v="127"/>
    <n v="0.43790000000000001"/>
    <n v="220"/>
    <n v="90"/>
    <n v="100"/>
    <n v="0.45450000000000002"/>
  </r>
  <r>
    <s v="TXN-00790"/>
    <d v="2024-09-27T00:00:00"/>
    <n v="203"/>
    <s v="Connecticut"/>
    <s v="East"/>
    <s v="Small Market"/>
    <s v="Beans"/>
    <x v="1"/>
    <x v="5"/>
    <s v="Regular"/>
    <n v="1134"/>
    <n v="42"/>
    <x v="224"/>
    <n v="130"/>
    <n v="73"/>
    <n v="122"/>
    <n v="0.37540000000000001"/>
    <n v="290"/>
    <n v="110"/>
    <n v="130"/>
    <n v="0.44829999999999998"/>
  </r>
  <r>
    <s v="TXN-00791"/>
    <d v="2024-09-28T00:00:00"/>
    <n v="206"/>
    <s v="Washington"/>
    <s v="West"/>
    <s v="Small Market"/>
    <s v="Leaves"/>
    <x v="0"/>
    <x v="7"/>
    <s v="Regular"/>
    <n v="606"/>
    <n v="54"/>
    <x v="114"/>
    <n v="60"/>
    <n v="84"/>
    <n v="0"/>
    <n v="0"/>
    <n v="60"/>
    <n v="20"/>
    <n v="10"/>
    <n v="0.16669999999999999"/>
  </r>
  <r>
    <s v="TXN-00792"/>
    <d v="2024-09-28T00:00:00"/>
    <n v="510"/>
    <s v="California"/>
    <s v="West"/>
    <s v="Major Market"/>
    <s v="Leaves"/>
    <x v="2"/>
    <x v="4"/>
    <s v="Decaf"/>
    <n v="1272"/>
    <n v="69"/>
    <x v="140"/>
    <n v="225"/>
    <n v="91"/>
    <n v="258"/>
    <n v="0.49430000000000002"/>
    <n v="450"/>
    <n v="210"/>
    <n v="160"/>
    <n v="0.35560000000000003"/>
  </r>
  <r>
    <s v="TXN-00793"/>
    <d v="2024-09-28T00:00:00"/>
    <n v="360"/>
    <s v="Washington"/>
    <s v="West"/>
    <s v="Small Market"/>
    <s v="Beans"/>
    <x v="1"/>
    <x v="5"/>
    <s v="Regular"/>
    <n v="461"/>
    <n v="23"/>
    <x v="5"/>
    <n v="72"/>
    <n v="46"/>
    <n v="86"/>
    <n v="0.45739999999999997"/>
    <n v="200"/>
    <n v="80"/>
    <n v="80"/>
    <n v="0.4"/>
  </r>
  <r>
    <s v="TXN-00794"/>
    <d v="2024-10-01T00:00:00"/>
    <n v="580"/>
    <s v="Oklahoma"/>
    <s v="South"/>
    <s v="Small Market"/>
    <s v="Beans"/>
    <x v="1"/>
    <x v="11"/>
    <s v="Decaf"/>
    <n v="862"/>
    <n v="10"/>
    <x v="202"/>
    <n v="36"/>
    <n v="22"/>
    <n v="30"/>
    <n v="0.34089999999999998"/>
    <n v="100"/>
    <n v="40"/>
    <n v="40"/>
    <n v="0.4"/>
  </r>
  <r>
    <s v="TXN-00795"/>
    <d v="2024-10-01T00:00:00"/>
    <n v="475"/>
    <s v="Connecticut"/>
    <s v="East"/>
    <s v="Small Market"/>
    <s v="Leaves"/>
    <x v="2"/>
    <x v="8"/>
    <s v="Decaf"/>
    <n v="1075"/>
    <n v="19"/>
    <x v="76"/>
    <n v="63"/>
    <n v="40"/>
    <n v="36"/>
    <n v="0.25900000000000001"/>
    <n v="100"/>
    <n v="40"/>
    <n v="40"/>
    <n v="0.4"/>
  </r>
  <r>
    <s v="TXN-00796"/>
    <d v="2024-10-01T00:00:00"/>
    <n v="435"/>
    <s v="Utah"/>
    <s v="West"/>
    <s v="Small Market"/>
    <s v="Leaves"/>
    <x v="0"/>
    <x v="3"/>
    <s v="Regular"/>
    <n v="256"/>
    <n v="12"/>
    <x v="75"/>
    <n v="38"/>
    <n v="39"/>
    <n v="18"/>
    <n v="0.1895"/>
    <n v="60"/>
    <n v="20"/>
    <n v="10"/>
    <n v="0.16669999999999999"/>
  </r>
  <r>
    <s v="TXN-00797"/>
    <d v="2024-10-02T00:00:00"/>
    <n v="541"/>
    <s v="Oregon"/>
    <s v="West"/>
    <s v="Small Market"/>
    <s v="Leaves"/>
    <x v="2"/>
    <x v="2"/>
    <s v="Decaf"/>
    <n v="829"/>
    <n v="6"/>
    <x v="26"/>
    <n v="24"/>
    <n v="17"/>
    <n v="19"/>
    <n v="0.31669999999999998"/>
    <n v="50"/>
    <n v="20"/>
    <n v="20"/>
    <n v="0.4"/>
  </r>
  <r>
    <s v="TXN-00798"/>
    <d v="2024-10-02T00:00:00"/>
    <n v="718"/>
    <s v="New York"/>
    <s v="East"/>
    <s v="Major Market"/>
    <s v="Leaves"/>
    <x v="0"/>
    <x v="0"/>
    <s v="Regular"/>
    <n v="1003"/>
    <n v="24"/>
    <x v="92"/>
    <n v="86"/>
    <n v="35"/>
    <n v="132"/>
    <n v="0.58930000000000005"/>
    <n v="210"/>
    <n v="90"/>
    <n v="90"/>
    <n v="0.42859999999999998"/>
  </r>
  <r>
    <s v="TXN-00799"/>
    <d v="2024-10-03T00:00:00"/>
    <n v="303"/>
    <s v="Colorado"/>
    <s v="Central"/>
    <s v="Major Market"/>
    <s v="Leaves"/>
    <x v="0"/>
    <x v="0"/>
    <s v="Regular"/>
    <n v="404"/>
    <n v="20"/>
    <x v="40"/>
    <n v="54"/>
    <n v="53"/>
    <n v="13"/>
    <n v="0.10829999999999999"/>
    <n v="80"/>
    <n v="30"/>
    <n v="30"/>
    <n v="0.375"/>
  </r>
  <r>
    <s v="TXN-00800"/>
    <d v="2024-10-03T00:00:00"/>
    <n v="775"/>
    <s v="Nevada"/>
    <s v="West"/>
    <s v="Small Market"/>
    <s v="Beans"/>
    <x v="1"/>
    <x v="5"/>
    <s v="Regular"/>
    <n v="243"/>
    <n v="12"/>
    <x v="7"/>
    <n v="33"/>
    <n v="45"/>
    <n v="-4"/>
    <n v="-5.4100000000000002E-2"/>
    <n v="80"/>
    <n v="30"/>
    <n v="10"/>
    <n v="0.125"/>
  </r>
  <r>
    <s v="TXN-00801"/>
    <d v="2024-10-03T00:00:00"/>
    <n v="716"/>
    <s v="New York"/>
    <s v="East"/>
    <s v="Major Market"/>
    <s v="Leaves"/>
    <x v="0"/>
    <x v="3"/>
    <s v="Regular"/>
    <n v="915"/>
    <n v="34"/>
    <x v="1"/>
    <n v="123"/>
    <n v="45"/>
    <n v="134"/>
    <n v="0.44369999999999998"/>
    <n v="320"/>
    <n v="130"/>
    <n v="160"/>
    <n v="0.5"/>
  </r>
  <r>
    <s v="TXN-00802"/>
    <d v="2024-10-03T00:00:00"/>
    <n v="702"/>
    <s v="Nevada"/>
    <s v="West"/>
    <s v="Small Market"/>
    <s v="Leaves"/>
    <x v="0"/>
    <x v="0"/>
    <s v="Regular"/>
    <n v="1691"/>
    <n v="75"/>
    <x v="195"/>
    <n v="228"/>
    <n v="108"/>
    <n v="196"/>
    <n v="0.36840000000000001"/>
    <n v="380"/>
    <n v="160"/>
    <n v="140"/>
    <n v="0.36840000000000001"/>
  </r>
  <r>
    <s v="TXN-00803"/>
    <d v="2024-10-05T00:00:00"/>
    <n v="970"/>
    <s v="Colorado"/>
    <s v="Central"/>
    <s v="Major Market"/>
    <s v="Leaves"/>
    <x v="2"/>
    <x v="8"/>
    <s v="Decaf"/>
    <n v="405"/>
    <n v="17"/>
    <x v="57"/>
    <n v="52"/>
    <n v="45"/>
    <n v="26"/>
    <n v="0.2114"/>
    <n v="90"/>
    <n v="30"/>
    <n v="50"/>
    <n v="0.55559999999999998"/>
  </r>
  <r>
    <s v="TXN-00804"/>
    <d v="2024-10-05T00:00:00"/>
    <n v="573"/>
    <s v="Missouri"/>
    <s v="Central"/>
    <s v="Small Market"/>
    <s v="Leaves"/>
    <x v="2"/>
    <x v="4"/>
    <s v="Decaf"/>
    <n v="1804"/>
    <n v="25"/>
    <x v="139"/>
    <n v="82"/>
    <n v="49"/>
    <n v="-9"/>
    <n v="-7.3800000000000004E-2"/>
    <n v="110"/>
    <n v="70"/>
    <n v="0"/>
    <n v="0"/>
  </r>
  <r>
    <s v="TXN-00805"/>
    <d v="2024-10-05T00:00:00"/>
    <n v="603"/>
    <s v="New Hampshire"/>
    <s v="East"/>
    <s v="Small Market"/>
    <s v="Leaves"/>
    <x v="0"/>
    <x v="0"/>
    <s v="Regular"/>
    <n v="846"/>
    <n v="5"/>
    <x v="96"/>
    <n v="21"/>
    <n v="17"/>
    <n v="14"/>
    <n v="0.26919999999999999"/>
    <n v="50"/>
    <n v="20"/>
    <n v="30"/>
    <n v="0.6"/>
  </r>
  <r>
    <s v="TXN-00806"/>
    <d v="2024-10-05T00:00:00"/>
    <n v="707"/>
    <s v="California"/>
    <s v="West"/>
    <s v="Major Market"/>
    <s v="Beans"/>
    <x v="3"/>
    <x v="6"/>
    <s v="Decaf"/>
    <n v="1691"/>
    <n v="75"/>
    <x v="195"/>
    <n v="228"/>
    <n v="107"/>
    <n v="197"/>
    <n v="0.37030000000000002"/>
    <n v="510"/>
    <n v="220"/>
    <n v="190"/>
    <n v="0.3725"/>
  </r>
  <r>
    <s v="TXN-00807"/>
    <d v="2024-10-05T00:00:00"/>
    <n v="503"/>
    <s v="Oregon"/>
    <s v="West"/>
    <s v="Small Market"/>
    <s v="Beans"/>
    <x v="3"/>
    <x v="6"/>
    <s v="Decaf"/>
    <n v="1283"/>
    <n v="50"/>
    <x v="84"/>
    <n v="181"/>
    <n v="74"/>
    <n v="108"/>
    <n v="0.29749999999999999"/>
    <n v="350"/>
    <n v="170"/>
    <n v="120"/>
    <n v="0.34289999999999998"/>
  </r>
  <r>
    <s v="TXN-00808"/>
    <d v="2024-10-06T00:00:00"/>
    <n v="971"/>
    <s v="Oregon"/>
    <s v="West"/>
    <s v="Small Market"/>
    <s v="Leaves"/>
    <x v="0"/>
    <x v="7"/>
    <s v="Regular"/>
    <n v="656"/>
    <n v="28"/>
    <x v="175"/>
    <n v="91"/>
    <n v="51"/>
    <n v="76"/>
    <n v="0.34860000000000002"/>
    <n v="100"/>
    <n v="40"/>
    <n v="50"/>
    <n v="0.5"/>
  </r>
  <r>
    <s v="TXN-00809"/>
    <d v="2024-10-06T00:00:00"/>
    <n v="435"/>
    <s v="Utah"/>
    <s v="West"/>
    <s v="Small Market"/>
    <s v="Beans"/>
    <x v="3"/>
    <x v="6"/>
    <s v="Decaf"/>
    <n v="885"/>
    <n v="15"/>
    <x v="50"/>
    <n v="54"/>
    <n v="26"/>
    <n v="52"/>
    <n v="0.39389999999999997"/>
    <n v="120"/>
    <n v="50"/>
    <n v="50"/>
    <n v="0.41670000000000001"/>
  </r>
  <r>
    <s v="TXN-00810"/>
    <d v="2024-10-06T00:00:00"/>
    <n v="475"/>
    <s v="Connecticut"/>
    <s v="East"/>
    <s v="Small Market"/>
    <s v="Leaves"/>
    <x v="2"/>
    <x v="4"/>
    <s v="Decaf"/>
    <n v="601"/>
    <n v="31"/>
    <x v="82"/>
    <n v="82"/>
    <n v="64"/>
    <n v="56"/>
    <n v="0.28570000000000001"/>
    <n v="130"/>
    <n v="60"/>
    <n v="30"/>
    <n v="0.23080000000000001"/>
  </r>
  <r>
    <s v="TXN-00811"/>
    <d v="2024-10-06T00:00:00"/>
    <n v="405"/>
    <s v="Oklahoma"/>
    <s v="South"/>
    <s v="Small Market"/>
    <s v="Beans"/>
    <x v="1"/>
    <x v="5"/>
    <s v="Regular"/>
    <n v="551"/>
    <n v="26"/>
    <x v="42"/>
    <n v="81"/>
    <n v="38"/>
    <n v="66"/>
    <n v="0.35680000000000001"/>
    <n v="220"/>
    <n v="90"/>
    <n v="100"/>
    <n v="0.45450000000000002"/>
  </r>
  <r>
    <s v="TXN-00812"/>
    <d v="2024-10-06T00:00:00"/>
    <n v="815"/>
    <s v="Illinois"/>
    <s v="Central"/>
    <s v="Major Market"/>
    <s v="Beans"/>
    <x v="1"/>
    <x v="11"/>
    <s v="Decaf"/>
    <n v="803"/>
    <n v="36"/>
    <x v="225"/>
    <n v="113"/>
    <n v="59"/>
    <n v="106"/>
    <n v="0.38129999999999997"/>
    <n v="270"/>
    <n v="110"/>
    <n v="110"/>
    <n v="0.40739999999999998"/>
  </r>
  <r>
    <s v="TXN-00813"/>
    <d v="2024-10-06T00:00:00"/>
    <n v="916"/>
    <s v="California"/>
    <s v="West"/>
    <s v="Major Market"/>
    <s v="Beans"/>
    <x v="1"/>
    <x v="1"/>
    <s v="Regular"/>
    <n v="2758"/>
    <n v="36"/>
    <x v="37"/>
    <n v="113"/>
    <n v="59"/>
    <n v="-83"/>
    <n v="-0.6694"/>
    <n v="130"/>
    <n v="130"/>
    <n v="-50"/>
    <n v="-0.3846"/>
  </r>
  <r>
    <s v="TXN-00814"/>
    <d v="2024-10-07T00:00:00"/>
    <n v="234"/>
    <s v="Ohio"/>
    <s v="Central"/>
    <s v="Major Market"/>
    <s v="Beans"/>
    <x v="3"/>
    <x v="9"/>
    <s v="Regular"/>
    <n v="1283"/>
    <n v="50"/>
    <x v="65"/>
    <n v="181"/>
    <n v="75"/>
    <n v="159"/>
    <n v="0.41089999999999999"/>
    <n v="460"/>
    <n v="230"/>
    <n v="170"/>
    <n v="0.36959999999999998"/>
  </r>
  <r>
    <s v="TXN-00815"/>
    <d v="2024-10-07T00:00:00"/>
    <n v="415"/>
    <s v="California"/>
    <s v="West"/>
    <s v="Major Market"/>
    <s v="Leaves"/>
    <x v="2"/>
    <x v="4"/>
    <s v="Decaf"/>
    <n v="1321"/>
    <n v="74"/>
    <x v="226"/>
    <n v="241"/>
    <n v="96"/>
    <n v="188"/>
    <n v="0.35809999999999997"/>
    <n v="480"/>
    <n v="220"/>
    <n v="170"/>
    <n v="0.35420000000000001"/>
  </r>
  <r>
    <s v="TXN-00816"/>
    <d v="2024-10-07T00:00:00"/>
    <n v="775"/>
    <s v="Nevada"/>
    <s v="West"/>
    <s v="Small Market"/>
    <s v="Leaves"/>
    <x v="2"/>
    <x v="4"/>
    <s v="Decaf"/>
    <n v="1191"/>
    <n v="73"/>
    <x v="85"/>
    <n v="224"/>
    <n v="116"/>
    <n v="194"/>
    <n v="0.36330000000000001"/>
    <n v="490"/>
    <n v="210"/>
    <n v="170"/>
    <n v="0.34689999999999999"/>
  </r>
  <r>
    <s v="TXN-00817"/>
    <d v="2024-10-09T00:00:00"/>
    <n v="503"/>
    <s v="Oregon"/>
    <s v="West"/>
    <s v="Small Market"/>
    <s v="Beans"/>
    <x v="3"/>
    <x v="9"/>
    <s v="Regular"/>
    <n v="411"/>
    <n v="19"/>
    <x v="87"/>
    <n v="59"/>
    <n v="46"/>
    <n v="33"/>
    <n v="0.23910000000000001"/>
    <n v="130"/>
    <n v="50"/>
    <n v="50"/>
    <n v="0.3846"/>
  </r>
  <r>
    <s v="TXN-00818"/>
    <d v="2024-10-09T00:00:00"/>
    <n v="419"/>
    <s v="Ohio"/>
    <s v="Central"/>
    <s v="Major Market"/>
    <s v="Beans"/>
    <x v="3"/>
    <x v="6"/>
    <s v="Decaf"/>
    <n v="422"/>
    <n v="17"/>
    <x v="204"/>
    <n v="46"/>
    <n v="51"/>
    <n v="9"/>
    <n v="8.1799999999999998E-2"/>
    <n v="130"/>
    <n v="50"/>
    <n v="40"/>
    <n v="0.30769999999999997"/>
  </r>
  <r>
    <s v="TXN-00819"/>
    <d v="2024-10-09T00:00:00"/>
    <n v="641"/>
    <s v="Iowa"/>
    <s v="Central"/>
    <s v="Small Market"/>
    <s v="Leaves"/>
    <x v="0"/>
    <x v="3"/>
    <s v="Regular"/>
    <n v="1838"/>
    <n v="111"/>
    <x v="227"/>
    <n v="294"/>
    <n v="144"/>
    <n v="216"/>
    <n v="0.33029999999999998"/>
    <n v="540"/>
    <n v="240"/>
    <n v="170"/>
    <n v="0.31480000000000002"/>
  </r>
  <r>
    <s v="TXN-00820"/>
    <d v="2024-10-09T00:00:00"/>
    <n v="213"/>
    <s v="California"/>
    <s v="West"/>
    <s v="Major Market"/>
    <s v="Beans"/>
    <x v="1"/>
    <x v="5"/>
    <s v="Regular"/>
    <n v="2580"/>
    <n v="87"/>
    <x v="215"/>
    <n v="249"/>
    <n v="139"/>
    <n v="349"/>
    <n v="0.52559999999999996"/>
    <n v="740"/>
    <n v="290"/>
    <n v="310"/>
    <n v="0.41889999999999999"/>
  </r>
  <r>
    <s v="TXN-00821"/>
    <d v="2024-10-10T00:00:00"/>
    <n v="847"/>
    <s v="Illinois"/>
    <s v="Central"/>
    <s v="Major Market"/>
    <s v="Beans"/>
    <x v="1"/>
    <x v="11"/>
    <s v="Decaf"/>
    <n v="803"/>
    <n v="36"/>
    <x v="210"/>
    <n v="113"/>
    <n v="59"/>
    <n v="157"/>
    <n v="0.53039999999999998"/>
    <n v="270"/>
    <n v="110"/>
    <n v="110"/>
    <n v="0.40739999999999998"/>
  </r>
  <r>
    <s v="TXN-00822"/>
    <d v="2024-10-11T00:00:00"/>
    <n v="904"/>
    <s v="Florida"/>
    <s v="East"/>
    <s v="Major Market"/>
    <s v="Beans"/>
    <x v="1"/>
    <x v="11"/>
    <s v="Decaf"/>
    <n v="666"/>
    <n v="31"/>
    <x v="81"/>
    <n v="102"/>
    <n v="54"/>
    <n v="132"/>
    <n v="0.50570000000000004"/>
    <n v="220"/>
    <n v="90"/>
    <n v="90"/>
    <n v="0.40910000000000002"/>
  </r>
  <r>
    <s v="TXN-00823"/>
    <d v="2024-10-12T00:00:00"/>
    <n v="475"/>
    <s v="Connecticut"/>
    <s v="East"/>
    <s v="Small Market"/>
    <s v="Leaves"/>
    <x v="0"/>
    <x v="0"/>
    <s v="Regular"/>
    <n v="881"/>
    <n v="11"/>
    <x v="110"/>
    <n v="40"/>
    <n v="23"/>
    <n v="53"/>
    <n v="0.5"/>
    <n v="100"/>
    <n v="40"/>
    <n v="50"/>
    <n v="0.5"/>
  </r>
  <r>
    <s v="TXN-00824"/>
    <d v="2024-10-12T00:00:00"/>
    <n v="603"/>
    <s v="New Hampshire"/>
    <s v="East"/>
    <s v="Small Market"/>
    <s v="Leaves"/>
    <x v="0"/>
    <x v="0"/>
    <s v="Regular"/>
    <n v="848"/>
    <n v="4"/>
    <x v="121"/>
    <n v="15"/>
    <n v="16"/>
    <n v="8"/>
    <n v="0.2051"/>
    <n v="40"/>
    <n v="10"/>
    <n v="20"/>
    <n v="0.5"/>
  </r>
  <r>
    <s v="TXN-00825"/>
    <d v="2024-10-12T00:00:00"/>
    <n v="505"/>
    <s v="New Mexico"/>
    <s v="South"/>
    <s v="Small Market"/>
    <s v="Beans"/>
    <x v="3"/>
    <x v="10"/>
    <s v="Regular"/>
    <n v="-466"/>
    <n v="9"/>
    <x v="26"/>
    <n v="25"/>
    <n v="43"/>
    <n v="-18"/>
    <n v="-0.3"/>
    <n v="30"/>
    <n v="10"/>
    <n v="10"/>
    <n v="0.33329999999999999"/>
  </r>
  <r>
    <s v="TXN-00826"/>
    <d v="2024-10-12T00:00:00"/>
    <n v="914"/>
    <s v="New York"/>
    <s v="East"/>
    <s v="Major Market"/>
    <s v="Leaves"/>
    <x v="0"/>
    <x v="3"/>
    <s v="Regular"/>
    <n v="930"/>
    <n v="33"/>
    <x v="102"/>
    <n v="118"/>
    <n v="45"/>
    <n v="188"/>
    <n v="0.60840000000000005"/>
    <n v="290"/>
    <n v="120"/>
    <n v="130"/>
    <n v="0.44829999999999998"/>
  </r>
  <r>
    <s v="TXN-00827"/>
    <d v="2024-10-12T00:00:00"/>
    <n v="650"/>
    <s v="California"/>
    <s v="West"/>
    <s v="Major Market"/>
    <s v="Beans"/>
    <x v="1"/>
    <x v="11"/>
    <s v="Decaf"/>
    <n v="3654"/>
    <n v="50"/>
    <x v="76"/>
    <n v="154"/>
    <n v="93"/>
    <n v="-174"/>
    <n v="-1.2518"/>
    <n v="190"/>
    <n v="220"/>
    <n v="-100"/>
    <n v="-0.52629999999999999"/>
  </r>
  <r>
    <s v="TXN-00828"/>
    <d v="2024-10-13T00:00:00"/>
    <n v="719"/>
    <s v="Colorado"/>
    <s v="Central"/>
    <s v="Major Market"/>
    <s v="Beans"/>
    <x v="1"/>
    <x v="5"/>
    <s v="Regular"/>
    <n v="536"/>
    <n v="13"/>
    <x v="71"/>
    <n v="40"/>
    <n v="25"/>
    <n v="40"/>
    <n v="0.40820000000000001"/>
    <n v="90"/>
    <n v="30"/>
    <n v="40"/>
    <n v="0.44440000000000002"/>
  </r>
  <r>
    <s v="TXN-00829"/>
    <d v="2024-10-13T00:00:00"/>
    <n v="417"/>
    <s v="Missouri"/>
    <s v="Central"/>
    <s v="Small Market"/>
    <s v="Leaves"/>
    <x v="2"/>
    <x v="4"/>
    <s v="Decaf"/>
    <n v="1898"/>
    <n v="28"/>
    <x v="127"/>
    <n v="92"/>
    <n v="52"/>
    <n v="24"/>
    <n v="0.1404"/>
    <n v="140"/>
    <n v="80"/>
    <n v="20"/>
    <n v="0.1429"/>
  </r>
  <r>
    <s v="TXN-00830"/>
    <d v="2024-10-13T00:00:00"/>
    <n v="425"/>
    <s v="Washington"/>
    <s v="West"/>
    <s v="Small Market"/>
    <s v="Beans"/>
    <x v="3"/>
    <x v="9"/>
    <s v="Regular"/>
    <n v="385"/>
    <n v="21"/>
    <x v="168"/>
    <n v="56"/>
    <n v="54"/>
    <n v="24"/>
    <n v="0.17910000000000001"/>
    <n v="110"/>
    <n v="40"/>
    <n v="50"/>
    <n v="0.45450000000000002"/>
  </r>
  <r>
    <s v="TXN-00831"/>
    <d v="2024-10-13T00:00:00"/>
    <n v="715"/>
    <s v="Wisconsin"/>
    <s v="Central"/>
    <s v="Small Market"/>
    <s v="Beans"/>
    <x v="1"/>
    <x v="11"/>
    <s v="Decaf"/>
    <n v="547"/>
    <n v="28"/>
    <x v="228"/>
    <n v="86"/>
    <n v="55"/>
    <n v="61"/>
    <n v="0.30199999999999999"/>
    <n v="200"/>
    <n v="80"/>
    <n v="100"/>
    <n v="0.5"/>
  </r>
  <r>
    <s v="TXN-00832"/>
    <d v="2024-10-13T00:00:00"/>
    <n v="503"/>
    <s v="Oregon"/>
    <s v="West"/>
    <s v="Small Market"/>
    <s v="Beans"/>
    <x v="1"/>
    <x v="1"/>
    <s v="Regular"/>
    <n v="503"/>
    <n v="46"/>
    <x v="174"/>
    <n v="51"/>
    <n v="76"/>
    <n v="-7"/>
    <n v="-5.3800000000000001E-2"/>
    <n v="170"/>
    <n v="70"/>
    <n v="50"/>
    <n v="0.29409999999999997"/>
  </r>
  <r>
    <s v="TXN-00833"/>
    <d v="2024-10-14T00:00:00"/>
    <n v="775"/>
    <s v="Nevada"/>
    <s v="West"/>
    <s v="Small Market"/>
    <s v="Beans"/>
    <x v="3"/>
    <x v="10"/>
    <s v="Regular"/>
    <n v="387"/>
    <n v="0"/>
    <x v="101"/>
    <n v="0"/>
    <n v="12"/>
    <n v="31"/>
    <n v="0.72089999999999999"/>
    <n v="40"/>
    <n v="0"/>
    <n v="30"/>
    <n v="0.75"/>
  </r>
  <r>
    <s v="TXN-00834"/>
    <d v="2024-10-14T00:00:00"/>
    <n v="580"/>
    <s v="Oklahoma"/>
    <s v="South"/>
    <s v="Small Market"/>
    <s v="Beans"/>
    <x v="3"/>
    <x v="9"/>
    <s v="Regular"/>
    <n v="482"/>
    <n v="8"/>
    <x v="138"/>
    <n v="32"/>
    <n v="19"/>
    <n v="43"/>
    <n v="0.50590000000000002"/>
    <n v="60"/>
    <n v="20"/>
    <n v="30"/>
    <n v="0.5"/>
  </r>
  <r>
    <s v="TXN-00835"/>
    <d v="2024-10-15T00:00:00"/>
    <n v="719"/>
    <s v="Colorado"/>
    <s v="Central"/>
    <s v="Major Market"/>
    <s v="Leaves"/>
    <x v="0"/>
    <x v="3"/>
    <s v="Regular"/>
    <n v="1042"/>
    <n v="17"/>
    <x v="151"/>
    <n v="57"/>
    <n v="39"/>
    <n v="29"/>
    <n v="0.23200000000000001"/>
    <n v="100"/>
    <n v="40"/>
    <n v="30"/>
    <n v="0.3"/>
  </r>
  <r>
    <s v="TXN-00836"/>
    <d v="2024-10-15T00:00:00"/>
    <n v="505"/>
    <s v="New Mexico"/>
    <s v="South"/>
    <s v="Small Market"/>
    <s v="Beans"/>
    <x v="1"/>
    <x v="11"/>
    <s v="Decaf"/>
    <n v="1698"/>
    <n v="26"/>
    <x v="44"/>
    <n v="86"/>
    <n v="49"/>
    <n v="-39"/>
    <n v="-0.3362"/>
    <n v="150"/>
    <n v="110"/>
    <n v="10"/>
    <n v="6.6699999999999995E-2"/>
  </r>
  <r>
    <s v="TXN-00837"/>
    <d v="2024-10-15T00:00:00"/>
    <n v="708"/>
    <s v="Illinois"/>
    <s v="Central"/>
    <s v="Major Market"/>
    <s v="Beans"/>
    <x v="3"/>
    <x v="9"/>
    <s v="Regular"/>
    <n v="1744"/>
    <n v="81"/>
    <x v="136"/>
    <n v="247"/>
    <n v="113"/>
    <n v="321"/>
    <n v="0.52280000000000004"/>
    <n v="730"/>
    <n v="310"/>
    <n v="320"/>
    <n v="0.43840000000000001"/>
  </r>
  <r>
    <s v="TXN-00838"/>
    <d v="2024-10-15T00:00:00"/>
    <n v="253"/>
    <s v="Washington"/>
    <s v="West"/>
    <s v="Small Market"/>
    <s v="Beans"/>
    <x v="3"/>
    <x v="6"/>
    <s v="Decaf"/>
    <n v="1055"/>
    <n v="24"/>
    <x v="147"/>
    <n v="80"/>
    <n v="46"/>
    <n v="48"/>
    <n v="0.27589999999999998"/>
    <n v="150"/>
    <n v="60"/>
    <n v="80"/>
    <n v="0.5333"/>
  </r>
  <r>
    <s v="TXN-00839"/>
    <d v="2024-10-15T00:00:00"/>
    <n v="775"/>
    <s v="Nevada"/>
    <s v="West"/>
    <s v="Small Market"/>
    <s v="Beans"/>
    <x v="3"/>
    <x v="9"/>
    <s v="Regular"/>
    <n v="848"/>
    <n v="4"/>
    <x v="121"/>
    <n v="15"/>
    <n v="15"/>
    <n v="9"/>
    <n v="0.23080000000000001"/>
    <n v="30"/>
    <n v="10"/>
    <n v="10"/>
    <n v="0.33329999999999999"/>
  </r>
  <r>
    <s v="TXN-00840"/>
    <d v="2024-10-16T00:00:00"/>
    <n v="203"/>
    <s v="Connecticut"/>
    <s v="East"/>
    <s v="Small Market"/>
    <s v="Beans"/>
    <x v="3"/>
    <x v="9"/>
    <s v="Regular"/>
    <n v="613"/>
    <n v="55"/>
    <x v="14"/>
    <n v="61"/>
    <n v="84"/>
    <n v="2"/>
    <n v="1.3599999999999999E-2"/>
    <n v="140"/>
    <n v="60"/>
    <n v="10"/>
    <n v="7.1400000000000005E-2"/>
  </r>
  <r>
    <s v="TXN-00841"/>
    <d v="2024-10-17T00:00:00"/>
    <n v="303"/>
    <s v="Colorado"/>
    <s v="Central"/>
    <s v="Major Market"/>
    <s v="Leaves"/>
    <x v="2"/>
    <x v="4"/>
    <s v="Decaf"/>
    <n v="503"/>
    <n v="46"/>
    <x v="139"/>
    <n v="51"/>
    <n v="76"/>
    <n v="-5"/>
    <n v="-4.1000000000000002E-2"/>
    <n v="90"/>
    <n v="30"/>
    <n v="30"/>
    <n v="0.33329999999999999"/>
  </r>
  <r>
    <s v="TXN-00842"/>
    <d v="2024-10-17T00:00:00"/>
    <n v="708"/>
    <s v="Illinois"/>
    <s v="Central"/>
    <s v="Major Market"/>
    <s v="Leaves"/>
    <x v="2"/>
    <x v="2"/>
    <s v="Decaf"/>
    <n v="915"/>
    <n v="34"/>
    <x v="1"/>
    <n v="123"/>
    <n v="46"/>
    <n v="133"/>
    <n v="0.44040000000000001"/>
    <n v="240"/>
    <n v="90"/>
    <n v="140"/>
    <n v="0.58330000000000004"/>
  </r>
  <r>
    <s v="TXN-00843"/>
    <d v="2024-10-17T00:00:00"/>
    <n v="323"/>
    <s v="California"/>
    <s v="West"/>
    <s v="Major Market"/>
    <s v="Leaves"/>
    <x v="0"/>
    <x v="0"/>
    <s v="Regular"/>
    <n v="959"/>
    <n v="34"/>
    <x v="34"/>
    <n v="123"/>
    <n v="45"/>
    <n v="199"/>
    <n v="0.61799999999999999"/>
    <n v="220"/>
    <n v="90"/>
    <n v="110"/>
    <n v="0.5"/>
  </r>
  <r>
    <s v="TXN-00844"/>
    <d v="2024-10-18T00:00:00"/>
    <n v="515"/>
    <s v="Iowa"/>
    <s v="Central"/>
    <s v="Small Market"/>
    <s v="Beans"/>
    <x v="1"/>
    <x v="5"/>
    <s v="Regular"/>
    <n v="1003"/>
    <n v="8"/>
    <x v="137"/>
    <n v="29"/>
    <n v="30"/>
    <n v="7"/>
    <n v="0.10290000000000001"/>
    <n v="60"/>
    <n v="20"/>
    <n v="20"/>
    <n v="0.33329999999999999"/>
  </r>
  <r>
    <s v="TXN-00845"/>
    <d v="2024-10-19T00:00:00"/>
    <n v="702"/>
    <s v="Nevada"/>
    <s v="West"/>
    <s v="Small Market"/>
    <s v="Beans"/>
    <x v="1"/>
    <x v="5"/>
    <s v="Regular"/>
    <n v="250"/>
    <n v="14"/>
    <x v="64"/>
    <n v="39"/>
    <n v="48"/>
    <n v="1"/>
    <n v="1.06E-2"/>
    <n v="100"/>
    <n v="40"/>
    <n v="20"/>
    <n v="0.2"/>
  </r>
  <r>
    <s v="TXN-00846"/>
    <d v="2024-10-19T00:00:00"/>
    <n v="567"/>
    <s v="Ohio"/>
    <s v="Central"/>
    <s v="Major Market"/>
    <s v="Beans"/>
    <x v="1"/>
    <x v="11"/>
    <s v="Decaf"/>
    <n v="509"/>
    <n v="47"/>
    <x v="151"/>
    <n v="52"/>
    <n v="76"/>
    <n v="-3"/>
    <n v="-2.4E-2"/>
    <n v="120"/>
    <n v="50"/>
    <n v="10"/>
    <n v="8.3299999999999999E-2"/>
  </r>
  <r>
    <s v="TXN-00847"/>
    <d v="2024-10-19T00:00:00"/>
    <n v="435"/>
    <s v="Utah"/>
    <s v="West"/>
    <s v="Small Market"/>
    <s v="Leaves"/>
    <x v="0"/>
    <x v="3"/>
    <s v="Regular"/>
    <n v="248"/>
    <n v="11"/>
    <x v="74"/>
    <n v="35"/>
    <n v="38"/>
    <n v="9"/>
    <n v="0.10979999999999999"/>
    <n v="50"/>
    <n v="20"/>
    <n v="10"/>
    <n v="0.2"/>
  </r>
  <r>
    <s v="TXN-00848"/>
    <d v="2024-10-21T00:00:00"/>
    <n v="719"/>
    <s v="Colorado"/>
    <s v="Central"/>
    <s v="Major Market"/>
    <s v="Leaves"/>
    <x v="0"/>
    <x v="0"/>
    <s v="Regular"/>
    <n v="410"/>
    <n v="20"/>
    <x v="37"/>
    <n v="55"/>
    <n v="54"/>
    <n v="15"/>
    <n v="0.121"/>
    <n v="100"/>
    <n v="40"/>
    <n v="20"/>
    <n v="0.2"/>
  </r>
  <r>
    <s v="TXN-00849"/>
    <d v="2024-10-21T00:00:00"/>
    <n v="314"/>
    <s v="Missouri"/>
    <s v="Central"/>
    <s v="Small Market"/>
    <s v="Leaves"/>
    <x v="2"/>
    <x v="2"/>
    <s v="Decaf"/>
    <n v="325"/>
    <n v="40"/>
    <x v="153"/>
    <n v="44"/>
    <n v="70"/>
    <n v="-12"/>
    <n v="-0.1062"/>
    <n v="90"/>
    <n v="40"/>
    <n v="0"/>
    <n v="0"/>
  </r>
  <r>
    <s v="TXN-00850"/>
    <d v="2024-10-21T00:00:00"/>
    <n v="262"/>
    <s v="Wisconsin"/>
    <s v="Central"/>
    <s v="Small Market"/>
    <s v="Leaves"/>
    <x v="0"/>
    <x v="0"/>
    <s v="Regular"/>
    <n v="466"/>
    <n v="13"/>
    <x v="153"/>
    <n v="43"/>
    <n v="35"/>
    <n v="42"/>
    <n v="0.37169999999999997"/>
    <n v="80"/>
    <n v="30"/>
    <n v="20"/>
    <n v="0.25"/>
  </r>
  <r>
    <s v="TXN-00851"/>
    <d v="2024-10-21T00:00:00"/>
    <n v="407"/>
    <s v="Florida"/>
    <s v="East"/>
    <s v="Major Market"/>
    <s v="Leaves"/>
    <x v="2"/>
    <x v="4"/>
    <s v="Decaf"/>
    <n v="391"/>
    <n v="20"/>
    <x v="16"/>
    <n v="54"/>
    <n v="54"/>
    <n v="13"/>
    <n v="0.1074"/>
    <n v="80"/>
    <n v="40"/>
    <n v="10"/>
    <n v="0.125"/>
  </r>
  <r>
    <s v="TXN-00852"/>
    <d v="2024-10-21T00:00:00"/>
    <n v="562"/>
    <s v="California"/>
    <s v="West"/>
    <s v="Major Market"/>
    <s v="Leaves"/>
    <x v="0"/>
    <x v="0"/>
    <s v="Regular"/>
    <n v="915"/>
    <n v="34"/>
    <x v="1"/>
    <n v="123"/>
    <n v="45"/>
    <n v="134"/>
    <n v="0.44369999999999998"/>
    <n v="140"/>
    <n v="50"/>
    <n v="80"/>
    <n v="0.57140000000000002"/>
  </r>
  <r>
    <s v="TXN-00853"/>
    <d v="2024-10-22T00:00:00"/>
    <n v="435"/>
    <s v="Utah"/>
    <s v="West"/>
    <s v="Small Market"/>
    <s v="Leaves"/>
    <x v="0"/>
    <x v="0"/>
    <s v="Regular"/>
    <n v="325"/>
    <n v="40"/>
    <x v="110"/>
    <n v="44"/>
    <n v="69"/>
    <n v="-7"/>
    <n v="-6.6000000000000003E-2"/>
    <n v="70"/>
    <n v="30"/>
    <n v="-10"/>
    <n v="-0.1429"/>
  </r>
  <r>
    <s v="TXN-00854"/>
    <d v="2024-10-22T00:00:00"/>
    <n v="774"/>
    <s v="Massachusetts"/>
    <s v="East"/>
    <s v="Major Market"/>
    <s v="Leaves"/>
    <x v="0"/>
    <x v="7"/>
    <s v="Regular"/>
    <n v="490"/>
    <n v="8"/>
    <x v="28"/>
    <n v="29"/>
    <n v="19"/>
    <n v="37"/>
    <n v="0.47439999999999999"/>
    <n v="70"/>
    <n v="30"/>
    <n v="30"/>
    <n v="0.42859999999999998"/>
  </r>
  <r>
    <s v="TXN-00855"/>
    <d v="2024-10-22T00:00:00"/>
    <n v="817"/>
    <s v="Texas"/>
    <s v="South"/>
    <s v="Major Market"/>
    <s v="Beans"/>
    <x v="3"/>
    <x v="9"/>
    <s v="Regular"/>
    <n v="915"/>
    <n v="34"/>
    <x v="34"/>
    <n v="123"/>
    <n v="46"/>
    <n v="197"/>
    <n v="0.61180000000000001"/>
    <n v="190"/>
    <n v="70"/>
    <n v="100"/>
    <n v="0.52629999999999999"/>
  </r>
  <r>
    <s v="TXN-00856"/>
    <d v="2024-10-23T00:00:00"/>
    <n v="509"/>
    <s v="Washington"/>
    <s v="West"/>
    <s v="Small Market"/>
    <s v="Leaves"/>
    <x v="2"/>
    <x v="4"/>
    <s v="Decaf"/>
    <n v="834"/>
    <n v="13"/>
    <x v="160"/>
    <n v="47"/>
    <n v="24"/>
    <n v="44"/>
    <n v="0.3826"/>
    <n v="100"/>
    <n v="40"/>
    <n v="40"/>
    <n v="0.4"/>
  </r>
  <r>
    <s v="TXN-00857"/>
    <d v="2024-10-23T00:00:00"/>
    <n v="971"/>
    <s v="Oregon"/>
    <s v="West"/>
    <s v="Small Market"/>
    <s v="Beans"/>
    <x v="1"/>
    <x v="5"/>
    <s v="Regular"/>
    <n v="463"/>
    <n v="19"/>
    <x v="114"/>
    <n v="60"/>
    <n v="63"/>
    <n v="21"/>
    <n v="0.14580000000000001"/>
    <n v="210"/>
    <n v="80"/>
    <n v="90"/>
    <n v="0.42859999999999998"/>
  </r>
  <r>
    <s v="TXN-00858"/>
    <d v="2024-10-23T00:00:00"/>
    <n v="818"/>
    <s v="California"/>
    <s v="West"/>
    <s v="Major Market"/>
    <s v="Beans"/>
    <x v="1"/>
    <x v="5"/>
    <s v="Regular"/>
    <n v="2548"/>
    <n v="91"/>
    <x v="191"/>
    <n v="260"/>
    <n v="143"/>
    <n v="367"/>
    <n v="0.52959999999999996"/>
    <n v="960"/>
    <n v="380"/>
    <n v="470"/>
    <n v="0.48959999999999998"/>
  </r>
  <r>
    <s v="TXN-00859"/>
    <d v="2024-10-24T00:00:00"/>
    <n v="262"/>
    <s v="Wisconsin"/>
    <s v="Central"/>
    <s v="Small Market"/>
    <s v="Leaves"/>
    <x v="0"/>
    <x v="0"/>
    <s v="Regular"/>
    <n v="449"/>
    <n v="14"/>
    <x v="153"/>
    <n v="46"/>
    <n v="37"/>
    <n v="30"/>
    <n v="0.26550000000000001"/>
    <n v="70"/>
    <n v="20"/>
    <n v="40"/>
    <n v="0.57140000000000002"/>
  </r>
  <r>
    <s v="TXN-00860"/>
    <d v="2024-10-24T00:00:00"/>
    <n v="971"/>
    <s v="Oregon"/>
    <s v="West"/>
    <s v="Small Market"/>
    <s v="Leaves"/>
    <x v="0"/>
    <x v="3"/>
    <s v="Regular"/>
    <n v="817"/>
    <n v="29"/>
    <x v="149"/>
    <n v="88"/>
    <n v="60"/>
    <n v="73"/>
    <n v="0.33029999999999998"/>
    <n v="160"/>
    <n v="60"/>
    <n v="60"/>
    <n v="0.375"/>
  </r>
  <r>
    <s v="TXN-00861"/>
    <d v="2024-10-25T00:00:00"/>
    <n v="213"/>
    <s v="California"/>
    <s v="West"/>
    <s v="Major Market"/>
    <s v="Leaves"/>
    <x v="0"/>
    <x v="7"/>
    <s v="Regular"/>
    <n v="677"/>
    <n v="22"/>
    <x v="23"/>
    <n v="67"/>
    <n v="54"/>
    <n v="47"/>
    <n v="0.27979999999999999"/>
    <n v="120"/>
    <n v="40"/>
    <n v="50"/>
    <n v="0.41670000000000001"/>
  </r>
  <r>
    <s v="TXN-00862"/>
    <d v="2024-10-26T00:00:00"/>
    <n v="425"/>
    <s v="Washington"/>
    <s v="West"/>
    <s v="Small Market"/>
    <s v="Beans"/>
    <x v="3"/>
    <x v="10"/>
    <s v="Regular"/>
    <n v="570"/>
    <n v="7"/>
    <x v="27"/>
    <n v="22"/>
    <n v="19"/>
    <n v="16"/>
    <n v="0.29089999999999999"/>
    <n v="50"/>
    <n v="20"/>
    <n v="20"/>
    <n v="0.4"/>
  </r>
  <r>
    <s v="TXN-00863"/>
    <d v="2024-10-26T00:00:00"/>
    <n v="360"/>
    <s v="Washington"/>
    <s v="West"/>
    <s v="Small Market"/>
    <s v="Leaves"/>
    <x v="2"/>
    <x v="2"/>
    <s v="Decaf"/>
    <n v="1119"/>
    <n v="41"/>
    <x v="229"/>
    <n v="125"/>
    <n v="73"/>
    <n v="171"/>
    <n v="0.51200000000000001"/>
    <n v="250"/>
    <n v="90"/>
    <n v="130"/>
    <n v="0.52"/>
  </r>
  <r>
    <s v="TXN-00864"/>
    <d v="2024-10-27T00:00:00"/>
    <n v="435"/>
    <s v="Utah"/>
    <s v="West"/>
    <s v="Small Market"/>
    <s v="Leaves"/>
    <x v="0"/>
    <x v="0"/>
    <s v="Regular"/>
    <n v="325"/>
    <n v="40"/>
    <x v="153"/>
    <n v="44"/>
    <n v="69"/>
    <n v="-10"/>
    <n v="-8.8499999999999995E-2"/>
    <n v="70"/>
    <n v="30"/>
    <n v="-10"/>
    <n v="-0.1429"/>
  </r>
  <r>
    <s v="TXN-00865"/>
    <d v="2024-10-27T00:00:00"/>
    <n v="513"/>
    <s v="Ohio"/>
    <s v="Central"/>
    <s v="Major Market"/>
    <s v="Leaves"/>
    <x v="0"/>
    <x v="0"/>
    <s v="Regular"/>
    <n v="817"/>
    <n v="29"/>
    <x v="149"/>
    <n v="88"/>
    <n v="61"/>
    <n v="72"/>
    <n v="0.32579999999999998"/>
    <n v="180"/>
    <n v="70"/>
    <n v="70"/>
    <n v="0.38890000000000002"/>
  </r>
  <r>
    <s v="TXN-00866"/>
    <d v="2024-10-27T00:00:00"/>
    <n v="970"/>
    <s v="Colorado"/>
    <s v="Central"/>
    <s v="Major Market"/>
    <s v="Beans"/>
    <x v="3"/>
    <x v="6"/>
    <s v="Decaf"/>
    <n v="659"/>
    <n v="24"/>
    <x v="9"/>
    <n v="75"/>
    <n v="56"/>
    <n v="86"/>
    <n v="0.4279"/>
    <n v="240"/>
    <n v="90"/>
    <n v="100"/>
    <n v="0.41670000000000001"/>
  </r>
  <r>
    <s v="TXN-00867"/>
    <d v="2024-10-27T00:00:00"/>
    <n v="541"/>
    <s v="Oregon"/>
    <s v="West"/>
    <s v="Small Market"/>
    <s v="Beans"/>
    <x v="1"/>
    <x v="5"/>
    <s v="Regular"/>
    <n v="470"/>
    <n v="17"/>
    <x v="230"/>
    <n v="53"/>
    <n v="61"/>
    <n v="21"/>
    <n v="0.15440000000000001"/>
    <n v="150"/>
    <n v="60"/>
    <n v="40"/>
    <n v="0.26669999999999999"/>
  </r>
  <r>
    <s v="TXN-00868"/>
    <d v="2024-10-28T00:00:00"/>
    <n v="225"/>
    <s v="Louisiana"/>
    <s v="South"/>
    <s v="Small Market"/>
    <s v="Beans"/>
    <x v="3"/>
    <x v="9"/>
    <s v="Regular"/>
    <n v="321"/>
    <n v="16"/>
    <x v="19"/>
    <n v="53"/>
    <n v="39"/>
    <n v="49"/>
    <n v="0.34749999999999998"/>
    <n v="100"/>
    <n v="40"/>
    <n v="30"/>
    <n v="0.3"/>
  </r>
  <r>
    <s v="TXN-00869"/>
    <d v="2024-10-28T00:00:00"/>
    <n v="920"/>
    <s v="Wisconsin"/>
    <s v="Central"/>
    <s v="Small Market"/>
    <s v="Beans"/>
    <x v="1"/>
    <x v="11"/>
    <s v="Decaf"/>
    <n v="547"/>
    <n v="28"/>
    <x v="119"/>
    <n v="86"/>
    <n v="55"/>
    <n v="91"/>
    <n v="0.42330000000000001"/>
    <n v="200"/>
    <n v="80"/>
    <n v="100"/>
    <n v="0.5"/>
  </r>
  <r>
    <s v="TXN-00870"/>
    <d v="2024-11-01T00:00:00"/>
    <n v="708"/>
    <s v="Illinois"/>
    <s v="Central"/>
    <s v="Major Market"/>
    <s v="Leaves"/>
    <x v="0"/>
    <x v="0"/>
    <s v="Regular"/>
    <n v="589"/>
    <n v="14"/>
    <x v="30"/>
    <n v="50"/>
    <n v="25"/>
    <n v="71"/>
    <n v="0.54200000000000004"/>
    <n v="100"/>
    <n v="40"/>
    <n v="40"/>
    <n v="0.4"/>
  </r>
  <r>
    <s v="TXN-00871"/>
    <d v="2024-11-01T00:00:00"/>
    <n v="971"/>
    <s v="Oregon"/>
    <s v="West"/>
    <s v="Small Market"/>
    <s v="Leaves"/>
    <x v="2"/>
    <x v="2"/>
    <s v="Decaf"/>
    <n v="820"/>
    <n v="7"/>
    <x v="218"/>
    <n v="25"/>
    <n v="19"/>
    <n v="25"/>
    <n v="0.3846"/>
    <n v="40"/>
    <n v="10"/>
    <n v="30"/>
    <n v="0.75"/>
  </r>
  <r>
    <s v="TXN-00872"/>
    <d v="2024-11-01T00:00:00"/>
    <n v="203"/>
    <s v="Connecticut"/>
    <s v="East"/>
    <s v="Small Market"/>
    <s v="Beans"/>
    <x v="1"/>
    <x v="5"/>
    <s v="Regular"/>
    <n v="1119"/>
    <n v="41"/>
    <x v="229"/>
    <n v="125"/>
    <n v="73"/>
    <n v="171"/>
    <n v="0.51200000000000001"/>
    <n v="260"/>
    <n v="100"/>
    <n v="130"/>
    <n v="0.5"/>
  </r>
  <r>
    <s v="TXN-00873"/>
    <d v="2024-11-01T00:00:00"/>
    <n v="315"/>
    <s v="New York"/>
    <s v="East"/>
    <s v="Major Market"/>
    <s v="Leaves"/>
    <x v="2"/>
    <x v="8"/>
    <s v="Decaf"/>
    <n v="4360"/>
    <n v="74"/>
    <x v="67"/>
    <n v="239"/>
    <n v="95"/>
    <n v="-170"/>
    <n v="-1.0366"/>
    <n v="80"/>
    <n v="130"/>
    <n v="-100"/>
    <n v="-1.25"/>
  </r>
  <r>
    <s v="TXN-00874"/>
    <d v="2024-11-01T00:00:00"/>
    <n v="630"/>
    <s v="Illinois"/>
    <s v="Central"/>
    <s v="Major Market"/>
    <s v="Beans"/>
    <x v="1"/>
    <x v="11"/>
    <s v="Decaf"/>
    <n v="830"/>
    <n v="40"/>
    <x v="36"/>
    <n v="127"/>
    <n v="63"/>
    <n v="122"/>
    <n v="0.39100000000000001"/>
    <n v="300"/>
    <n v="120"/>
    <n v="130"/>
    <n v="0.43330000000000002"/>
  </r>
  <r>
    <s v="TXN-00875"/>
    <d v="2024-11-01T00:00:00"/>
    <n v="847"/>
    <s v="Illinois"/>
    <s v="Central"/>
    <s v="Major Market"/>
    <s v="Beans"/>
    <x v="1"/>
    <x v="5"/>
    <s v="Regular"/>
    <n v="1191"/>
    <n v="73"/>
    <x v="85"/>
    <n v="224"/>
    <n v="116"/>
    <n v="194"/>
    <n v="0.36330000000000001"/>
    <n v="520"/>
    <n v="220"/>
    <n v="190"/>
    <n v="0.3654"/>
  </r>
  <r>
    <s v="TXN-00876"/>
    <d v="2024-11-01T00:00:00"/>
    <n v="720"/>
    <s v="Colorado"/>
    <s v="Central"/>
    <s v="Major Market"/>
    <s v="Beans"/>
    <x v="1"/>
    <x v="11"/>
    <s v="Decaf"/>
    <n v="984"/>
    <n v="22"/>
    <x v="217"/>
    <n v="81"/>
    <n v="33"/>
    <n v="125"/>
    <n v="0.59240000000000004"/>
    <n v="190"/>
    <n v="80"/>
    <n v="80"/>
    <n v="0.42109999999999997"/>
  </r>
  <r>
    <s v="TXN-00877"/>
    <d v="2024-11-02T00:00:00"/>
    <n v="409"/>
    <s v="Texas"/>
    <s v="South"/>
    <s v="Major Market"/>
    <s v="Leaves"/>
    <x v="2"/>
    <x v="4"/>
    <s v="Decaf"/>
    <n v="419"/>
    <n v="13"/>
    <x v="60"/>
    <n v="43"/>
    <n v="36"/>
    <n v="28"/>
    <n v="0.26169999999999999"/>
    <n v="90"/>
    <n v="30"/>
    <n v="50"/>
    <n v="0.55559999999999998"/>
  </r>
  <r>
    <s v="TXN-00878"/>
    <d v="2024-11-02T00:00:00"/>
    <n v="509"/>
    <s v="Washington"/>
    <s v="West"/>
    <s v="Small Market"/>
    <s v="Leaves"/>
    <x v="0"/>
    <x v="0"/>
    <s v="Regular"/>
    <n v="321"/>
    <n v="16"/>
    <x v="182"/>
    <n v="53"/>
    <n v="39"/>
    <n v="73"/>
    <n v="0.48670000000000002"/>
    <n v="100"/>
    <n v="30"/>
    <n v="50"/>
    <n v="0.5"/>
  </r>
  <r>
    <s v="TXN-00879"/>
    <d v="2024-11-02T00:00:00"/>
    <n v="815"/>
    <s v="Illinois"/>
    <s v="Central"/>
    <s v="Major Market"/>
    <s v="Beans"/>
    <x v="3"/>
    <x v="9"/>
    <s v="Regular"/>
    <n v="1744"/>
    <n v="81"/>
    <x v="55"/>
    <n v="247"/>
    <n v="113"/>
    <n v="216"/>
    <n v="0.375"/>
    <n v="730"/>
    <n v="310"/>
    <n v="320"/>
    <n v="0.43840000000000001"/>
  </r>
  <r>
    <s v="TXN-00880"/>
    <d v="2024-11-03T00:00:00"/>
    <n v="857"/>
    <s v="Massachusetts"/>
    <s v="East"/>
    <s v="Major Market"/>
    <s v="Beans"/>
    <x v="1"/>
    <x v="5"/>
    <s v="Regular"/>
    <n v="-3287"/>
    <n v="24"/>
    <x v="231"/>
    <n v="75"/>
    <n v="55"/>
    <n v="481"/>
    <n v="0.99380000000000002"/>
    <n v="400"/>
    <n v="60"/>
    <n v="300"/>
    <n v="0.75"/>
  </r>
  <r>
    <s v="TXN-00881"/>
    <d v="2024-11-03T00:00:00"/>
    <n v="314"/>
    <s v="Missouri"/>
    <s v="Central"/>
    <s v="Small Market"/>
    <s v="Beans"/>
    <x v="3"/>
    <x v="9"/>
    <s v="Regular"/>
    <n v="881"/>
    <n v="11"/>
    <x v="73"/>
    <n v="40"/>
    <n v="23"/>
    <n v="36"/>
    <n v="0.36359999999999998"/>
    <n v="140"/>
    <n v="50"/>
    <n v="90"/>
    <n v="0.64290000000000003"/>
  </r>
  <r>
    <s v="TXN-00882"/>
    <d v="2024-11-03T00:00:00"/>
    <n v="213"/>
    <s v="California"/>
    <s v="West"/>
    <s v="Major Market"/>
    <s v="Leaves"/>
    <x v="0"/>
    <x v="0"/>
    <s v="Regular"/>
    <n v="930"/>
    <n v="33"/>
    <x v="10"/>
    <n v="118"/>
    <n v="44"/>
    <n v="128"/>
    <n v="0.44140000000000001"/>
    <n v="210"/>
    <n v="80"/>
    <n v="110"/>
    <n v="0.52380000000000004"/>
  </r>
  <r>
    <s v="TXN-00883"/>
    <d v="2024-11-03T00:00:00"/>
    <n v="702"/>
    <s v="Nevada"/>
    <s v="West"/>
    <s v="Small Market"/>
    <s v="Leaves"/>
    <x v="2"/>
    <x v="8"/>
    <s v="Decaf"/>
    <n v="803"/>
    <n v="36"/>
    <x v="225"/>
    <n v="113"/>
    <n v="58"/>
    <n v="107"/>
    <n v="0.38490000000000002"/>
    <n v="250"/>
    <n v="100"/>
    <n v="100"/>
    <n v="0.4"/>
  </r>
  <r>
    <s v="TXN-00884"/>
    <d v="2024-11-04T00:00:00"/>
    <n v="504"/>
    <s v="Louisiana"/>
    <s v="South"/>
    <s v="Small Market"/>
    <s v="Beans"/>
    <x v="3"/>
    <x v="10"/>
    <s v="Regular"/>
    <n v="-762"/>
    <n v="54"/>
    <x v="130"/>
    <n v="60"/>
    <n v="83"/>
    <n v="1"/>
    <n v="6.4999999999999997E-3"/>
    <n v="90"/>
    <n v="30"/>
    <n v="10"/>
    <n v="0.1111"/>
  </r>
  <r>
    <s v="TXN-00885"/>
    <d v="2024-11-04T00:00:00"/>
    <n v="253"/>
    <s v="Washington"/>
    <s v="West"/>
    <s v="Small Market"/>
    <s v="Beans"/>
    <x v="1"/>
    <x v="11"/>
    <s v="Decaf"/>
    <n v="694"/>
    <n v="85"/>
    <x v="92"/>
    <n v="94"/>
    <n v="114"/>
    <n v="16"/>
    <n v="7.1400000000000005E-2"/>
    <n v="260"/>
    <n v="110"/>
    <n v="40"/>
    <n v="0.15379999999999999"/>
  </r>
  <r>
    <s v="TXN-00886"/>
    <d v="2024-11-05T00:00:00"/>
    <n v="775"/>
    <s v="Nevada"/>
    <s v="West"/>
    <s v="Small Market"/>
    <s v="Beans"/>
    <x v="3"/>
    <x v="6"/>
    <s v="Decaf"/>
    <n v="807"/>
    <n v="6"/>
    <x v="148"/>
    <n v="23"/>
    <n v="18"/>
    <n v="25"/>
    <n v="0.4032"/>
    <n v="50"/>
    <n v="20"/>
    <n v="20"/>
    <n v="0.4"/>
  </r>
  <r>
    <s v="TXN-00887"/>
    <d v="2024-11-05T00:00:00"/>
    <n v="351"/>
    <s v="Massachusetts"/>
    <s v="East"/>
    <s v="Major Market"/>
    <s v="Beans"/>
    <x v="1"/>
    <x v="5"/>
    <s v="Regular"/>
    <n v="-3534"/>
    <n v="22"/>
    <x v="232"/>
    <n v="67"/>
    <n v="53"/>
    <n v="579"/>
    <n v="1.0663"/>
    <n v="450"/>
    <n v="60"/>
    <n v="360"/>
    <n v="0.8"/>
  </r>
  <r>
    <s v="TXN-00888"/>
    <d v="2024-11-06T00:00:00"/>
    <n v="702"/>
    <s v="Nevada"/>
    <s v="West"/>
    <s v="Small Market"/>
    <s v="Beans"/>
    <x v="3"/>
    <x v="10"/>
    <s v="Regular"/>
    <n v="430"/>
    <n v="0"/>
    <x v="190"/>
    <n v="0"/>
    <n v="11"/>
    <n v="47"/>
    <n v="1.0217000000000001"/>
    <n v="30"/>
    <n v="0"/>
    <n v="30"/>
    <n v="1"/>
  </r>
  <r>
    <s v="TXN-00889"/>
    <d v="2024-11-06T00:00:00"/>
    <n v="937"/>
    <s v="Ohio"/>
    <s v="Central"/>
    <s v="Major Market"/>
    <s v="Beans"/>
    <x v="3"/>
    <x v="6"/>
    <s v="Decaf"/>
    <n v="410"/>
    <n v="20"/>
    <x v="50"/>
    <n v="55"/>
    <n v="53"/>
    <n v="24"/>
    <n v="0.18179999999999999"/>
    <n v="150"/>
    <n v="70"/>
    <n v="40"/>
    <n v="0.26669999999999999"/>
  </r>
  <r>
    <s v="TXN-00890"/>
    <d v="2024-11-06T00:00:00"/>
    <n v="772"/>
    <s v="Florida"/>
    <s v="East"/>
    <s v="Major Market"/>
    <s v="Beans"/>
    <x v="3"/>
    <x v="6"/>
    <s v="Decaf"/>
    <n v="557"/>
    <n v="25"/>
    <x v="233"/>
    <n v="77"/>
    <n v="52"/>
    <n v="76"/>
    <n v="0.39579999999999999"/>
    <n v="170"/>
    <n v="70"/>
    <n v="60"/>
    <n v="0.35289999999999999"/>
  </r>
  <r>
    <s v="TXN-00891"/>
    <d v="2024-11-07T00:00:00"/>
    <n v="774"/>
    <s v="Massachusetts"/>
    <s v="East"/>
    <s v="Major Market"/>
    <s v="Leaves"/>
    <x v="2"/>
    <x v="4"/>
    <s v="Decaf"/>
    <n v="422"/>
    <n v="17"/>
    <x v="204"/>
    <n v="46"/>
    <n v="50"/>
    <n v="10"/>
    <n v="9.0899999999999995E-2"/>
    <n v="70"/>
    <n v="30"/>
    <n v="10"/>
    <n v="0.1429"/>
  </r>
  <r>
    <s v="TXN-00892"/>
    <d v="2024-11-07T00:00:00"/>
    <n v="863"/>
    <s v="Florida"/>
    <s v="East"/>
    <s v="Major Market"/>
    <s v="Leaves"/>
    <x v="0"/>
    <x v="7"/>
    <s v="Regular"/>
    <n v="851"/>
    <n v="13"/>
    <x v="77"/>
    <n v="48"/>
    <n v="24"/>
    <n v="46"/>
    <n v="0.38979999999999998"/>
    <n v="120"/>
    <n v="50"/>
    <n v="60"/>
    <n v="0.5"/>
  </r>
  <r>
    <s v="TXN-00893"/>
    <d v="2024-11-07T00:00:00"/>
    <n v="918"/>
    <s v="Oklahoma"/>
    <s v="South"/>
    <s v="Small Market"/>
    <s v="Beans"/>
    <x v="1"/>
    <x v="5"/>
    <s v="Regular"/>
    <n v="561"/>
    <n v="29"/>
    <x v="198"/>
    <n v="88"/>
    <n v="41"/>
    <n v="71"/>
    <n v="0.35499999999999998"/>
    <n v="230"/>
    <n v="100"/>
    <n v="90"/>
    <n v="0.39129999999999998"/>
  </r>
  <r>
    <s v="TXN-00894"/>
    <d v="2024-11-07T00:00:00"/>
    <n v="813"/>
    <s v="Florida"/>
    <s v="East"/>
    <s v="Major Market"/>
    <s v="Beans"/>
    <x v="1"/>
    <x v="11"/>
    <s v="Decaf"/>
    <n v="690"/>
    <n v="41"/>
    <x v="56"/>
    <n v="134"/>
    <n v="64"/>
    <n v="122"/>
    <n v="0.38129999999999997"/>
    <n v="280"/>
    <n v="120"/>
    <n v="110"/>
    <n v="0.39290000000000003"/>
  </r>
  <r>
    <s v="TXN-00895"/>
    <d v="2024-11-07T00:00:00"/>
    <n v="719"/>
    <s v="Colorado"/>
    <s v="Central"/>
    <s v="Major Market"/>
    <s v="Leaves"/>
    <x v="0"/>
    <x v="7"/>
    <s v="Regular"/>
    <n v="561"/>
    <n v="29"/>
    <x v="198"/>
    <n v="88"/>
    <n v="42"/>
    <n v="70"/>
    <n v="0.35"/>
    <n v="160"/>
    <n v="70"/>
    <n v="60"/>
    <n v="0.375"/>
  </r>
  <r>
    <s v="TXN-00896"/>
    <d v="2024-11-08T00:00:00"/>
    <n v="214"/>
    <s v="Texas"/>
    <s v="South"/>
    <s v="Major Market"/>
    <s v="Leaves"/>
    <x v="2"/>
    <x v="4"/>
    <s v="Decaf"/>
    <n v="435"/>
    <n v="13"/>
    <x v="54"/>
    <n v="41"/>
    <n v="36"/>
    <n v="24"/>
    <n v="0.23760000000000001"/>
    <n v="90"/>
    <n v="30"/>
    <n v="30"/>
    <n v="0.33329999999999999"/>
  </r>
  <r>
    <s v="TXN-00897"/>
    <d v="2024-11-08T00:00:00"/>
    <n v="580"/>
    <s v="Oklahoma"/>
    <s v="South"/>
    <s v="Small Market"/>
    <s v="Leaves"/>
    <x v="2"/>
    <x v="4"/>
    <s v="Decaf"/>
    <n v="694"/>
    <n v="85"/>
    <x v="92"/>
    <n v="94"/>
    <n v="115"/>
    <n v="15"/>
    <n v="6.7000000000000004E-2"/>
    <n v="200"/>
    <n v="80"/>
    <n v="20"/>
    <n v="0.1"/>
  </r>
  <r>
    <s v="TXN-00898"/>
    <d v="2024-11-08T00:00:00"/>
    <n v="505"/>
    <s v="New Mexico"/>
    <s v="South"/>
    <s v="Small Market"/>
    <s v="Beans"/>
    <x v="1"/>
    <x v="11"/>
    <s v="Decaf"/>
    <n v="1898"/>
    <n v="28"/>
    <x v="59"/>
    <n v="92"/>
    <n v="52"/>
    <n v="16"/>
    <n v="0.1"/>
    <n v="190"/>
    <n v="100"/>
    <n v="40"/>
    <n v="0.21049999999999999"/>
  </r>
  <r>
    <s v="TXN-00899"/>
    <d v="2024-11-08T00:00:00"/>
    <n v="718"/>
    <s v="New York"/>
    <s v="East"/>
    <s v="Major Market"/>
    <s v="Beans"/>
    <x v="3"/>
    <x v="12"/>
    <s v="Regular"/>
    <n v="1197"/>
    <n v="66"/>
    <x v="234"/>
    <n v="239"/>
    <n v="91"/>
    <n v="435"/>
    <n v="0.56859999999999999"/>
    <n v="720"/>
    <n v="210"/>
    <n v="450"/>
    <n v="0.625"/>
  </r>
  <r>
    <s v="TXN-00900"/>
    <d v="2024-11-09T00:00:00"/>
    <n v="309"/>
    <s v="Illinois"/>
    <s v="Central"/>
    <s v="Major Market"/>
    <s v="Leaves"/>
    <x v="0"/>
    <x v="0"/>
    <s v="Regular"/>
    <n v="601"/>
    <n v="15"/>
    <x v="2"/>
    <n v="54"/>
    <n v="26"/>
    <n v="53"/>
    <n v="0.39850000000000002"/>
    <n v="110"/>
    <n v="40"/>
    <n v="50"/>
    <n v="0.45450000000000002"/>
  </r>
  <r>
    <s v="TXN-00901"/>
    <d v="2024-11-09T00:00:00"/>
    <n v="314"/>
    <s v="Missouri"/>
    <s v="Central"/>
    <s v="Small Market"/>
    <s v="Leaves"/>
    <x v="0"/>
    <x v="7"/>
    <s v="Regular"/>
    <n v="240"/>
    <n v="12"/>
    <x v="125"/>
    <n v="34"/>
    <n v="46"/>
    <n v="-3"/>
    <n v="-3.9E-2"/>
    <n v="40"/>
    <n v="10"/>
    <n v="10"/>
    <n v="0.25"/>
  </r>
  <r>
    <s v="TXN-00902"/>
    <d v="2024-11-10T00:00:00"/>
    <n v="303"/>
    <s v="Colorado"/>
    <s v="Central"/>
    <s v="Major Market"/>
    <s v="Leaves"/>
    <x v="0"/>
    <x v="3"/>
    <s v="Regular"/>
    <n v="1054"/>
    <n v="16"/>
    <x v="44"/>
    <n v="53"/>
    <n v="37"/>
    <n v="26"/>
    <n v="0.22409999999999999"/>
    <n v="90"/>
    <n v="40"/>
    <n v="20"/>
    <n v="0.22220000000000001"/>
  </r>
  <r>
    <s v="TXN-00903"/>
    <d v="2024-11-10T00:00:00"/>
    <n v="407"/>
    <s v="Florida"/>
    <s v="East"/>
    <s v="Major Market"/>
    <s v="Beans"/>
    <x v="1"/>
    <x v="5"/>
    <s v="Regular"/>
    <n v="788"/>
    <n v="27"/>
    <x v="41"/>
    <n v="82"/>
    <n v="59"/>
    <n v="64"/>
    <n v="0.31219999999999998"/>
    <n v="170"/>
    <n v="60"/>
    <n v="90"/>
    <n v="0.52939999999999998"/>
  </r>
  <r>
    <s v="TXN-00904"/>
    <d v="2024-11-10T00:00:00"/>
    <n v="708"/>
    <s v="Illinois"/>
    <s v="Central"/>
    <s v="Major Market"/>
    <s v="Leaves"/>
    <x v="2"/>
    <x v="8"/>
    <s v="Decaf"/>
    <n v="984"/>
    <n v="22"/>
    <x v="217"/>
    <n v="81"/>
    <n v="33"/>
    <n v="125"/>
    <n v="0.59240000000000004"/>
    <n v="180"/>
    <n v="70"/>
    <n v="80"/>
    <n v="0.44440000000000002"/>
  </r>
  <r>
    <s v="TXN-00905"/>
    <d v="2024-11-10T00:00:00"/>
    <n v="312"/>
    <s v="Illinois"/>
    <s v="Central"/>
    <s v="Major Market"/>
    <s v="Leaves"/>
    <x v="2"/>
    <x v="8"/>
    <s v="Decaf"/>
    <n v="1003"/>
    <n v="24"/>
    <x v="92"/>
    <n v="86"/>
    <n v="36"/>
    <n v="131"/>
    <n v="0.58479999999999999"/>
    <n v="190"/>
    <n v="80"/>
    <n v="80"/>
    <n v="0.42109999999999997"/>
  </r>
  <r>
    <s v="TXN-00906"/>
    <d v="2024-11-11T00:00:00"/>
    <n v="959"/>
    <s v="Connecticut"/>
    <s v="East"/>
    <s v="Small Market"/>
    <s v="Leaves"/>
    <x v="2"/>
    <x v="8"/>
    <s v="Decaf"/>
    <n v="1060"/>
    <n v="21"/>
    <x v="59"/>
    <n v="69"/>
    <n v="43"/>
    <n v="56"/>
    <n v="0.35"/>
    <n v="100"/>
    <n v="50"/>
    <n v="30"/>
    <n v="0.3"/>
  </r>
  <r>
    <s v="TXN-00907"/>
    <d v="2024-11-11T00:00:00"/>
    <n v="959"/>
    <s v="Connecticut"/>
    <s v="East"/>
    <s v="Small Market"/>
    <s v="Leaves"/>
    <x v="0"/>
    <x v="7"/>
    <s v="Regular"/>
    <n v="818"/>
    <n v="9"/>
    <x v="172"/>
    <n v="33"/>
    <n v="21"/>
    <n v="42"/>
    <n v="0.48280000000000001"/>
    <n v="80"/>
    <n v="30"/>
    <n v="40"/>
    <n v="0.5"/>
  </r>
  <r>
    <s v="TXN-00908"/>
    <d v="2024-11-11T00:00:00"/>
    <n v="775"/>
    <s v="Nevada"/>
    <s v="West"/>
    <s v="Small Market"/>
    <s v="Beans"/>
    <x v="3"/>
    <x v="10"/>
    <s v="Regular"/>
    <n v="387"/>
    <n v="0"/>
    <x v="190"/>
    <n v="0"/>
    <n v="12"/>
    <n v="46"/>
    <n v="1"/>
    <n v="40"/>
    <n v="0"/>
    <n v="30"/>
    <n v="0.75"/>
  </r>
  <r>
    <s v="TXN-00909"/>
    <d v="2024-11-11T00:00:00"/>
    <n v="239"/>
    <s v="Florida"/>
    <s v="East"/>
    <s v="Major Market"/>
    <s v="Beans"/>
    <x v="3"/>
    <x v="6"/>
    <s v="Decaf"/>
    <n v="547"/>
    <n v="28"/>
    <x v="228"/>
    <n v="86"/>
    <n v="56"/>
    <n v="60"/>
    <n v="0.29699999999999999"/>
    <n v="180"/>
    <n v="70"/>
    <n v="90"/>
    <n v="0.5"/>
  </r>
  <r>
    <s v="TXN-00910"/>
    <d v="2024-11-12T00:00:00"/>
    <n v="863"/>
    <s v="Florida"/>
    <s v="East"/>
    <s v="Major Market"/>
    <s v="Leaves"/>
    <x v="0"/>
    <x v="7"/>
    <s v="Regular"/>
    <n v="863"/>
    <n v="9"/>
    <x v="138"/>
    <n v="34"/>
    <n v="21"/>
    <n v="30"/>
    <n v="0.35289999999999999"/>
    <n v="80"/>
    <n v="30"/>
    <n v="40"/>
    <n v="0.5"/>
  </r>
  <r>
    <s v="TXN-00911"/>
    <d v="2024-11-12T00:00:00"/>
    <n v="630"/>
    <s v="Illinois"/>
    <s v="Central"/>
    <s v="Major Market"/>
    <s v="Leaves"/>
    <x v="0"/>
    <x v="3"/>
    <s v="Regular"/>
    <n v="659"/>
    <n v="24"/>
    <x v="62"/>
    <n v="75"/>
    <n v="55"/>
    <n v="59"/>
    <n v="0.31219999999999998"/>
    <n v="150"/>
    <n v="60"/>
    <n v="50"/>
    <n v="0.33329999999999999"/>
  </r>
  <r>
    <s v="TXN-00912"/>
    <d v="2024-11-12T00:00:00"/>
    <n v="641"/>
    <s v="Iowa"/>
    <s v="Central"/>
    <s v="Small Market"/>
    <s v="Beans"/>
    <x v="1"/>
    <x v="11"/>
    <s v="Decaf"/>
    <n v="596"/>
    <n v="3"/>
    <x v="49"/>
    <n v="10"/>
    <n v="16"/>
    <n v="-3"/>
    <n v="-0.13039999999999999"/>
    <n v="20"/>
    <n v="0"/>
    <n v="10"/>
    <n v="0.5"/>
  </r>
  <r>
    <s v="TXN-00913"/>
    <d v="2024-11-12T00:00:00"/>
    <n v="435"/>
    <s v="Utah"/>
    <s v="West"/>
    <s v="Small Market"/>
    <s v="Beans"/>
    <x v="3"/>
    <x v="9"/>
    <s v="Regular"/>
    <n v="540"/>
    <n v="31"/>
    <x v="8"/>
    <n v="94"/>
    <n v="43"/>
    <n v="114"/>
    <n v="0.5"/>
    <n v="200"/>
    <n v="90"/>
    <n v="70"/>
    <n v="0.35"/>
  </r>
  <r>
    <s v="TXN-00914"/>
    <d v="2024-11-13T00:00:00"/>
    <n v="954"/>
    <s v="Florida"/>
    <s v="East"/>
    <s v="Major Market"/>
    <s v="Leaves"/>
    <x v="2"/>
    <x v="4"/>
    <s v="Decaf"/>
    <n v="403"/>
    <n v="24"/>
    <x v="143"/>
    <n v="65"/>
    <n v="57"/>
    <n v="23"/>
    <n v="0.15859999999999999"/>
    <n v="100"/>
    <n v="40"/>
    <n v="20"/>
    <n v="0.2"/>
  </r>
  <r>
    <s v="TXN-00915"/>
    <d v="2024-11-13T00:00:00"/>
    <n v="509"/>
    <s v="Washington"/>
    <s v="West"/>
    <s v="Small Market"/>
    <s v="Leaves"/>
    <x v="0"/>
    <x v="3"/>
    <s v="Regular"/>
    <n v="466"/>
    <n v="13"/>
    <x v="110"/>
    <n v="43"/>
    <n v="35"/>
    <n v="28"/>
    <n v="0.26419999999999999"/>
    <n v="70"/>
    <n v="30"/>
    <n v="20"/>
    <n v="0.28570000000000001"/>
  </r>
  <r>
    <s v="TXN-00916"/>
    <d v="2024-11-13T00:00:00"/>
    <n v="435"/>
    <s v="Utah"/>
    <s v="West"/>
    <s v="Small Market"/>
    <s v="Leaves"/>
    <x v="2"/>
    <x v="8"/>
    <s v="Decaf"/>
    <n v="1804"/>
    <n v="25"/>
    <x v="174"/>
    <n v="82"/>
    <n v="48"/>
    <n v="-12"/>
    <n v="-9.2299999999999993E-2"/>
    <n v="110"/>
    <n v="70"/>
    <n v="0"/>
    <n v="0"/>
  </r>
  <r>
    <s v="TXN-00917"/>
    <d v="2024-11-13T00:00:00"/>
    <n v="918"/>
    <s v="Oklahoma"/>
    <s v="South"/>
    <s v="Small Market"/>
    <s v="Beans"/>
    <x v="3"/>
    <x v="10"/>
    <s v="Regular"/>
    <n v="-2003"/>
    <n v="31"/>
    <x v="152"/>
    <n v="102"/>
    <n v="54"/>
    <n v="89"/>
    <n v="0.36330000000000001"/>
    <n v="180"/>
    <n v="80"/>
    <n v="60"/>
    <n v="0.33329999999999999"/>
  </r>
  <r>
    <s v="TXN-00918"/>
    <d v="2024-11-14T00:00:00"/>
    <n v="505"/>
    <s v="New Mexico"/>
    <s v="South"/>
    <s v="Small Market"/>
    <s v="Leaves"/>
    <x v="2"/>
    <x v="2"/>
    <s v="Decaf"/>
    <n v="851"/>
    <n v="4"/>
    <x v="70"/>
    <n v="16"/>
    <n v="16"/>
    <n v="9"/>
    <n v="0.2195"/>
    <n v="30"/>
    <n v="10"/>
    <n v="10"/>
    <n v="0.33329999999999999"/>
  </r>
  <r>
    <s v="TXN-00919"/>
    <d v="2024-11-14T00:00:00"/>
    <n v="626"/>
    <s v="California"/>
    <s v="West"/>
    <s v="Major Market"/>
    <s v="Leaves"/>
    <x v="2"/>
    <x v="2"/>
    <s v="Decaf"/>
    <n v="1003"/>
    <n v="24"/>
    <x v="169"/>
    <n v="86"/>
    <n v="35"/>
    <n v="89"/>
    <n v="0.42380000000000001"/>
    <n v="190"/>
    <n v="80"/>
    <n v="80"/>
    <n v="0.42109999999999997"/>
  </r>
  <r>
    <s v="TXN-00920"/>
    <d v="2024-11-14T00:00:00"/>
    <n v="775"/>
    <s v="Nevada"/>
    <s v="West"/>
    <s v="Small Market"/>
    <s v="Leaves"/>
    <x v="0"/>
    <x v="7"/>
    <s v="Regular"/>
    <n v="7653"/>
    <n v="93"/>
    <x v="235"/>
    <n v="245"/>
    <n v="127"/>
    <n v="-505"/>
    <n v="-14.8529"/>
    <n v="0"/>
    <n v="180"/>
    <n v="-280"/>
    <e v="#DIV/0!"/>
  </r>
  <r>
    <s v="TXN-00921"/>
    <d v="2024-11-15T00:00:00"/>
    <n v="515"/>
    <s v="Iowa"/>
    <s v="Central"/>
    <s v="Small Market"/>
    <s v="Leaves"/>
    <x v="0"/>
    <x v="3"/>
    <s v="Regular"/>
    <n v="1756"/>
    <n v="96"/>
    <x v="236"/>
    <n v="255"/>
    <n v="129"/>
    <n v="272"/>
    <n v="0.45029999999999998"/>
    <n v="400"/>
    <n v="170"/>
    <n v="130"/>
    <n v="0.32500000000000001"/>
  </r>
  <r>
    <s v="TXN-00922"/>
    <d v="2024-11-16T00:00:00"/>
    <n v="603"/>
    <s v="New Hampshire"/>
    <s v="East"/>
    <s v="Small Market"/>
    <s v="Leaves"/>
    <x v="0"/>
    <x v="7"/>
    <s v="Regular"/>
    <n v="430"/>
    <n v="0"/>
    <x v="101"/>
    <n v="0"/>
    <n v="11"/>
    <n v="32"/>
    <n v="0.74419999999999997"/>
    <n v="40"/>
    <n v="0"/>
    <n v="40"/>
    <n v="1"/>
  </r>
  <r>
    <s v="TXN-00923"/>
    <d v="2024-11-16T00:00:00"/>
    <n v="603"/>
    <s v="New Hampshire"/>
    <s v="East"/>
    <s v="Small Market"/>
    <s v="Leaves"/>
    <x v="0"/>
    <x v="7"/>
    <s v="Regular"/>
    <n v="344"/>
    <n v="0"/>
    <x v="190"/>
    <n v="0"/>
    <n v="11"/>
    <n v="47"/>
    <n v="1.0217000000000001"/>
    <n v="40"/>
    <n v="0"/>
    <n v="30"/>
    <n v="0.75"/>
  </r>
  <r>
    <s v="TXN-00924"/>
    <d v="2024-11-16T00:00:00"/>
    <n v="516"/>
    <s v="New York"/>
    <s v="East"/>
    <s v="Major Market"/>
    <s v="Leaves"/>
    <x v="0"/>
    <x v="0"/>
    <s v="Regular"/>
    <n v="971"/>
    <n v="30"/>
    <x v="223"/>
    <n v="108"/>
    <n v="42"/>
    <n v="115"/>
    <n v="0.434"/>
    <n v="280"/>
    <n v="110"/>
    <n v="140"/>
    <n v="0.5"/>
  </r>
  <r>
    <s v="TXN-00925"/>
    <d v="2024-11-16T00:00:00"/>
    <n v="573"/>
    <s v="Missouri"/>
    <s v="Central"/>
    <s v="Small Market"/>
    <s v="Leaves"/>
    <x v="2"/>
    <x v="4"/>
    <s v="Decaf"/>
    <n v="1698"/>
    <n v="26"/>
    <x v="97"/>
    <n v="86"/>
    <n v="49"/>
    <n v="-26"/>
    <n v="-0.23849999999999999"/>
    <n v="80"/>
    <n v="60"/>
    <n v="10"/>
    <n v="0.125"/>
  </r>
  <r>
    <s v="TXN-00926"/>
    <d v="2024-11-16T00:00:00"/>
    <n v="224"/>
    <s v="Illinois"/>
    <s v="Central"/>
    <s v="Major Market"/>
    <s v="Beans"/>
    <x v="3"/>
    <x v="9"/>
    <s v="Regular"/>
    <n v="1691"/>
    <n v="75"/>
    <x v="195"/>
    <n v="228"/>
    <n v="108"/>
    <n v="196"/>
    <n v="0.36840000000000001"/>
    <n v="680"/>
    <n v="290"/>
    <n v="290"/>
    <n v="0.42649999999999999"/>
  </r>
  <r>
    <s v="TXN-00927"/>
    <d v="2024-11-17T00:00:00"/>
    <n v="512"/>
    <s v="Texas"/>
    <s v="South"/>
    <s v="Major Market"/>
    <s v="Beans"/>
    <x v="3"/>
    <x v="10"/>
    <s v="Regular"/>
    <n v="-1239"/>
    <n v="22"/>
    <x v="23"/>
    <n v="67"/>
    <n v="54"/>
    <n v="47"/>
    <n v="0.27979999999999999"/>
    <n v="120"/>
    <n v="50"/>
    <n v="30"/>
    <n v="0.25"/>
  </r>
  <r>
    <s v="TXN-00928"/>
    <d v="2024-11-17T00:00:00"/>
    <n v="985"/>
    <s v="Louisiana"/>
    <s v="South"/>
    <s v="Small Market"/>
    <s v="Leaves"/>
    <x v="2"/>
    <x v="4"/>
    <s v="Decaf"/>
    <n v="619"/>
    <n v="25"/>
    <x v="130"/>
    <n v="68"/>
    <n v="59"/>
    <n v="26"/>
    <n v="0.1699"/>
    <n v="140"/>
    <n v="60"/>
    <n v="30"/>
    <n v="0.21429999999999999"/>
  </r>
  <r>
    <s v="TXN-00929"/>
    <d v="2024-11-17T00:00:00"/>
    <n v="702"/>
    <s v="Nevada"/>
    <s v="West"/>
    <s v="Small Market"/>
    <s v="Leaves"/>
    <x v="2"/>
    <x v="2"/>
    <s v="Decaf"/>
    <n v="898"/>
    <n v="113"/>
    <x v="38"/>
    <n v="125"/>
    <n v="147"/>
    <n v="39"/>
    <n v="0.1226"/>
    <n v="240"/>
    <n v="90"/>
    <n v="60"/>
    <n v="0.25"/>
  </r>
  <r>
    <s v="TXN-00930"/>
    <d v="2024-11-19T00:00:00"/>
    <n v="262"/>
    <s v="Wisconsin"/>
    <s v="Central"/>
    <s v="Small Market"/>
    <s v="Beans"/>
    <x v="3"/>
    <x v="6"/>
    <s v="Decaf"/>
    <n v="567"/>
    <n v="7"/>
    <x v="166"/>
    <n v="24"/>
    <n v="19"/>
    <n v="13"/>
    <n v="0.2321"/>
    <n v="70"/>
    <n v="30"/>
    <n v="30"/>
    <n v="0.42859999999999998"/>
  </r>
  <r>
    <s v="TXN-00931"/>
    <d v="2024-11-19T00:00:00"/>
    <n v="959"/>
    <s v="Connecticut"/>
    <s v="East"/>
    <s v="Small Market"/>
    <s v="Beans"/>
    <x v="3"/>
    <x v="6"/>
    <s v="Decaf"/>
    <n v="392"/>
    <n v="16"/>
    <x v="13"/>
    <n v="49"/>
    <n v="44"/>
    <n v="21"/>
    <n v="0.1842"/>
    <n v="110"/>
    <n v="40"/>
    <n v="40"/>
    <n v="0.36359999999999998"/>
  </r>
  <r>
    <s v="TXN-00932"/>
    <d v="2024-11-19T00:00:00"/>
    <n v="561"/>
    <s v="Florida"/>
    <s v="East"/>
    <s v="Major Market"/>
    <s v="Beans"/>
    <x v="3"/>
    <x v="6"/>
    <s v="Decaf"/>
    <n v="557"/>
    <n v="25"/>
    <x v="134"/>
    <n v="77"/>
    <n v="52"/>
    <n v="51"/>
    <n v="0.2833"/>
    <n v="170"/>
    <n v="70"/>
    <n v="60"/>
    <n v="0.35289999999999999"/>
  </r>
  <r>
    <s v="TXN-00933"/>
    <d v="2024-11-19T00:00:00"/>
    <n v="619"/>
    <s v="California"/>
    <s v="West"/>
    <s v="Major Market"/>
    <s v="Beans"/>
    <x v="1"/>
    <x v="1"/>
    <s v="Regular"/>
    <n v="2758"/>
    <n v="36"/>
    <x v="44"/>
    <n v="113"/>
    <n v="59"/>
    <n v="-56"/>
    <n v="-0.48280000000000001"/>
    <n v="130"/>
    <n v="130"/>
    <n v="-50"/>
    <n v="-0.3846"/>
  </r>
  <r>
    <s v="TXN-00934"/>
    <d v="2024-11-20T00:00:00"/>
    <n v="712"/>
    <s v="Iowa"/>
    <s v="Central"/>
    <s v="Small Market"/>
    <s v="Beans"/>
    <x v="3"/>
    <x v="6"/>
    <s v="Decaf"/>
    <n v="430"/>
    <n v="0"/>
    <x v="101"/>
    <n v="0"/>
    <n v="12"/>
    <n v="31"/>
    <n v="0.72089999999999999"/>
    <n v="60"/>
    <n v="0"/>
    <n v="60"/>
    <n v="1"/>
  </r>
  <r>
    <s v="TXN-00935"/>
    <d v="2024-11-20T00:00:00"/>
    <n v="541"/>
    <s v="Oregon"/>
    <s v="West"/>
    <s v="Small Market"/>
    <s v="Beans"/>
    <x v="1"/>
    <x v="1"/>
    <s v="Regular"/>
    <n v="521"/>
    <n v="42"/>
    <x v="124"/>
    <n v="47"/>
    <n v="72"/>
    <n v="-10"/>
    <n v="-8.4000000000000005E-2"/>
    <n v="130"/>
    <n v="50"/>
    <n v="20"/>
    <n v="0.15379999999999999"/>
  </r>
  <r>
    <s v="TXN-00936"/>
    <d v="2024-11-20T00:00:00"/>
    <n v="435"/>
    <s v="Utah"/>
    <s v="West"/>
    <s v="Small Market"/>
    <s v="Beans"/>
    <x v="3"/>
    <x v="9"/>
    <s v="Regular"/>
    <n v="552"/>
    <n v="33"/>
    <x v="219"/>
    <n v="101"/>
    <n v="45"/>
    <n v="85"/>
    <n v="0.36799999999999999"/>
    <n v="220"/>
    <n v="90"/>
    <n v="90"/>
    <n v="0.40910000000000002"/>
  </r>
  <r>
    <s v="TXN-00937"/>
    <d v="2024-11-21T00:00:00"/>
    <n v="337"/>
    <s v="Louisiana"/>
    <s v="South"/>
    <s v="Small Market"/>
    <s v="Beans"/>
    <x v="3"/>
    <x v="6"/>
    <s v="Decaf"/>
    <n v="454"/>
    <n v="15"/>
    <x v="0"/>
    <n v="49"/>
    <n v="37"/>
    <n v="50"/>
    <n v="0.3906"/>
    <n v="90"/>
    <n v="30"/>
    <n v="30"/>
    <n v="0.33329999999999999"/>
  </r>
  <r>
    <s v="TXN-00938"/>
    <d v="2024-11-21T00:00:00"/>
    <n v="419"/>
    <s v="Ohio"/>
    <s v="Central"/>
    <s v="Major Market"/>
    <s v="Leaves"/>
    <x v="2"/>
    <x v="4"/>
    <s v="Decaf"/>
    <n v="862"/>
    <n v="10"/>
    <x v="64"/>
    <n v="36"/>
    <n v="22"/>
    <n v="45"/>
    <n v="0.47870000000000001"/>
    <n v="80"/>
    <n v="30"/>
    <n v="40"/>
    <n v="0.5"/>
  </r>
  <r>
    <s v="TXN-00939"/>
    <d v="2024-11-21T00:00:00"/>
    <n v="603"/>
    <s v="New Hampshire"/>
    <s v="East"/>
    <s v="Small Market"/>
    <s v="Beans"/>
    <x v="1"/>
    <x v="1"/>
    <s v="Regular"/>
    <n v="327"/>
    <n v="16"/>
    <x v="117"/>
    <n v="52"/>
    <n v="38"/>
    <n v="37"/>
    <n v="0.2913"/>
    <n v="110"/>
    <n v="40"/>
    <n v="50"/>
    <n v="0.45450000000000002"/>
  </r>
  <r>
    <s v="TXN-00940"/>
    <d v="2024-11-21T00:00:00"/>
    <n v="515"/>
    <s v="Iowa"/>
    <s v="Central"/>
    <s v="Small Market"/>
    <s v="Beans"/>
    <x v="1"/>
    <x v="1"/>
    <s v="Regular"/>
    <n v="846"/>
    <n v="5"/>
    <x v="27"/>
    <n v="21"/>
    <n v="16"/>
    <n v="22"/>
    <n v="0.4"/>
    <n v="40"/>
    <n v="10"/>
    <n v="30"/>
    <n v="0.75"/>
  </r>
  <r>
    <s v="TXN-00941"/>
    <d v="2024-11-21T00:00:00"/>
    <n v="432"/>
    <s v="Texas"/>
    <s v="South"/>
    <s v="Major Market"/>
    <s v="Beans"/>
    <x v="3"/>
    <x v="6"/>
    <s v="Decaf"/>
    <n v="580"/>
    <n v="21"/>
    <x v="131"/>
    <n v="76"/>
    <n v="33"/>
    <n v="116"/>
    <n v="0.58289999999999997"/>
    <n v="120"/>
    <n v="40"/>
    <n v="80"/>
    <n v="0.66669999999999996"/>
  </r>
  <r>
    <s v="TXN-00942"/>
    <d v="2024-11-22T00:00:00"/>
    <n v="970"/>
    <s v="Colorado"/>
    <s v="Central"/>
    <s v="Major Market"/>
    <s v="Leaves"/>
    <x v="2"/>
    <x v="8"/>
    <s v="Decaf"/>
    <n v="411"/>
    <n v="19"/>
    <x v="14"/>
    <n v="59"/>
    <n v="47"/>
    <n v="47"/>
    <n v="0.31969999999999998"/>
    <n v="120"/>
    <n v="50"/>
    <n v="40"/>
    <n v="0.33329999999999999"/>
  </r>
  <r>
    <s v="TXN-00943"/>
    <d v="2024-11-23T00:00:00"/>
    <n v="603"/>
    <s v="New Hampshire"/>
    <s v="East"/>
    <s v="Small Market"/>
    <s v="Beans"/>
    <x v="3"/>
    <x v="9"/>
    <s v="Regular"/>
    <n v="335"/>
    <n v="44"/>
    <x v="77"/>
    <n v="49"/>
    <n v="73"/>
    <n v="-4"/>
    <n v="-3.39E-2"/>
    <n v="110"/>
    <n v="40"/>
    <n v="10"/>
    <n v="9.0899999999999995E-2"/>
  </r>
  <r>
    <s v="TXN-00944"/>
    <d v="2024-11-23T00:00:00"/>
    <n v="435"/>
    <s v="Utah"/>
    <s v="West"/>
    <s v="Small Market"/>
    <s v="Leaves"/>
    <x v="0"/>
    <x v="7"/>
    <s v="Regular"/>
    <n v="209"/>
    <n v="9"/>
    <x v="166"/>
    <n v="25"/>
    <n v="43"/>
    <n v="-12"/>
    <n v="-0.21429999999999999"/>
    <n v="20"/>
    <n v="0"/>
    <n v="10"/>
    <n v="0.5"/>
  </r>
  <r>
    <s v="TXN-00945"/>
    <d v="2024-11-24T00:00:00"/>
    <n v="203"/>
    <s v="Connecticut"/>
    <s v="East"/>
    <s v="Small Market"/>
    <s v="Leaves"/>
    <x v="2"/>
    <x v="4"/>
    <s v="Decaf"/>
    <n v="593"/>
    <n v="30"/>
    <x v="62"/>
    <n v="79"/>
    <n v="64"/>
    <n v="50"/>
    <n v="0.2646"/>
    <n v="90"/>
    <n v="40"/>
    <n v="30"/>
    <n v="0.33329999999999999"/>
  </r>
  <r>
    <s v="TXN-00946"/>
    <d v="2024-11-24T00:00:00"/>
    <n v="337"/>
    <s v="Louisiana"/>
    <s v="South"/>
    <s v="Small Market"/>
    <s v="Beans"/>
    <x v="1"/>
    <x v="5"/>
    <s v="Regular"/>
    <n v="829"/>
    <n v="13"/>
    <x v="117"/>
    <n v="48"/>
    <n v="24"/>
    <n v="70"/>
    <n v="0.55120000000000002"/>
    <n v="160"/>
    <n v="70"/>
    <n v="80"/>
    <n v="0.5"/>
  </r>
  <r>
    <s v="TXN-00947"/>
    <d v="2024-11-24T00:00:00"/>
    <n v="626"/>
    <s v="California"/>
    <s v="West"/>
    <s v="Major Market"/>
    <s v="Beans"/>
    <x v="1"/>
    <x v="5"/>
    <s v="Regular"/>
    <n v="2548"/>
    <n v="91"/>
    <x v="112"/>
    <n v="260"/>
    <n v="143"/>
    <n v="247"/>
    <n v="0.38"/>
    <n v="960"/>
    <n v="380"/>
    <n v="470"/>
    <n v="0.48959999999999998"/>
  </r>
  <r>
    <s v="TXN-00948"/>
    <d v="2024-11-24T00:00:00"/>
    <n v="714"/>
    <s v="California"/>
    <s v="West"/>
    <s v="Major Market"/>
    <s v="Beans"/>
    <x v="1"/>
    <x v="11"/>
    <s v="Decaf"/>
    <n v="4216"/>
    <n v="73"/>
    <x v="233"/>
    <n v="224"/>
    <n v="117"/>
    <n v="-149"/>
    <n v="-0.77600000000000002"/>
    <n v="220"/>
    <n v="260"/>
    <n v="-150"/>
    <n v="-0.68179999999999996"/>
  </r>
  <r>
    <s v="TXN-00949"/>
    <d v="2024-11-24T00:00:00"/>
    <n v="503"/>
    <s v="Oregon"/>
    <s v="West"/>
    <s v="Small Market"/>
    <s v="Leaves"/>
    <x v="2"/>
    <x v="4"/>
    <s v="Decaf"/>
    <n v="551"/>
    <n v="26"/>
    <x v="108"/>
    <n v="81"/>
    <n v="38"/>
    <n v="98"/>
    <n v="0.4975"/>
    <n v="170"/>
    <n v="70"/>
    <n v="70"/>
    <n v="0.4118"/>
  </r>
  <r>
    <s v="TXN-00950"/>
    <d v="2024-11-25T00:00:00"/>
    <n v="469"/>
    <s v="Texas"/>
    <s v="South"/>
    <s v="Major Market"/>
    <s v="Leaves"/>
    <x v="2"/>
    <x v="2"/>
    <s v="Decaf"/>
    <n v="424"/>
    <n v="17"/>
    <x v="117"/>
    <n v="54"/>
    <n v="45"/>
    <n v="28"/>
    <n v="0.2205"/>
    <n v="110"/>
    <n v="50"/>
    <n v="30"/>
    <n v="0.2727"/>
  </r>
  <r>
    <s v="TXN-00951"/>
    <d v="2024-11-25T00:00:00"/>
    <n v="603"/>
    <s v="New Hampshire"/>
    <s v="East"/>
    <s v="Small Market"/>
    <s v="Leaves"/>
    <x v="0"/>
    <x v="0"/>
    <s v="Regular"/>
    <n v="846"/>
    <n v="5"/>
    <x v="27"/>
    <n v="21"/>
    <n v="17"/>
    <n v="21"/>
    <n v="0.38179999999999997"/>
    <n v="50"/>
    <n v="20"/>
    <n v="30"/>
    <n v="0.6"/>
  </r>
  <r>
    <s v="TXN-00952"/>
    <d v="2024-11-25T00:00:00"/>
    <n v="217"/>
    <s v="Illinois"/>
    <s v="Central"/>
    <s v="Major Market"/>
    <s v="Leaves"/>
    <x v="0"/>
    <x v="0"/>
    <s v="Regular"/>
    <n v="580"/>
    <n v="21"/>
    <x v="163"/>
    <n v="76"/>
    <n v="33"/>
    <n v="78"/>
    <n v="0.41710000000000003"/>
    <n v="130"/>
    <n v="50"/>
    <n v="80"/>
    <n v="0.61539999999999995"/>
  </r>
  <r>
    <s v="TXN-00953"/>
    <d v="2024-11-25T00:00:00"/>
    <n v="510"/>
    <s v="California"/>
    <s v="West"/>
    <s v="Major Market"/>
    <s v="Leaves"/>
    <x v="0"/>
    <x v="7"/>
    <s v="Regular"/>
    <n v="677"/>
    <n v="22"/>
    <x v="99"/>
    <n v="67"/>
    <n v="54"/>
    <n v="70"/>
    <n v="0.3911"/>
    <n v="120"/>
    <n v="40"/>
    <n v="50"/>
    <n v="0.41670000000000001"/>
  </r>
  <r>
    <s v="TXN-00954"/>
    <d v="2024-11-26T00:00:00"/>
    <n v="318"/>
    <s v="Louisiana"/>
    <s v="South"/>
    <s v="Small Market"/>
    <s v="Beans"/>
    <x v="3"/>
    <x v="10"/>
    <s v="Regular"/>
    <n v="-762"/>
    <n v="54"/>
    <x v="114"/>
    <n v="60"/>
    <n v="83"/>
    <n v="1"/>
    <n v="6.8999999999999999E-3"/>
    <n v="90"/>
    <n v="30"/>
    <n v="10"/>
    <n v="0.1111"/>
  </r>
  <r>
    <s v="TXN-00955"/>
    <d v="2024-11-26T00:00:00"/>
    <n v="414"/>
    <s v="Wisconsin"/>
    <s v="Central"/>
    <s v="Small Market"/>
    <s v="Beans"/>
    <x v="1"/>
    <x v="5"/>
    <s v="Regular"/>
    <n v="683"/>
    <n v="87"/>
    <x v="152"/>
    <n v="96"/>
    <n v="116"/>
    <n v="27"/>
    <n v="0.11020000000000001"/>
    <n v="230"/>
    <n v="90"/>
    <n v="60"/>
    <n v="0.26090000000000002"/>
  </r>
  <r>
    <s v="TXN-00956"/>
    <d v="2024-11-27T00:00:00"/>
    <n v="650"/>
    <s v="California"/>
    <s v="West"/>
    <s v="Major Market"/>
    <s v="Leaves"/>
    <x v="0"/>
    <x v="3"/>
    <s v="Regular"/>
    <n v="589"/>
    <n v="14"/>
    <x v="57"/>
    <n v="50"/>
    <n v="26"/>
    <n v="47"/>
    <n v="0.3821"/>
    <n v="80"/>
    <n v="30"/>
    <n v="40"/>
    <n v="0.5"/>
  </r>
  <r>
    <s v="TXN-00957"/>
    <d v="2024-11-27T00:00:00"/>
    <n v="702"/>
    <s v="Nevada"/>
    <s v="West"/>
    <s v="Small Market"/>
    <s v="Leaves"/>
    <x v="0"/>
    <x v="3"/>
    <s v="Regular"/>
    <n v="1820"/>
    <n v="70"/>
    <x v="72"/>
    <n v="250"/>
    <n v="94"/>
    <n v="157"/>
    <n v="0.31340000000000001"/>
    <n v="360"/>
    <n v="180"/>
    <n v="100"/>
    <n v="0.27779999999999999"/>
  </r>
  <r>
    <s v="TXN-00958"/>
    <d v="2024-11-27T00:00:00"/>
    <n v="775"/>
    <s v="Nevada"/>
    <s v="West"/>
    <s v="Small Market"/>
    <s v="Leaves"/>
    <x v="0"/>
    <x v="7"/>
    <s v="Regular"/>
    <n v="8252"/>
    <n v="111"/>
    <x v="237"/>
    <n v="294"/>
    <n v="145"/>
    <n v="-605"/>
    <n v="-18.333300000000001"/>
    <n v="0"/>
    <n v="210"/>
    <n v="-320"/>
    <e v="#DIV/0!"/>
  </r>
  <r>
    <s v="TXN-00959"/>
    <d v="2024-11-28T00:00:00"/>
    <n v="573"/>
    <s v="Missouri"/>
    <s v="Central"/>
    <s v="Small Market"/>
    <s v="Leaves"/>
    <x v="0"/>
    <x v="3"/>
    <s v="Regular"/>
    <n v="211"/>
    <n v="12"/>
    <x v="105"/>
    <n v="34"/>
    <n v="45"/>
    <n v="-4"/>
    <n v="-4.9399999999999999E-2"/>
    <n v="60"/>
    <n v="20"/>
    <n v="0"/>
    <n v="0"/>
  </r>
  <r>
    <s v="TXN-00960"/>
    <d v="2024-12-01T00:00:00"/>
    <n v="801"/>
    <s v="Utah"/>
    <s v="West"/>
    <s v="Small Market"/>
    <s v="Leaves"/>
    <x v="2"/>
    <x v="2"/>
    <s v="Decaf"/>
    <n v="316"/>
    <n v="14"/>
    <x v="153"/>
    <n v="46"/>
    <n v="37"/>
    <n v="30"/>
    <n v="0.26550000000000001"/>
    <n v="100"/>
    <n v="40"/>
    <n v="30"/>
    <n v="0.3"/>
  </r>
  <r>
    <s v="TXN-00961"/>
    <d v="2024-12-02T00:00:00"/>
    <n v="435"/>
    <s v="Utah"/>
    <s v="West"/>
    <s v="Small Market"/>
    <s v="Beans"/>
    <x v="3"/>
    <x v="10"/>
    <s v="Regular"/>
    <n v="836"/>
    <n v="9"/>
    <x v="105"/>
    <n v="33"/>
    <n v="21"/>
    <n v="27"/>
    <n v="0.33329999999999999"/>
    <n v="70"/>
    <n v="30"/>
    <n v="30"/>
    <n v="0.42859999999999998"/>
  </r>
  <r>
    <s v="TXN-00962"/>
    <d v="2024-12-02T00:00:00"/>
    <n v="475"/>
    <s v="Connecticut"/>
    <s v="East"/>
    <s v="Small Market"/>
    <s v="Beans"/>
    <x v="3"/>
    <x v="9"/>
    <s v="Regular"/>
    <n v="613"/>
    <n v="55"/>
    <x v="53"/>
    <n v="61"/>
    <n v="84"/>
    <n v="3"/>
    <n v="1.9099999999999999E-2"/>
    <n v="140"/>
    <n v="60"/>
    <n v="10"/>
    <n v="7.1400000000000005E-2"/>
  </r>
  <r>
    <s v="TXN-00963"/>
    <d v="2024-12-02T00:00:00"/>
    <n v="775"/>
    <s v="Nevada"/>
    <s v="West"/>
    <s v="Small Market"/>
    <s v="Leaves"/>
    <x v="0"/>
    <x v="3"/>
    <s v="Regular"/>
    <n v="1755"/>
    <n v="66"/>
    <x v="133"/>
    <n v="239"/>
    <n v="90"/>
    <n v="221"/>
    <n v="0.43419999999999997"/>
    <n v="230"/>
    <n v="110"/>
    <n v="80"/>
    <n v="0.3478"/>
  </r>
  <r>
    <s v="TXN-00964"/>
    <d v="2024-12-03T00:00:00"/>
    <n v="936"/>
    <s v="Texas"/>
    <s v="South"/>
    <s v="Major Market"/>
    <s v="Leaves"/>
    <x v="2"/>
    <x v="2"/>
    <s v="Decaf"/>
    <n v="411"/>
    <n v="19"/>
    <x v="14"/>
    <n v="59"/>
    <n v="47"/>
    <n v="47"/>
    <n v="0.31969999999999998"/>
    <n v="120"/>
    <n v="50"/>
    <n v="40"/>
    <n v="0.33329999999999999"/>
  </r>
  <r>
    <s v="TXN-00965"/>
    <d v="2024-12-03T00:00:00"/>
    <n v="347"/>
    <s v="New York"/>
    <s v="East"/>
    <s v="Major Market"/>
    <s v="Beans"/>
    <x v="1"/>
    <x v="5"/>
    <s v="Regular"/>
    <n v="2580"/>
    <n v="87"/>
    <x v="161"/>
    <n v="249"/>
    <n v="138"/>
    <n v="236"/>
    <n v="0.37880000000000003"/>
    <n v="560"/>
    <n v="220"/>
    <n v="230"/>
    <n v="0.41070000000000001"/>
  </r>
  <r>
    <s v="TXN-00966"/>
    <d v="2024-12-03T00:00:00"/>
    <n v="719"/>
    <s v="Colorado"/>
    <s v="Central"/>
    <s v="Major Market"/>
    <s v="Beans"/>
    <x v="1"/>
    <x v="1"/>
    <s v="Regular"/>
    <n v="915"/>
    <n v="34"/>
    <x v="34"/>
    <n v="123"/>
    <n v="46"/>
    <n v="197"/>
    <n v="0.61180000000000001"/>
    <n v="300"/>
    <n v="120"/>
    <n v="160"/>
    <n v="0.5333"/>
  </r>
  <r>
    <s v="TXN-00967"/>
    <d v="2024-12-03T00:00:00"/>
    <n v="916"/>
    <s v="California"/>
    <s v="West"/>
    <s v="Major Market"/>
    <s v="Leaves"/>
    <x v="2"/>
    <x v="2"/>
    <s v="Decaf"/>
    <n v="1003"/>
    <n v="24"/>
    <x v="92"/>
    <n v="86"/>
    <n v="35"/>
    <n v="132"/>
    <n v="0.58930000000000005"/>
    <n v="190"/>
    <n v="80"/>
    <n v="80"/>
    <n v="0.42109999999999997"/>
  </r>
  <r>
    <s v="TXN-00968"/>
    <d v="2024-12-04T00:00:00"/>
    <n v="775"/>
    <s v="Nevada"/>
    <s v="West"/>
    <s v="Small Market"/>
    <s v="Beans"/>
    <x v="3"/>
    <x v="9"/>
    <s v="Regular"/>
    <n v="851"/>
    <n v="4"/>
    <x v="70"/>
    <n v="16"/>
    <n v="15"/>
    <n v="10"/>
    <n v="0.24390000000000001"/>
    <n v="30"/>
    <n v="10"/>
    <n v="10"/>
    <n v="0.33329999999999999"/>
  </r>
  <r>
    <s v="TXN-00969"/>
    <d v="2024-12-05T00:00:00"/>
    <n v="603"/>
    <s v="New Hampshire"/>
    <s v="East"/>
    <s v="Small Market"/>
    <s v="Leaves"/>
    <x v="2"/>
    <x v="4"/>
    <s v="Decaf"/>
    <n v="240"/>
    <n v="12"/>
    <x v="125"/>
    <n v="34"/>
    <n v="46"/>
    <n v="-3"/>
    <n v="-3.9E-2"/>
    <n v="40"/>
    <n v="10"/>
    <n v="20"/>
    <n v="0.5"/>
  </r>
  <r>
    <s v="TXN-00970"/>
    <d v="2024-12-05T00:00:00"/>
    <n v="972"/>
    <s v="Texas"/>
    <s v="South"/>
    <s v="Major Market"/>
    <s v="Beans"/>
    <x v="3"/>
    <x v="9"/>
    <s v="Regular"/>
    <n v="959"/>
    <n v="34"/>
    <x v="1"/>
    <n v="123"/>
    <n v="46"/>
    <n v="133"/>
    <n v="0.44040000000000001"/>
    <n v="230"/>
    <n v="90"/>
    <n v="110"/>
    <n v="0.4783"/>
  </r>
  <r>
    <s v="TXN-00971"/>
    <d v="2024-12-05T00:00:00"/>
    <n v="815"/>
    <s v="Illinois"/>
    <s v="Central"/>
    <s v="Major Market"/>
    <s v="Beans"/>
    <x v="1"/>
    <x v="11"/>
    <s v="Decaf"/>
    <n v="789"/>
    <n v="39"/>
    <x v="11"/>
    <n v="122"/>
    <n v="61"/>
    <n v="115"/>
    <n v="0.38590000000000002"/>
    <n v="300"/>
    <n v="110"/>
    <n v="160"/>
    <n v="0.5333"/>
  </r>
  <r>
    <s v="TXN-00972"/>
    <d v="2024-12-05T00:00:00"/>
    <n v="970"/>
    <s v="Colorado"/>
    <s v="Central"/>
    <s v="Major Market"/>
    <s v="Beans"/>
    <x v="3"/>
    <x v="9"/>
    <s v="Regular"/>
    <n v="601"/>
    <n v="15"/>
    <x v="146"/>
    <n v="54"/>
    <n v="26"/>
    <n v="79"/>
    <n v="0.55630000000000002"/>
    <n v="170"/>
    <n v="60"/>
    <n v="90"/>
    <n v="0.52939999999999998"/>
  </r>
  <r>
    <s v="TXN-00973"/>
    <d v="2024-12-05T00:00:00"/>
    <n v="661"/>
    <s v="California"/>
    <s v="West"/>
    <s v="Major Market"/>
    <s v="Leaves"/>
    <x v="2"/>
    <x v="2"/>
    <s v="Decaf"/>
    <n v="971"/>
    <n v="30"/>
    <x v="223"/>
    <n v="108"/>
    <n v="42"/>
    <n v="115"/>
    <n v="0.434"/>
    <n v="210"/>
    <n v="80"/>
    <n v="120"/>
    <n v="0.57140000000000002"/>
  </r>
  <r>
    <s v="TXN-00974"/>
    <d v="2024-12-05T00:00:00"/>
    <n v="702"/>
    <s v="Nevada"/>
    <s v="West"/>
    <s v="Small Market"/>
    <s v="Beans"/>
    <x v="3"/>
    <x v="9"/>
    <s v="Regular"/>
    <n v="846"/>
    <n v="5"/>
    <x v="96"/>
    <n v="21"/>
    <n v="17"/>
    <n v="14"/>
    <n v="0.26919999999999999"/>
    <n v="30"/>
    <n v="10"/>
    <n v="20"/>
    <n v="0.66669999999999996"/>
  </r>
  <r>
    <s v="TXN-00975"/>
    <d v="2024-12-06T00:00:00"/>
    <n v="225"/>
    <s v="Louisiana"/>
    <s v="South"/>
    <s v="Small Market"/>
    <s v="Beans"/>
    <x v="3"/>
    <x v="6"/>
    <s v="Decaf"/>
    <n v="454"/>
    <n v="15"/>
    <x v="40"/>
    <n v="49"/>
    <n v="37"/>
    <n v="34"/>
    <n v="0.2833"/>
    <n v="90"/>
    <n v="30"/>
    <n v="30"/>
    <n v="0.33329999999999999"/>
  </r>
  <r>
    <s v="TXN-00976"/>
    <d v="2024-12-06T00:00:00"/>
    <n v="801"/>
    <s v="Utah"/>
    <s v="West"/>
    <s v="Small Market"/>
    <s v="Leaves"/>
    <x v="0"/>
    <x v="3"/>
    <s v="Regular"/>
    <n v="256"/>
    <n v="12"/>
    <x v="43"/>
    <n v="38"/>
    <n v="39"/>
    <n v="12"/>
    <n v="0.1348"/>
    <n v="60"/>
    <n v="20"/>
    <n v="10"/>
    <n v="0.16669999999999999"/>
  </r>
  <r>
    <s v="TXN-00977"/>
    <d v="2024-12-06T00:00:00"/>
    <n v="505"/>
    <s v="New Mexico"/>
    <s v="South"/>
    <s v="Small Market"/>
    <s v="Beans"/>
    <x v="3"/>
    <x v="6"/>
    <s v="Decaf"/>
    <n v="248"/>
    <n v="11"/>
    <x v="172"/>
    <n v="35"/>
    <n v="39"/>
    <n v="12"/>
    <n v="0.13789999999999999"/>
    <n v="60"/>
    <n v="20"/>
    <n v="20"/>
    <n v="0.33329999999999999"/>
  </r>
  <r>
    <s v="TXN-00978"/>
    <d v="2024-12-06T00:00:00"/>
    <n v="775"/>
    <s v="Nevada"/>
    <s v="West"/>
    <s v="Small Market"/>
    <s v="Leaves"/>
    <x v="0"/>
    <x v="3"/>
    <s v="Regular"/>
    <n v="1755"/>
    <n v="66"/>
    <x v="120"/>
    <n v="239"/>
    <n v="90"/>
    <n v="149"/>
    <n v="0.31169999999999998"/>
    <n v="230"/>
    <n v="110"/>
    <n v="80"/>
    <n v="0.3478"/>
  </r>
  <r>
    <s v="TXN-00979"/>
    <d v="2024-12-06T00:00:00"/>
    <n v="702"/>
    <s v="Nevada"/>
    <s v="West"/>
    <s v="Small Market"/>
    <s v="Leaves"/>
    <x v="0"/>
    <x v="7"/>
    <s v="Regular"/>
    <n v="7058"/>
    <n v="96"/>
    <x v="238"/>
    <n v="255"/>
    <n v="129"/>
    <n v="-363"/>
    <n v="-17.285699999999999"/>
    <n v="0"/>
    <n v="110"/>
    <n v="-170"/>
    <e v="#DIV/0!"/>
  </r>
  <r>
    <s v="TXN-00980"/>
    <d v="2024-12-07T00:00:00"/>
    <n v="318"/>
    <s v="Louisiana"/>
    <s v="South"/>
    <s v="Small Market"/>
    <s v="Beans"/>
    <x v="3"/>
    <x v="6"/>
    <s v="Decaf"/>
    <n v="449"/>
    <n v="14"/>
    <x v="153"/>
    <n v="46"/>
    <n v="37"/>
    <n v="30"/>
    <n v="0.26550000000000001"/>
    <n v="60"/>
    <n v="20"/>
    <n v="40"/>
    <n v="0.66669999999999996"/>
  </r>
  <r>
    <s v="TXN-00981"/>
    <d v="2024-12-07T00:00:00"/>
    <n v="541"/>
    <s v="Oregon"/>
    <s v="West"/>
    <s v="Small Market"/>
    <s v="Beans"/>
    <x v="1"/>
    <x v="11"/>
    <s v="Decaf"/>
    <n v="435"/>
    <n v="13"/>
    <x v="189"/>
    <n v="41"/>
    <n v="35"/>
    <n v="37"/>
    <n v="0.34260000000000002"/>
    <n v="120"/>
    <n v="40"/>
    <n v="50"/>
    <n v="0.41670000000000001"/>
  </r>
  <r>
    <s v="TXN-00982"/>
    <d v="2024-12-08T00:00:00"/>
    <n v="641"/>
    <s v="Iowa"/>
    <s v="Central"/>
    <s v="Small Market"/>
    <s v="Beans"/>
    <x v="3"/>
    <x v="9"/>
    <s v="Regular"/>
    <n v="800"/>
    <n v="6"/>
    <x v="148"/>
    <n v="23"/>
    <n v="17"/>
    <n v="27"/>
    <n v="0.4355"/>
    <n v="70"/>
    <n v="20"/>
    <n v="50"/>
    <n v="0.71430000000000005"/>
  </r>
  <r>
    <s v="TXN-00983"/>
    <d v="2024-12-08T00:00:00"/>
    <n v="716"/>
    <s v="New York"/>
    <s v="East"/>
    <s v="Major Market"/>
    <s v="Leaves"/>
    <x v="0"/>
    <x v="0"/>
    <s v="Regular"/>
    <n v="1003"/>
    <n v="24"/>
    <x v="169"/>
    <n v="86"/>
    <n v="35"/>
    <n v="89"/>
    <n v="0.42380000000000001"/>
    <n v="210"/>
    <n v="90"/>
    <n v="90"/>
    <n v="0.42859999999999998"/>
  </r>
  <r>
    <s v="TXN-00984"/>
    <d v="2024-12-08T00:00:00"/>
    <n v="920"/>
    <s v="Wisconsin"/>
    <s v="Central"/>
    <s v="Small Market"/>
    <s v="Beans"/>
    <x v="3"/>
    <x v="9"/>
    <s v="Regular"/>
    <n v="1063"/>
    <n v="23"/>
    <x v="67"/>
    <n v="75"/>
    <n v="44"/>
    <n v="45"/>
    <n v="0.27439999999999998"/>
    <n v="200"/>
    <n v="90"/>
    <n v="70"/>
    <n v="0.35"/>
  </r>
  <r>
    <s v="TXN-00985"/>
    <d v="2024-12-09T00:00:00"/>
    <n v="959"/>
    <s v="Connecticut"/>
    <s v="East"/>
    <s v="Small Market"/>
    <s v="Leaves"/>
    <x v="0"/>
    <x v="7"/>
    <s v="Regular"/>
    <n v="806"/>
    <n v="6"/>
    <x v="26"/>
    <n v="24"/>
    <n v="18"/>
    <n v="18"/>
    <n v="0.3"/>
    <n v="60"/>
    <n v="20"/>
    <n v="40"/>
    <n v="0.66669999999999996"/>
  </r>
  <r>
    <s v="TXN-00986"/>
    <d v="2024-12-09T00:00:00"/>
    <n v="435"/>
    <s v="Utah"/>
    <s v="West"/>
    <s v="Small Market"/>
    <s v="Beans"/>
    <x v="3"/>
    <x v="9"/>
    <s v="Regular"/>
    <n v="540"/>
    <n v="31"/>
    <x v="186"/>
    <n v="94"/>
    <n v="43"/>
    <n v="77"/>
    <n v="0.35980000000000001"/>
    <n v="200"/>
    <n v="90"/>
    <n v="70"/>
    <n v="0.35"/>
  </r>
  <r>
    <s v="TXN-00987"/>
    <d v="2024-12-10T00:00:00"/>
    <n v="475"/>
    <s v="Connecticut"/>
    <s v="East"/>
    <s v="Small Market"/>
    <s v="Leaves"/>
    <x v="2"/>
    <x v="8"/>
    <s v="Decaf"/>
    <n v="1060"/>
    <n v="21"/>
    <x v="182"/>
    <n v="69"/>
    <n v="43"/>
    <n v="38"/>
    <n v="0.25330000000000003"/>
    <n v="100"/>
    <n v="50"/>
    <n v="30"/>
    <n v="0.3"/>
  </r>
  <r>
    <s v="TXN-00988"/>
    <d v="2024-12-10T00:00:00"/>
    <n v="563"/>
    <s v="Iowa"/>
    <s v="Central"/>
    <s v="Small Market"/>
    <s v="Beans"/>
    <x v="3"/>
    <x v="6"/>
    <s v="Decaf"/>
    <n v="344"/>
    <n v="0"/>
    <x v="190"/>
    <n v="0"/>
    <n v="11"/>
    <n v="47"/>
    <n v="1.0217000000000001"/>
    <n v="50"/>
    <n v="0"/>
    <n v="40"/>
    <n v="0.8"/>
  </r>
  <r>
    <s v="TXN-00989"/>
    <d v="2024-12-10T00:00:00"/>
    <n v="920"/>
    <s v="Wisconsin"/>
    <s v="Central"/>
    <s v="Small Market"/>
    <s v="Beans"/>
    <x v="1"/>
    <x v="11"/>
    <s v="Decaf"/>
    <n v="557"/>
    <n v="25"/>
    <x v="233"/>
    <n v="77"/>
    <n v="52"/>
    <n v="76"/>
    <n v="0.39579999999999999"/>
    <n v="170"/>
    <n v="70"/>
    <n v="60"/>
    <n v="0.35289999999999999"/>
  </r>
  <r>
    <s v="TXN-00990"/>
    <d v="2024-12-11T00:00:00"/>
    <n v="475"/>
    <s v="Connecticut"/>
    <s v="East"/>
    <s v="Small Market"/>
    <s v="Leaves"/>
    <x v="2"/>
    <x v="4"/>
    <s v="Decaf"/>
    <n v="619"/>
    <n v="25"/>
    <x v="130"/>
    <n v="68"/>
    <n v="58"/>
    <n v="27"/>
    <n v="0.17649999999999999"/>
    <n v="110"/>
    <n v="50"/>
    <n v="20"/>
    <n v="0.18179999999999999"/>
  </r>
  <r>
    <s v="TXN-00991"/>
    <d v="2024-12-11T00:00:00"/>
    <n v="614"/>
    <s v="Ohio"/>
    <s v="Central"/>
    <s v="Major Market"/>
    <s v="Leaves"/>
    <x v="2"/>
    <x v="4"/>
    <s v="Decaf"/>
    <n v="862"/>
    <n v="10"/>
    <x v="202"/>
    <n v="36"/>
    <n v="22"/>
    <n v="30"/>
    <n v="0.34089999999999998"/>
    <n v="80"/>
    <n v="30"/>
    <n v="40"/>
    <n v="0.5"/>
  </r>
  <r>
    <s v="TXN-00992"/>
    <d v="2024-12-11T00:00:00"/>
    <n v="915"/>
    <s v="Texas"/>
    <s v="South"/>
    <s v="Major Market"/>
    <s v="Beans"/>
    <x v="3"/>
    <x v="6"/>
    <s v="Decaf"/>
    <n v="580"/>
    <n v="21"/>
    <x v="163"/>
    <n v="76"/>
    <n v="33"/>
    <n v="78"/>
    <n v="0.41710000000000003"/>
    <n v="120"/>
    <n v="40"/>
    <n v="80"/>
    <n v="0.66669999999999996"/>
  </r>
  <r>
    <s v="TXN-00993"/>
    <d v="2024-12-11T00:00:00"/>
    <n v="318"/>
    <s v="Louisiana"/>
    <s v="South"/>
    <s v="Small Market"/>
    <s v="Leaves"/>
    <x v="2"/>
    <x v="4"/>
    <s v="Decaf"/>
    <n v="619"/>
    <n v="25"/>
    <x v="80"/>
    <n v="68"/>
    <n v="59"/>
    <n v="39"/>
    <n v="0.23930000000000001"/>
    <n v="140"/>
    <n v="60"/>
    <n v="30"/>
    <n v="0.21429999999999999"/>
  </r>
  <r>
    <s v="TXN-00994"/>
    <d v="2024-12-11T00:00:00"/>
    <n v="815"/>
    <s v="Illinois"/>
    <s v="Central"/>
    <s v="Major Market"/>
    <s v="Leaves"/>
    <x v="2"/>
    <x v="8"/>
    <s v="Decaf"/>
    <n v="971"/>
    <n v="30"/>
    <x v="223"/>
    <n v="108"/>
    <n v="41"/>
    <n v="116"/>
    <n v="0.43769999999999998"/>
    <n v="210"/>
    <n v="80"/>
    <n v="120"/>
    <n v="0.57140000000000002"/>
  </r>
  <r>
    <s v="TXN-00995"/>
    <d v="2024-12-11T00:00:00"/>
    <n v="719"/>
    <s v="Colorado"/>
    <s v="Central"/>
    <s v="Major Market"/>
    <s v="Leaves"/>
    <x v="0"/>
    <x v="7"/>
    <s v="Regular"/>
    <n v="551"/>
    <n v="26"/>
    <x v="42"/>
    <n v="81"/>
    <n v="38"/>
    <n v="66"/>
    <n v="0.35680000000000001"/>
    <n v="150"/>
    <n v="60"/>
    <n v="60"/>
    <n v="0.4"/>
  </r>
  <r>
    <s v="TXN-00996"/>
    <d v="2024-12-11T00:00:00"/>
    <n v="970"/>
    <s v="Colorado"/>
    <s v="Central"/>
    <s v="Major Market"/>
    <s v="Beans"/>
    <x v="3"/>
    <x v="6"/>
    <s v="Decaf"/>
    <n v="650"/>
    <n v="23"/>
    <x v="177"/>
    <n v="72"/>
    <n v="54"/>
    <n v="83"/>
    <n v="0.42780000000000001"/>
    <n v="260"/>
    <n v="100"/>
    <n v="130"/>
    <n v="0.5"/>
  </r>
  <r>
    <s v="TXN-00997"/>
    <d v="2024-12-12T00:00:00"/>
    <n v="303"/>
    <s v="Colorado"/>
    <s v="Central"/>
    <s v="Major Market"/>
    <s v="Leaves"/>
    <x v="0"/>
    <x v="0"/>
    <s v="Regular"/>
    <n v="422"/>
    <n v="17"/>
    <x v="204"/>
    <n v="46"/>
    <n v="51"/>
    <n v="9"/>
    <n v="8.1799999999999998E-2"/>
    <n v="80"/>
    <n v="30"/>
    <n v="10"/>
    <n v="0.125"/>
  </r>
  <r>
    <s v="TXN-00998"/>
    <d v="2024-12-12T00:00:00"/>
    <n v="314"/>
    <s v="Missouri"/>
    <s v="Central"/>
    <s v="Small Market"/>
    <s v="Leaves"/>
    <x v="2"/>
    <x v="4"/>
    <s v="Decaf"/>
    <n v="1804"/>
    <n v="25"/>
    <x v="174"/>
    <n v="82"/>
    <n v="49"/>
    <n v="-13"/>
    <n v="-0.1"/>
    <n v="110"/>
    <n v="70"/>
    <n v="0"/>
    <n v="0"/>
  </r>
  <r>
    <s v="TXN-00999"/>
    <d v="2024-12-12T00:00:00"/>
    <n v="603"/>
    <s v="New Hampshire"/>
    <s v="East"/>
    <s v="Small Market"/>
    <s v="Leaves"/>
    <x v="0"/>
    <x v="0"/>
    <s v="Regular"/>
    <n v="848"/>
    <n v="4"/>
    <x v="104"/>
    <n v="15"/>
    <n v="16"/>
    <n v="12"/>
    <n v="0.28570000000000001"/>
    <n v="40"/>
    <n v="10"/>
    <n v="20"/>
    <n v="0.5"/>
  </r>
  <r>
    <s v="TXN-01000"/>
    <d v="2024-12-12T00:00:00"/>
    <n v="305"/>
    <s v="Florida"/>
    <s v="East"/>
    <s v="Major Market"/>
    <s v="Beans"/>
    <x v="3"/>
    <x v="9"/>
    <s v="Regular"/>
    <n v="716"/>
    <n v="95"/>
    <x v="145"/>
    <n v="105"/>
    <n v="124"/>
    <n v="21"/>
    <n v="8.4000000000000005E-2"/>
    <n v="240"/>
    <n v="100"/>
    <n v="30"/>
    <n v="0.125"/>
  </r>
  <r>
    <s v="TXN-01001"/>
    <d v="2024-12-12T00:00:00"/>
    <n v="206"/>
    <s v="Washington"/>
    <s v="West"/>
    <s v="Small Market"/>
    <s v="Leaves"/>
    <x v="2"/>
    <x v="2"/>
    <s v="Decaf"/>
    <n v="1134"/>
    <n v="42"/>
    <x v="224"/>
    <n v="130"/>
    <n v="73"/>
    <n v="122"/>
    <n v="0.37540000000000001"/>
    <n v="300"/>
    <n v="120"/>
    <n v="120"/>
    <n v="0.4"/>
  </r>
  <r>
    <s v="TXN-01002"/>
    <d v="2024-12-13T00:00:00"/>
    <n v="435"/>
    <s v="Utah"/>
    <s v="West"/>
    <s v="Small Market"/>
    <s v="Leaves"/>
    <x v="2"/>
    <x v="4"/>
    <s v="Decaf"/>
    <n v="452"/>
    <n v="14"/>
    <x v="44"/>
    <n v="43"/>
    <n v="46"/>
    <n v="30"/>
    <n v="0.2586"/>
    <n v="100"/>
    <n v="40"/>
    <n v="30"/>
    <n v="0.3"/>
  </r>
  <r>
    <s v="TXN-01003"/>
    <d v="2024-12-13T00:00:00"/>
    <n v="636"/>
    <s v="Missouri"/>
    <s v="Central"/>
    <s v="Small Market"/>
    <s v="Leaves"/>
    <x v="0"/>
    <x v="7"/>
    <s v="Regular"/>
    <n v="250"/>
    <n v="14"/>
    <x v="202"/>
    <n v="39"/>
    <n v="47"/>
    <n v="2"/>
    <n v="2.2700000000000001E-2"/>
    <n v="70"/>
    <n v="30"/>
    <n v="0"/>
    <n v="0"/>
  </r>
  <r>
    <s v="TXN-01004"/>
    <d v="2024-12-13T00:00:00"/>
    <n v="440"/>
    <s v="Ohio"/>
    <s v="Central"/>
    <s v="Major Market"/>
    <s v="Leaves"/>
    <x v="2"/>
    <x v="2"/>
    <s v="Decaf"/>
    <n v="482"/>
    <n v="8"/>
    <x v="138"/>
    <n v="32"/>
    <n v="19"/>
    <n v="43"/>
    <n v="0.50590000000000002"/>
    <n v="70"/>
    <n v="30"/>
    <n v="30"/>
    <n v="0.42859999999999998"/>
  </r>
  <r>
    <s v="TXN-01005"/>
    <d v="2024-12-13T00:00:00"/>
    <n v="603"/>
    <s v="New Hampshire"/>
    <s v="East"/>
    <s v="Small Market"/>
    <s v="Beans"/>
    <x v="3"/>
    <x v="12"/>
    <s v="Regular"/>
    <n v="209"/>
    <n v="9"/>
    <x v="26"/>
    <n v="25"/>
    <n v="43"/>
    <n v="-18"/>
    <n v="-0.3"/>
    <n v="40"/>
    <n v="10"/>
    <n v="10"/>
    <n v="0.25"/>
  </r>
  <r>
    <s v="TXN-01006"/>
    <d v="2024-12-13T00:00:00"/>
    <n v="405"/>
    <s v="Oklahoma"/>
    <s v="South"/>
    <s v="Small Market"/>
    <s v="Beans"/>
    <x v="3"/>
    <x v="10"/>
    <s v="Regular"/>
    <n v="-1785"/>
    <n v="28"/>
    <x v="175"/>
    <n v="91"/>
    <n v="51"/>
    <n v="76"/>
    <n v="0.34860000000000002"/>
    <n v="130"/>
    <n v="50"/>
    <n v="70"/>
    <n v="0.53849999999999998"/>
  </r>
  <r>
    <s v="TXN-01007"/>
    <d v="2024-12-13T00:00:00"/>
    <n v="845"/>
    <s v="New York"/>
    <s v="East"/>
    <s v="Major Market"/>
    <s v="Beans"/>
    <x v="3"/>
    <x v="9"/>
    <s v="Regular"/>
    <n v="3641"/>
    <n v="122"/>
    <x v="154"/>
    <n v="135"/>
    <n v="155"/>
    <n v="-332"/>
    <n v="-4.7428999999999997"/>
    <n v="60"/>
    <n v="130"/>
    <n v="-210"/>
    <n v="-3.5"/>
  </r>
  <r>
    <s v="TXN-01008"/>
    <d v="2024-12-13T00:00:00"/>
    <n v="847"/>
    <s v="Illinois"/>
    <s v="Central"/>
    <s v="Major Market"/>
    <s v="Beans"/>
    <x v="3"/>
    <x v="6"/>
    <s v="Decaf"/>
    <n v="1778"/>
    <n v="59"/>
    <x v="178"/>
    <n v="211"/>
    <n v="83"/>
    <n v="191"/>
    <n v="0.42349999999999999"/>
    <n v="540"/>
    <n v="270"/>
    <n v="200"/>
    <n v="0.37040000000000001"/>
  </r>
  <r>
    <s v="TXN-01009"/>
    <d v="2024-12-14T00:00:00"/>
    <n v="303"/>
    <s v="Colorado"/>
    <s v="Central"/>
    <s v="Major Market"/>
    <s v="Beans"/>
    <x v="1"/>
    <x v="5"/>
    <s v="Regular"/>
    <n v="541"/>
    <n v="12"/>
    <x v="157"/>
    <n v="39"/>
    <n v="24"/>
    <n v="40"/>
    <n v="0.41670000000000001"/>
    <n v="80"/>
    <n v="30"/>
    <n v="50"/>
    <n v="0.625"/>
  </r>
  <r>
    <s v="TXN-01010"/>
    <d v="2024-12-14T00:00:00"/>
    <n v="515"/>
    <s v="Iowa"/>
    <s v="Central"/>
    <s v="Small Market"/>
    <s v="Beans"/>
    <x v="1"/>
    <x v="5"/>
    <s v="Regular"/>
    <n v="1000"/>
    <n v="9"/>
    <x v="137"/>
    <n v="31"/>
    <n v="30"/>
    <n v="7"/>
    <n v="0.10290000000000001"/>
    <n v="60"/>
    <n v="20"/>
    <n v="30"/>
    <n v="0.5"/>
  </r>
  <r>
    <s v="TXN-01011"/>
    <d v="2024-12-14T00:00:00"/>
    <n v="937"/>
    <s v="Ohio"/>
    <s v="Central"/>
    <s v="Major Market"/>
    <s v="Leaves"/>
    <x v="2"/>
    <x v="2"/>
    <s v="Decaf"/>
    <n v="480"/>
    <n v="5"/>
    <x v="166"/>
    <n v="21"/>
    <n v="16"/>
    <n v="24"/>
    <n v="0.42859999999999998"/>
    <n v="30"/>
    <n v="0"/>
    <n v="30"/>
    <n v="1"/>
  </r>
  <r>
    <s v="TXN-01012"/>
    <d v="2024-12-14T00:00:00"/>
    <n v="713"/>
    <s v="Texas"/>
    <s v="South"/>
    <s v="Major Market"/>
    <s v="Leaves"/>
    <x v="2"/>
    <x v="2"/>
    <s v="Decaf"/>
    <n v="405"/>
    <n v="17"/>
    <x v="57"/>
    <n v="52"/>
    <n v="45"/>
    <n v="26"/>
    <n v="0.2114"/>
    <n v="110"/>
    <n v="30"/>
    <n v="70"/>
    <n v="0.63639999999999997"/>
  </r>
  <r>
    <s v="TXN-01013"/>
    <d v="2024-12-15T00:00:00"/>
    <n v="857"/>
    <s v="Massachusetts"/>
    <s v="East"/>
    <s v="Major Market"/>
    <s v="Leaves"/>
    <x v="2"/>
    <x v="4"/>
    <s v="Decaf"/>
    <n v="410"/>
    <n v="20"/>
    <x v="50"/>
    <n v="55"/>
    <n v="54"/>
    <n v="22"/>
    <n v="0.16669999999999999"/>
    <n v="90"/>
    <n v="40"/>
    <n v="20"/>
    <n v="0.22220000000000001"/>
  </r>
  <r>
    <s v="TXN-01014"/>
    <d v="2024-12-15T00:00:00"/>
    <n v="920"/>
    <s v="Wisconsin"/>
    <s v="Central"/>
    <s v="Small Market"/>
    <s v="Beans"/>
    <x v="3"/>
    <x v="6"/>
    <s v="Decaf"/>
    <n v="570"/>
    <n v="7"/>
    <x v="27"/>
    <n v="22"/>
    <n v="19"/>
    <n v="16"/>
    <n v="0.29089999999999999"/>
    <n v="60"/>
    <n v="20"/>
    <n v="30"/>
    <n v="0.5"/>
  </r>
  <r>
    <s v="TXN-01015"/>
    <d v="2024-12-15T00:00:00"/>
    <n v="815"/>
    <s v="Illinois"/>
    <s v="Central"/>
    <s v="Major Market"/>
    <s v="Leaves"/>
    <x v="0"/>
    <x v="0"/>
    <s v="Regular"/>
    <n v="580"/>
    <n v="21"/>
    <x v="131"/>
    <n v="76"/>
    <n v="33"/>
    <n v="116"/>
    <n v="0.58289999999999997"/>
    <n v="130"/>
    <n v="50"/>
    <n v="80"/>
    <n v="0.61539999999999995"/>
  </r>
  <r>
    <s v="TXN-01016"/>
    <d v="2024-12-15T00:00:00"/>
    <n v="386"/>
    <s v="Florida"/>
    <s v="East"/>
    <s v="Major Market"/>
    <s v="Leaves"/>
    <x v="2"/>
    <x v="2"/>
    <s v="Decaf"/>
    <n v="573"/>
    <n v="7"/>
    <x v="6"/>
    <n v="22"/>
    <n v="19"/>
    <n v="10"/>
    <n v="0.1961"/>
    <n v="20"/>
    <n v="0"/>
    <n v="20"/>
    <n v="1"/>
  </r>
  <r>
    <s v="TXN-01017"/>
    <d v="2024-12-15T00:00:00"/>
    <n v="740"/>
    <s v="Ohio"/>
    <s v="Central"/>
    <s v="Major Market"/>
    <s v="Leaves"/>
    <x v="0"/>
    <x v="3"/>
    <s v="Regular"/>
    <n v="690"/>
    <n v="41"/>
    <x v="56"/>
    <n v="134"/>
    <n v="65"/>
    <n v="121"/>
    <n v="0.37809999999999999"/>
    <n v="260"/>
    <n v="110"/>
    <n v="90"/>
    <n v="0.34620000000000001"/>
  </r>
  <r>
    <s v="TXN-01018"/>
    <d v="2024-12-15T00:00:00"/>
    <n v="708"/>
    <s v="Illinois"/>
    <s v="Central"/>
    <s v="Major Market"/>
    <s v="Leaves"/>
    <x v="2"/>
    <x v="2"/>
    <s v="Decaf"/>
    <n v="930"/>
    <n v="33"/>
    <x v="102"/>
    <n v="118"/>
    <n v="45"/>
    <n v="188"/>
    <n v="0.60840000000000005"/>
    <n v="260"/>
    <n v="110"/>
    <n v="110"/>
    <n v="0.42309999999999998"/>
  </r>
  <r>
    <s v="TXN-01019"/>
    <d v="2024-12-16T00:00:00"/>
    <n v="254"/>
    <s v="Texas"/>
    <s v="South"/>
    <s v="Major Market"/>
    <s v="Beans"/>
    <x v="3"/>
    <x v="6"/>
    <s v="Decaf"/>
    <n v="589"/>
    <n v="14"/>
    <x v="30"/>
    <n v="50"/>
    <n v="25"/>
    <n v="71"/>
    <n v="0.54200000000000004"/>
    <n v="90"/>
    <n v="30"/>
    <n v="40"/>
    <n v="0.44440000000000002"/>
  </r>
  <r>
    <s v="TXN-01020"/>
    <d v="2024-12-16T00:00:00"/>
    <n v="715"/>
    <s v="Wisconsin"/>
    <s v="Central"/>
    <s v="Small Market"/>
    <s v="Beans"/>
    <x v="3"/>
    <x v="6"/>
    <s v="Decaf"/>
    <n v="570"/>
    <n v="7"/>
    <x v="96"/>
    <n v="22"/>
    <n v="19"/>
    <n v="11"/>
    <n v="0.21149999999999999"/>
    <n v="60"/>
    <n v="20"/>
    <n v="30"/>
    <n v="0.5"/>
  </r>
  <r>
    <s v="TXN-01021"/>
    <d v="2024-12-16T00:00:00"/>
    <n v="513"/>
    <s v="Ohio"/>
    <s v="Central"/>
    <s v="Major Market"/>
    <s v="Beans"/>
    <x v="1"/>
    <x v="11"/>
    <s v="Decaf"/>
    <n v="521"/>
    <n v="42"/>
    <x v="124"/>
    <n v="47"/>
    <n v="71"/>
    <n v="-9"/>
    <n v="-7.5600000000000001E-2"/>
    <n v="110"/>
    <n v="40"/>
    <n v="10"/>
    <n v="9.0899999999999995E-2"/>
  </r>
  <r>
    <s v="TXN-01022"/>
    <d v="2024-12-16T00:00:00"/>
    <n v="351"/>
    <s v="Massachusetts"/>
    <s v="East"/>
    <s v="Major Market"/>
    <s v="Beans"/>
    <x v="1"/>
    <x v="5"/>
    <s v="Regular"/>
    <n v="-3534"/>
    <n v="22"/>
    <x v="239"/>
    <n v="67"/>
    <n v="53"/>
    <n v="390"/>
    <n v="0.76470000000000005"/>
    <n v="450"/>
    <n v="60"/>
    <n v="360"/>
    <n v="0.8"/>
  </r>
  <r>
    <s v="TXN-01023"/>
    <d v="2024-12-16T00:00:00"/>
    <n v="641"/>
    <s v="Iowa"/>
    <s v="Central"/>
    <s v="Small Market"/>
    <s v="Leaves"/>
    <x v="2"/>
    <x v="4"/>
    <s v="Decaf"/>
    <n v="789"/>
    <n v="39"/>
    <x v="11"/>
    <n v="122"/>
    <n v="62"/>
    <n v="114"/>
    <n v="0.3826"/>
    <n v="240"/>
    <n v="90"/>
    <n v="130"/>
    <n v="0.54169999999999996"/>
  </r>
  <r>
    <s v="TXN-01024"/>
    <d v="2024-12-16T00:00:00"/>
    <n v="425"/>
    <s v="Washington"/>
    <s v="West"/>
    <s v="Small Market"/>
    <s v="Beans"/>
    <x v="1"/>
    <x v="5"/>
    <s v="Regular"/>
    <n v="446"/>
    <n v="20"/>
    <x v="158"/>
    <n v="63"/>
    <n v="43"/>
    <n v="50"/>
    <n v="0.32050000000000001"/>
    <n v="180"/>
    <n v="70"/>
    <n v="70"/>
    <n v="0.38890000000000002"/>
  </r>
  <r>
    <s v="TXN-01025"/>
    <d v="2024-12-17T00:00:00"/>
    <n v="860"/>
    <s v="Connecticut"/>
    <s v="East"/>
    <s v="Small Market"/>
    <s v="Leaves"/>
    <x v="2"/>
    <x v="8"/>
    <s v="Decaf"/>
    <n v="1053"/>
    <n v="20"/>
    <x v="146"/>
    <n v="65"/>
    <n v="42"/>
    <n v="35"/>
    <n v="0.2465"/>
    <n v="80"/>
    <n v="30"/>
    <n v="50"/>
    <n v="0.625"/>
  </r>
  <r>
    <s v="TXN-01026"/>
    <d v="2024-12-17T00:00:00"/>
    <n v="603"/>
    <s v="New Hampshire"/>
    <s v="East"/>
    <s v="Small Market"/>
    <s v="Beans"/>
    <x v="3"/>
    <x v="12"/>
    <s v="Regular"/>
    <n v="211"/>
    <n v="12"/>
    <x v="105"/>
    <n v="34"/>
    <n v="45"/>
    <n v="-4"/>
    <n v="-4.9399999999999999E-2"/>
    <n v="70"/>
    <n v="30"/>
    <n v="0"/>
    <n v="0"/>
  </r>
  <r>
    <s v="TXN-01027"/>
    <d v="2024-12-17T00:00:00"/>
    <n v="909"/>
    <s v="California"/>
    <s v="West"/>
    <s v="Major Market"/>
    <s v="Beans"/>
    <x v="1"/>
    <x v="11"/>
    <s v="Decaf"/>
    <n v="3909"/>
    <n v="57"/>
    <x v="240"/>
    <n v="173"/>
    <n v="100"/>
    <n v="-127"/>
    <n v="-0.86990000000000001"/>
    <n v="170"/>
    <n v="200"/>
    <n v="-130"/>
    <n v="-0.76470000000000005"/>
  </r>
  <r>
    <s v="TXN-01028"/>
    <d v="2024-12-17T00:00:00"/>
    <n v="801"/>
    <s v="Utah"/>
    <s v="West"/>
    <s v="Small Market"/>
    <s v="Beans"/>
    <x v="1"/>
    <x v="11"/>
    <s v="Decaf"/>
    <n v="619"/>
    <n v="25"/>
    <x v="80"/>
    <n v="68"/>
    <n v="59"/>
    <n v="39"/>
    <n v="0.23930000000000001"/>
    <n v="180"/>
    <n v="80"/>
    <n v="50"/>
    <n v="0.27779999999999999"/>
  </r>
  <r>
    <s v="TXN-01029"/>
    <d v="2024-12-18T00:00:00"/>
    <n v="954"/>
    <s v="Florida"/>
    <s v="East"/>
    <s v="Major Market"/>
    <s v="Leaves"/>
    <x v="2"/>
    <x v="8"/>
    <s v="Decaf"/>
    <n v="1063"/>
    <n v="23"/>
    <x v="67"/>
    <n v="75"/>
    <n v="45"/>
    <n v="44"/>
    <n v="0.26829999999999998"/>
    <n v="110"/>
    <n v="50"/>
    <n v="30"/>
    <n v="0.2727"/>
  </r>
  <r>
    <s v="TXN-01030"/>
    <d v="2024-12-18T00:00:00"/>
    <n v="440"/>
    <s v="Ohio"/>
    <s v="Central"/>
    <s v="Major Market"/>
    <s v="Beans"/>
    <x v="1"/>
    <x v="1"/>
    <s v="Regular"/>
    <n v="405"/>
    <n v="17"/>
    <x v="57"/>
    <n v="52"/>
    <n v="45"/>
    <n v="26"/>
    <n v="0.2114"/>
    <n v="110"/>
    <n v="40"/>
    <n v="60"/>
    <n v="0.54549999999999998"/>
  </r>
  <r>
    <s v="TXN-01031"/>
    <d v="2024-12-21T00:00:00"/>
    <n v="430"/>
    <s v="Texas"/>
    <s v="South"/>
    <s v="Major Market"/>
    <s v="Leaves"/>
    <x v="2"/>
    <x v="4"/>
    <s v="Decaf"/>
    <n v="419"/>
    <n v="13"/>
    <x v="13"/>
    <n v="43"/>
    <n v="36"/>
    <n v="42"/>
    <n v="0.36840000000000001"/>
    <n v="90"/>
    <n v="30"/>
    <n v="50"/>
    <n v="0.55559999999999998"/>
  </r>
  <r>
    <s v="TXN-01032"/>
    <d v="2024-12-21T00:00:00"/>
    <n v="541"/>
    <s v="Oregon"/>
    <s v="West"/>
    <s v="Small Market"/>
    <s v="Beans"/>
    <x v="1"/>
    <x v="1"/>
    <s v="Regular"/>
    <n v="509"/>
    <n v="47"/>
    <x v="151"/>
    <n v="52"/>
    <n v="77"/>
    <n v="-4"/>
    <n v="-3.2000000000000001E-2"/>
    <n v="140"/>
    <n v="60"/>
    <n v="10"/>
    <n v="7.1400000000000005E-2"/>
  </r>
  <r>
    <s v="TXN-01033"/>
    <d v="2024-12-21T00:00:00"/>
    <n v="440"/>
    <s v="Ohio"/>
    <s v="Central"/>
    <s v="Major Market"/>
    <s v="Beans"/>
    <x v="3"/>
    <x v="9"/>
    <s v="Regular"/>
    <n v="1283"/>
    <n v="50"/>
    <x v="84"/>
    <n v="181"/>
    <n v="75"/>
    <n v="107"/>
    <n v="0.29480000000000001"/>
    <n v="460"/>
    <n v="230"/>
    <n v="170"/>
    <n v="0.36959999999999998"/>
  </r>
  <r>
    <s v="TXN-01034"/>
    <d v="2024-12-21T00:00:00"/>
    <n v="815"/>
    <s v="Illinois"/>
    <s v="Central"/>
    <s v="Major Market"/>
    <s v="Beans"/>
    <x v="1"/>
    <x v="11"/>
    <s v="Decaf"/>
    <n v="789"/>
    <n v="39"/>
    <x v="38"/>
    <n v="122"/>
    <n v="61"/>
    <n v="171"/>
    <n v="0.53769999999999996"/>
    <n v="300"/>
    <n v="110"/>
    <n v="160"/>
    <n v="0.5333"/>
  </r>
  <r>
    <s v="TXN-01035"/>
    <d v="2024-12-21T00:00:00"/>
    <n v="435"/>
    <s v="Utah"/>
    <s v="West"/>
    <s v="Small Market"/>
    <s v="Beans"/>
    <x v="1"/>
    <x v="1"/>
    <s v="Regular"/>
    <n v="1053"/>
    <n v="20"/>
    <x v="146"/>
    <n v="65"/>
    <n v="41"/>
    <n v="36"/>
    <n v="0.2535"/>
    <n v="200"/>
    <n v="90"/>
    <n v="90"/>
    <n v="0.45"/>
  </r>
  <r>
    <s v="TXN-01036"/>
    <d v="2024-12-21T00:00:00"/>
    <n v="435"/>
    <s v="Utah"/>
    <s v="West"/>
    <s v="Small Market"/>
    <s v="Beans"/>
    <x v="3"/>
    <x v="9"/>
    <s v="Regular"/>
    <n v="564"/>
    <n v="33"/>
    <x v="122"/>
    <n v="103"/>
    <n v="46"/>
    <n v="129"/>
    <n v="0.51390000000000002"/>
    <n v="210"/>
    <n v="80"/>
    <n v="110"/>
    <n v="0.52380000000000004"/>
  </r>
  <r>
    <s v="TXN-01037"/>
    <d v="2024-12-22T00:00:00"/>
    <n v="636"/>
    <s v="Missouri"/>
    <s v="Central"/>
    <s v="Small Market"/>
    <s v="Leaves"/>
    <x v="0"/>
    <x v="0"/>
    <s v="Regular"/>
    <n v="244"/>
    <n v="12"/>
    <x v="132"/>
    <n v="39"/>
    <n v="40"/>
    <n v="13"/>
    <n v="0.14130000000000001"/>
    <n v="60"/>
    <n v="20"/>
    <n v="30"/>
    <n v="0.5"/>
  </r>
  <r>
    <s v="TXN-01038"/>
    <d v="2024-12-22T00:00:00"/>
    <n v="405"/>
    <s v="Oklahoma"/>
    <s v="South"/>
    <s v="Small Market"/>
    <s v="Beans"/>
    <x v="3"/>
    <x v="6"/>
    <s v="Decaf"/>
    <n v="788"/>
    <n v="27"/>
    <x v="41"/>
    <n v="82"/>
    <n v="58"/>
    <n v="65"/>
    <n v="0.31709999999999999"/>
    <n v="130"/>
    <n v="50"/>
    <n v="60"/>
    <n v="0.46150000000000002"/>
  </r>
  <r>
    <s v="TXN-01039"/>
    <d v="2024-12-22T00:00:00"/>
    <n v="206"/>
    <s v="Washington"/>
    <s v="West"/>
    <s v="Small Market"/>
    <s v="Beans"/>
    <x v="3"/>
    <x v="10"/>
    <s v="Regular"/>
    <n v="573"/>
    <n v="7"/>
    <x v="170"/>
    <n v="22"/>
    <n v="19"/>
    <n v="15"/>
    <n v="0.27779999999999999"/>
    <n v="30"/>
    <n v="10"/>
    <n v="20"/>
    <n v="0.66669999999999996"/>
  </r>
  <r>
    <s v="TXN-01040"/>
    <d v="2024-12-23T00:00:00"/>
    <n v="970"/>
    <s v="Colorado"/>
    <s v="Central"/>
    <s v="Major Market"/>
    <s v="Leaves"/>
    <x v="0"/>
    <x v="7"/>
    <s v="Regular"/>
    <n v="561"/>
    <n v="29"/>
    <x v="206"/>
    <n v="88"/>
    <n v="42"/>
    <n v="104"/>
    <n v="0.48830000000000001"/>
    <n v="160"/>
    <n v="70"/>
    <n v="60"/>
    <n v="0.375"/>
  </r>
  <r>
    <s v="TXN-01041"/>
    <d v="2024-12-24T00:00:00"/>
    <n v="516"/>
    <s v="New York"/>
    <s v="East"/>
    <s v="Major Market"/>
    <s v="Leaves"/>
    <x v="0"/>
    <x v="0"/>
    <s v="Regular"/>
    <n v="984"/>
    <n v="22"/>
    <x v="217"/>
    <n v="81"/>
    <n v="33"/>
    <n v="125"/>
    <n v="0.59240000000000004"/>
    <n v="200"/>
    <n v="80"/>
    <n v="90"/>
    <n v="0.45"/>
  </r>
  <r>
    <s v="TXN-01042"/>
    <d v="2024-12-24T00:00:00"/>
    <n v="712"/>
    <s v="Iowa"/>
    <s v="Central"/>
    <s v="Small Market"/>
    <s v="Leaves"/>
    <x v="2"/>
    <x v="4"/>
    <s v="Decaf"/>
    <n v="803"/>
    <n v="36"/>
    <x v="225"/>
    <n v="113"/>
    <n v="58"/>
    <n v="107"/>
    <n v="0.38490000000000002"/>
    <n v="250"/>
    <n v="100"/>
    <n v="100"/>
    <n v="0.4"/>
  </r>
  <r>
    <s v="TXN-01043"/>
    <d v="2024-12-25T00:00:00"/>
    <n v="505"/>
    <s v="New Mexico"/>
    <s v="South"/>
    <s v="Small Market"/>
    <s v="Beans"/>
    <x v="1"/>
    <x v="11"/>
    <s v="Decaf"/>
    <n v="1804"/>
    <n v="25"/>
    <x v="174"/>
    <n v="82"/>
    <n v="48"/>
    <n v="-12"/>
    <n v="-9.2299999999999993E-2"/>
    <n v="140"/>
    <n v="90"/>
    <n v="10"/>
    <n v="7.1400000000000005E-2"/>
  </r>
  <r>
    <s v="TXN-01044"/>
    <d v="2024-12-25T00:00:00"/>
    <n v="603"/>
    <s v="New Hampshire"/>
    <s v="East"/>
    <s v="Small Market"/>
    <s v="Leaves"/>
    <x v="2"/>
    <x v="4"/>
    <s v="Decaf"/>
    <n v="243"/>
    <n v="12"/>
    <x v="171"/>
    <n v="33"/>
    <n v="45"/>
    <n v="-6"/>
    <n v="-7.5899999999999995E-2"/>
    <n v="50"/>
    <n v="20"/>
    <n v="0"/>
    <n v="0"/>
  </r>
  <r>
    <s v="TXN-01045"/>
    <d v="2024-12-25T00:00:00"/>
    <n v="740"/>
    <s v="Ohio"/>
    <s v="Central"/>
    <s v="Major Market"/>
    <s v="Beans"/>
    <x v="3"/>
    <x v="6"/>
    <s v="Decaf"/>
    <n v="422"/>
    <n v="17"/>
    <x v="18"/>
    <n v="46"/>
    <n v="51"/>
    <n v="6"/>
    <n v="5.8299999999999998E-2"/>
    <n v="130"/>
    <n v="50"/>
    <n v="40"/>
    <n v="0.30769999999999997"/>
  </r>
  <r>
    <s v="TXN-01046"/>
    <d v="2024-12-25T00:00:00"/>
    <n v="509"/>
    <s v="Washington"/>
    <s v="West"/>
    <s v="Small Market"/>
    <s v="Beans"/>
    <x v="3"/>
    <x v="9"/>
    <s v="Regular"/>
    <n v="403"/>
    <n v="24"/>
    <x v="143"/>
    <n v="65"/>
    <n v="57"/>
    <n v="23"/>
    <n v="0.15859999999999999"/>
    <n v="140"/>
    <n v="60"/>
    <n v="30"/>
    <n v="0.21429999999999999"/>
  </r>
  <r>
    <s v="TXN-01047"/>
    <d v="2024-12-25T00:00:00"/>
    <n v="504"/>
    <s v="Louisiana"/>
    <s v="South"/>
    <s v="Small Market"/>
    <s v="Leaves"/>
    <x v="2"/>
    <x v="4"/>
    <s v="Decaf"/>
    <n v="593"/>
    <n v="30"/>
    <x v="196"/>
    <n v="79"/>
    <n v="64"/>
    <n v="34"/>
    <n v="0.19209999999999999"/>
    <n v="150"/>
    <n v="60"/>
    <n v="60"/>
    <n v="0.4"/>
  </r>
  <r>
    <s v="TXN-01048"/>
    <d v="2024-12-26T00:00:00"/>
    <n v="603"/>
    <s v="New Hampshire"/>
    <s v="East"/>
    <s v="Small Market"/>
    <s v="Beans"/>
    <x v="3"/>
    <x v="9"/>
    <s v="Regular"/>
    <n v="320"/>
    <n v="41"/>
    <x v="97"/>
    <n v="45"/>
    <n v="71"/>
    <n v="-7"/>
    <n v="-6.4199999999999993E-2"/>
    <n v="90"/>
    <n v="30"/>
    <n v="30"/>
    <n v="0.33329999999999999"/>
  </r>
  <r>
    <s v="TXN-01049"/>
    <d v="2024-12-26T00:00:00"/>
    <n v="937"/>
    <s v="Ohio"/>
    <s v="Central"/>
    <s v="Major Market"/>
    <s v="Leaves"/>
    <x v="2"/>
    <x v="2"/>
    <s v="Decaf"/>
    <n v="480"/>
    <n v="5"/>
    <x v="17"/>
    <n v="21"/>
    <n v="16"/>
    <n v="16"/>
    <n v="0.3019"/>
    <n v="30"/>
    <n v="0"/>
    <n v="30"/>
    <n v="1"/>
  </r>
  <r>
    <s v="TXN-01050"/>
    <d v="2024-12-26T00:00:00"/>
    <n v="972"/>
    <s v="Texas"/>
    <s v="South"/>
    <s v="Major Market"/>
    <s v="Beans"/>
    <x v="1"/>
    <x v="5"/>
    <s v="Regular"/>
    <n v="1321"/>
    <n v="74"/>
    <x v="226"/>
    <n v="241"/>
    <n v="96"/>
    <n v="188"/>
    <n v="0.35809999999999997"/>
    <n v="620"/>
    <n v="280"/>
    <n v="240"/>
    <n v="0.3871"/>
  </r>
  <r>
    <s v="TXN-01051"/>
    <d v="2024-12-26T00:00:00"/>
    <n v="786"/>
    <s v="Florida"/>
    <s v="East"/>
    <s v="Major Market"/>
    <s v="Beans"/>
    <x v="1"/>
    <x v="5"/>
    <s v="Regular"/>
    <n v="798"/>
    <n v="25"/>
    <x v="169"/>
    <n v="78"/>
    <n v="56"/>
    <n v="93"/>
    <n v="0.44290000000000002"/>
    <n v="170"/>
    <n v="70"/>
    <n v="60"/>
    <n v="0.35289999999999999"/>
  </r>
  <r>
    <s v="TXN-01052"/>
    <d v="2024-12-26T00:00:00"/>
    <n v="917"/>
    <s v="New York"/>
    <s v="East"/>
    <s v="Major Market"/>
    <s v="Beans"/>
    <x v="3"/>
    <x v="12"/>
    <s v="Regular"/>
    <n v="933"/>
    <n v="59"/>
    <x v="241"/>
    <n v="211"/>
    <n v="83"/>
    <n v="565"/>
    <n v="0.78580000000000005"/>
    <n v="660"/>
    <n v="200"/>
    <n v="390"/>
    <n v="0.59089999999999998"/>
  </r>
  <r>
    <s v="TXN-01053"/>
    <d v="2024-12-26T00:00:00"/>
    <n v="435"/>
    <s v="Utah"/>
    <s v="West"/>
    <s v="Small Market"/>
    <s v="Beans"/>
    <x v="1"/>
    <x v="1"/>
    <s v="Regular"/>
    <n v="1075"/>
    <n v="19"/>
    <x v="164"/>
    <n v="63"/>
    <n v="40"/>
    <n v="53"/>
    <n v="0.35809999999999997"/>
    <n v="160"/>
    <n v="70"/>
    <n v="50"/>
    <n v="0.3125"/>
  </r>
  <r>
    <s v="TXN-01054"/>
    <d v="2024-12-27T00:00:00"/>
    <n v="262"/>
    <s v="Wisconsin"/>
    <s v="Central"/>
    <s v="Small Market"/>
    <s v="Beans"/>
    <x v="1"/>
    <x v="1"/>
    <s v="Regular"/>
    <n v="391"/>
    <n v="20"/>
    <x v="93"/>
    <n v="54"/>
    <n v="53"/>
    <n v="21"/>
    <n v="0.1628"/>
    <n v="110"/>
    <n v="50"/>
    <n v="20"/>
    <n v="0.18179999999999999"/>
  </r>
  <r>
    <s v="TXN-01055"/>
    <d v="2024-12-27T00:00:00"/>
    <n v="407"/>
    <s v="Florida"/>
    <s v="East"/>
    <s v="Major Market"/>
    <s v="Leaves"/>
    <x v="2"/>
    <x v="8"/>
    <s v="Decaf"/>
    <n v="1079"/>
    <n v="24"/>
    <x v="5"/>
    <n v="80"/>
    <n v="46"/>
    <n v="74"/>
    <n v="0.39360000000000001"/>
    <n v="120"/>
    <n v="60"/>
    <n v="30"/>
    <n v="0.25"/>
  </r>
  <r>
    <s v="TXN-01056"/>
    <d v="2024-12-27T00:00:00"/>
    <n v="505"/>
    <s v="New Mexico"/>
    <s v="South"/>
    <s v="Small Market"/>
    <s v="Beans"/>
    <x v="1"/>
    <x v="11"/>
    <s v="Decaf"/>
    <n v="1698"/>
    <n v="26"/>
    <x v="97"/>
    <n v="86"/>
    <n v="49"/>
    <n v="-26"/>
    <n v="-0.23849999999999999"/>
    <n v="150"/>
    <n v="110"/>
    <n v="10"/>
    <n v="6.6699999999999995E-2"/>
  </r>
  <r>
    <s v="TXN-01057"/>
    <d v="2024-12-27T00:00:00"/>
    <n v="541"/>
    <s v="Oregon"/>
    <s v="West"/>
    <s v="Small Market"/>
    <s v="Leaves"/>
    <x v="2"/>
    <x v="4"/>
    <s v="Decaf"/>
    <n v="572"/>
    <n v="29"/>
    <x v="175"/>
    <n v="90"/>
    <n v="42"/>
    <n v="108"/>
    <n v="0.49540000000000001"/>
    <n v="160"/>
    <n v="60"/>
    <n v="90"/>
    <n v="0.5625"/>
  </r>
  <r>
    <s v="TXN-01058"/>
    <d v="2024-12-27T00:00:00"/>
    <n v="775"/>
    <s v="Nevada"/>
    <s v="West"/>
    <s v="Small Market"/>
    <s v="Leaves"/>
    <x v="2"/>
    <x v="8"/>
    <s v="Decaf"/>
    <n v="830"/>
    <n v="40"/>
    <x v="192"/>
    <n v="127"/>
    <n v="63"/>
    <n v="181"/>
    <n v="0.54520000000000002"/>
    <n v="290"/>
    <n v="120"/>
    <n v="120"/>
    <n v="0.4138"/>
  </r>
  <r>
    <s v="TXN-01059"/>
    <d v="2024-12-28T00:00:00"/>
    <n v="715"/>
    <s v="Wisconsin"/>
    <s v="Central"/>
    <s v="Small Market"/>
    <s v="Leaves"/>
    <x v="2"/>
    <x v="4"/>
    <s v="Decaf"/>
    <n v="863"/>
    <n v="9"/>
    <x v="138"/>
    <n v="34"/>
    <n v="21"/>
    <n v="30"/>
    <n v="0.35289999999999999"/>
    <n v="70"/>
    <n v="30"/>
    <n v="30"/>
    <n v="0.42859999999999998"/>
  </r>
  <r>
    <s v="TXN-01060"/>
    <d v="2024-12-28T00:00:00"/>
    <n v="608"/>
    <s v="Wisconsin"/>
    <s v="Central"/>
    <s v="Small Market"/>
    <s v="Beans"/>
    <x v="3"/>
    <x v="6"/>
    <s v="Decaf"/>
    <n v="567"/>
    <n v="7"/>
    <x v="26"/>
    <n v="24"/>
    <n v="19"/>
    <n v="19"/>
    <n v="0.31669999999999998"/>
    <n v="70"/>
    <n v="30"/>
    <n v="30"/>
    <n v="0.42859999999999998"/>
  </r>
  <r>
    <s v="TXN-01061"/>
    <d v="2024-12-28T00:00:00"/>
    <n v="603"/>
    <s v="New Hampshire"/>
    <s v="East"/>
    <s v="Small Market"/>
    <s v="Leaves"/>
    <x v="0"/>
    <x v="0"/>
    <s v="Regular"/>
    <n v="851"/>
    <n v="4"/>
    <x v="123"/>
    <n v="16"/>
    <n v="15"/>
    <n v="15"/>
    <n v="0.34089999999999998"/>
    <n v="40"/>
    <n v="10"/>
    <n v="20"/>
    <n v="0.5"/>
  </r>
  <r>
    <s v="TXN-01062"/>
    <d v="2024-12-28T00:00:00"/>
    <n v="845"/>
    <s v="New York"/>
    <s v="East"/>
    <s v="Major Market"/>
    <s v="Leaves"/>
    <x v="2"/>
    <x v="4"/>
    <s v="Decaf"/>
    <n v="1622"/>
    <n v="96"/>
    <x v="242"/>
    <n v="255"/>
    <n v="129"/>
    <n v="129"/>
    <n v="0.2515"/>
    <n v="290"/>
    <n v="140"/>
    <n v="70"/>
    <n v="0.241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2">
  <r>
    <d v="2024-01-01T00:00:00"/>
    <n v="715"/>
    <x v="0"/>
    <s v="Central"/>
    <s v="Small Market"/>
    <s v="Leaves"/>
    <s v="Tea"/>
    <s v="Darjeeling"/>
    <s v="Regular"/>
    <n v="454"/>
    <n v="15"/>
    <x v="0"/>
    <n v="49"/>
    <n v="38"/>
    <n v="49"/>
    <n v="0.38279999999999997"/>
    <n v="90"/>
    <n v="40"/>
    <n v="20"/>
    <n v="0.22220000000000001"/>
  </r>
  <r>
    <d v="2024-01-01T00:00:00"/>
    <n v="719"/>
    <x v="1"/>
    <s v="Central"/>
    <s v="Major Market"/>
    <s v="Beans"/>
    <s v="Coffee"/>
    <s v="Amaretto"/>
    <s v="Regular"/>
    <n v="959"/>
    <n v="34"/>
    <x v="1"/>
    <n v="123"/>
    <n v="45"/>
    <n v="134"/>
    <n v="0.44369999999999998"/>
    <n v="290"/>
    <n v="120"/>
    <n v="130"/>
    <n v="0.44829999999999998"/>
  </r>
  <r>
    <d v="2024-01-01T00:00:00"/>
    <n v="309"/>
    <x v="2"/>
    <s v="Central"/>
    <s v="Major Market"/>
    <s v="Leaves"/>
    <s v="Herbal Tea"/>
    <s v="Chamomile"/>
    <s v="Decaf"/>
    <n v="959"/>
    <n v="34"/>
    <x v="1"/>
    <n v="123"/>
    <n v="46"/>
    <n v="133"/>
    <n v="0.44040000000000001"/>
    <n v="280"/>
    <n v="110"/>
    <n v="130"/>
    <n v="0.46429999999999999"/>
  </r>
  <r>
    <d v="2024-01-02T00:00:00"/>
    <n v="719"/>
    <x v="1"/>
    <s v="Central"/>
    <s v="Major Market"/>
    <s v="Leaves"/>
    <s v="Tea"/>
    <s v="Earl Grey"/>
    <s v="Regular"/>
    <n v="1042"/>
    <n v="17"/>
    <x v="2"/>
    <n v="57"/>
    <n v="39"/>
    <n v="43"/>
    <n v="0.32329999999999998"/>
    <n v="100"/>
    <n v="40"/>
    <n v="30"/>
    <n v="0.3"/>
  </r>
  <r>
    <d v="2024-01-02T00:00:00"/>
    <n v="505"/>
    <x v="3"/>
    <s v="South"/>
    <s v="Small Market"/>
    <s v="Leaves"/>
    <s v="Herbal Tea"/>
    <s v="Lemon"/>
    <s v="Decaf"/>
    <n v="1000"/>
    <n v="9"/>
    <x v="3"/>
    <n v="31"/>
    <n v="31"/>
    <n v="9"/>
    <n v="0.125"/>
    <n v="50"/>
    <n v="10"/>
    <n v="30"/>
    <n v="0.6"/>
  </r>
  <r>
    <d v="2024-01-03T00:00:00"/>
    <n v="262"/>
    <x v="0"/>
    <s v="Central"/>
    <s v="Small Market"/>
    <s v="Leaves"/>
    <s v="Tea"/>
    <s v="Earl Grey"/>
    <s v="Regular"/>
    <n v="627"/>
    <n v="49"/>
    <x v="4"/>
    <n v="55"/>
    <n v="79"/>
    <n v="-4"/>
    <n v="-2.86E-2"/>
    <n v="100"/>
    <n v="40"/>
    <n v="0"/>
    <n v="0"/>
  </r>
  <r>
    <d v="2024-01-03T00:00:00"/>
    <n v="985"/>
    <x v="4"/>
    <s v="South"/>
    <s v="Small Market"/>
    <s v="Beans"/>
    <s v="Coffee"/>
    <s v="Colombian"/>
    <s v="Regular"/>
    <n v="845"/>
    <n v="13"/>
    <x v="0"/>
    <n v="49"/>
    <n v="25"/>
    <n v="68"/>
    <n v="0.53129999999999999"/>
    <n v="140"/>
    <n v="50"/>
    <n v="70"/>
    <n v="0.5"/>
  </r>
  <r>
    <d v="2024-01-04T00:00:00"/>
    <n v="360"/>
    <x v="5"/>
    <s v="West"/>
    <s v="Small Market"/>
    <s v="Beans"/>
    <s v="Espresso"/>
    <s v="Decaf Espresso"/>
    <s v="Decaf"/>
    <n v="1079"/>
    <n v="24"/>
    <x v="5"/>
    <n v="80"/>
    <n v="45"/>
    <n v="76"/>
    <n v="0.40429999999999999"/>
    <n v="170"/>
    <n v="70"/>
    <n v="60"/>
    <n v="0.35289999999999999"/>
  </r>
  <r>
    <d v="2024-01-05T00:00:00"/>
    <n v="715"/>
    <x v="0"/>
    <s v="Central"/>
    <s v="Small Market"/>
    <s v="Beans"/>
    <s v="Espresso"/>
    <s v="Decaf Espresso"/>
    <s v="Decaf"/>
    <n v="573"/>
    <n v="7"/>
    <x v="6"/>
    <n v="22"/>
    <n v="19"/>
    <n v="10"/>
    <n v="0.1961"/>
    <n v="70"/>
    <n v="20"/>
    <n v="50"/>
    <n v="0.71430000000000005"/>
  </r>
  <r>
    <d v="2024-01-05T00:00:00"/>
    <n v="314"/>
    <x v="6"/>
    <s v="Central"/>
    <s v="Small Market"/>
    <s v="Leaves"/>
    <s v="Tea"/>
    <s v="Green Tea"/>
    <s v="Regular"/>
    <n v="243"/>
    <n v="12"/>
    <x v="7"/>
    <n v="33"/>
    <n v="45"/>
    <n v="-4"/>
    <n v="-5.4100000000000002E-2"/>
    <n v="60"/>
    <n v="20"/>
    <n v="0"/>
    <n v="0"/>
  </r>
  <r>
    <d v="2024-01-05T00:00:00"/>
    <n v="985"/>
    <x v="4"/>
    <s v="South"/>
    <s v="Small Market"/>
    <s v="Leaves"/>
    <s v="Herbal Tea"/>
    <s v="Chamomile"/>
    <s v="Decaf"/>
    <n v="540"/>
    <n v="31"/>
    <x v="8"/>
    <n v="94"/>
    <n v="43"/>
    <n v="114"/>
    <n v="0.5"/>
    <n v="190"/>
    <n v="80"/>
    <n v="70"/>
    <n v="0.36840000000000001"/>
  </r>
  <r>
    <d v="2024-01-07T00:00:00"/>
    <n v="209"/>
    <x v="7"/>
    <s v="West"/>
    <s v="Major Market"/>
    <s v="Leaves"/>
    <s v="Tea"/>
    <s v="Green Tea"/>
    <s v="Regular"/>
    <n v="659"/>
    <n v="24"/>
    <x v="9"/>
    <n v="75"/>
    <n v="55"/>
    <n v="88"/>
    <n v="0.43780000000000002"/>
    <n v="130"/>
    <n v="50"/>
    <n v="40"/>
    <n v="0.30769999999999997"/>
  </r>
  <r>
    <d v="2024-01-07T00:00:00"/>
    <n v="970"/>
    <x v="1"/>
    <s v="Central"/>
    <s v="Major Market"/>
    <s v="Beans"/>
    <s v="Coffee"/>
    <s v="Amaretto"/>
    <s v="Regular"/>
    <n v="930"/>
    <n v="33"/>
    <x v="10"/>
    <n v="118"/>
    <n v="44"/>
    <n v="128"/>
    <n v="0.44140000000000001"/>
    <n v="280"/>
    <n v="110"/>
    <n v="130"/>
    <n v="0.46429999999999999"/>
  </r>
  <r>
    <d v="2024-01-07T00:00:00"/>
    <n v="702"/>
    <x v="8"/>
    <s v="West"/>
    <s v="Small Market"/>
    <s v="Leaves"/>
    <s v="Herbal Tea"/>
    <s v="Mint"/>
    <s v="Decaf"/>
    <n v="789"/>
    <n v="39"/>
    <x v="11"/>
    <n v="122"/>
    <n v="62"/>
    <n v="114"/>
    <n v="0.3826"/>
    <n v="240"/>
    <n v="90"/>
    <n v="130"/>
    <n v="0.54169999999999996"/>
  </r>
  <r>
    <d v="2024-01-07T00:00:00"/>
    <n v="916"/>
    <x v="7"/>
    <s v="West"/>
    <s v="Major Market"/>
    <s v="Beans"/>
    <s v="Espresso"/>
    <s v="Caffe Mocha"/>
    <s v="Regular"/>
    <n v="912"/>
    <n v="109"/>
    <x v="12"/>
    <n v="121"/>
    <n v="142"/>
    <n v="39"/>
    <n v="0.12659999999999999"/>
    <n v="280"/>
    <n v="110"/>
    <n v="40"/>
    <n v="0.1429"/>
  </r>
  <r>
    <d v="2024-01-08T00:00:00"/>
    <n v="920"/>
    <x v="0"/>
    <s v="Central"/>
    <s v="Small Market"/>
    <s v="Leaves"/>
    <s v="Herbal Tea"/>
    <s v="Chamomile"/>
    <s v="Decaf"/>
    <n v="320"/>
    <n v="12"/>
    <x v="13"/>
    <n v="41"/>
    <n v="36"/>
    <n v="45"/>
    <n v="0.3947"/>
    <n v="90"/>
    <n v="30"/>
    <n v="30"/>
    <n v="0.33329999999999999"/>
  </r>
  <r>
    <d v="2024-01-09T00:00:00"/>
    <n v="971"/>
    <x v="9"/>
    <s v="West"/>
    <s v="Small Market"/>
    <s v="Beans"/>
    <s v="Espresso"/>
    <s v="Caffe Latte"/>
    <s v="Regular"/>
    <n v="404"/>
    <n v="20"/>
    <x v="0"/>
    <n v="54"/>
    <n v="54"/>
    <n v="18"/>
    <n v="0.1406"/>
    <n v="100"/>
    <n v="40"/>
    <n v="40"/>
    <n v="0.4"/>
  </r>
  <r>
    <d v="2024-01-09T00:00:00"/>
    <n v="541"/>
    <x v="9"/>
    <s v="West"/>
    <s v="Small Market"/>
    <s v="Beans"/>
    <s v="Espresso"/>
    <s v="Caffe Mocha"/>
    <s v="Regular"/>
    <n v="411"/>
    <n v="19"/>
    <x v="14"/>
    <n v="59"/>
    <n v="46"/>
    <n v="49"/>
    <n v="0.33329999999999999"/>
    <n v="130"/>
    <n v="50"/>
    <n v="50"/>
    <n v="0.3846"/>
  </r>
  <r>
    <d v="2024-01-09T00:00:00"/>
    <n v="816"/>
    <x v="6"/>
    <s v="Central"/>
    <s v="Small Market"/>
    <s v="Leaves"/>
    <s v="Tea"/>
    <s v="Earl Grey"/>
    <s v="Regular"/>
    <n v="218"/>
    <n v="7"/>
    <x v="15"/>
    <n v="20"/>
    <n v="41"/>
    <n v="-24"/>
    <n v="-0.5"/>
    <n v="30"/>
    <n v="10"/>
    <n v="-10"/>
    <n v="-0.33329999999999999"/>
  </r>
  <r>
    <d v="2024-01-10T00:00:00"/>
    <n v="806"/>
    <x v="10"/>
    <s v="South"/>
    <s v="Major Market"/>
    <s v="Leaves"/>
    <s v="Herbal Tea"/>
    <s v="Lemon"/>
    <s v="Decaf"/>
    <n v="424"/>
    <n v="14"/>
    <x v="16"/>
    <n v="46"/>
    <n v="37"/>
    <n v="46"/>
    <n v="0.38019999999999998"/>
    <n v="100"/>
    <n v="40"/>
    <n v="30"/>
    <n v="0.3"/>
  </r>
  <r>
    <d v="2024-01-10T00:00:00"/>
    <n v="413"/>
    <x v="11"/>
    <s v="East"/>
    <s v="Major Market"/>
    <s v="Leaves"/>
    <s v="Tea"/>
    <s v="Green Tea"/>
    <s v="Regular"/>
    <n v="480"/>
    <n v="5"/>
    <x v="17"/>
    <n v="21"/>
    <n v="17"/>
    <n v="15"/>
    <n v="0.28299999999999997"/>
    <n v="50"/>
    <n v="20"/>
    <n v="30"/>
    <n v="0.6"/>
  </r>
  <r>
    <d v="2024-01-11T00:00:00"/>
    <n v="508"/>
    <x v="11"/>
    <s v="East"/>
    <s v="Major Market"/>
    <s v="Leaves"/>
    <s v="Herbal Tea"/>
    <s v="Lemon"/>
    <s v="Decaf"/>
    <n v="422"/>
    <n v="17"/>
    <x v="18"/>
    <n v="46"/>
    <n v="50"/>
    <n v="7"/>
    <n v="6.8000000000000005E-2"/>
    <n v="70"/>
    <n v="30"/>
    <n v="10"/>
    <n v="0.1429"/>
  </r>
  <r>
    <d v="2024-01-11T00:00:00"/>
    <n v="573"/>
    <x v="6"/>
    <s v="Central"/>
    <s v="Small Market"/>
    <s v="Beans"/>
    <s v="Espresso"/>
    <s v="Caffe Mocha"/>
    <s v="Regular"/>
    <n v="885"/>
    <n v="15"/>
    <x v="19"/>
    <n v="54"/>
    <n v="27"/>
    <n v="76"/>
    <n v="0.53900000000000003"/>
    <n v="160"/>
    <n v="60"/>
    <n v="80"/>
    <n v="0.5"/>
  </r>
  <r>
    <d v="2024-01-11T00:00:00"/>
    <n v="414"/>
    <x v="0"/>
    <s v="Central"/>
    <s v="Small Market"/>
    <s v="Beans"/>
    <s v="Coffee"/>
    <s v="Decaf Irish Cream"/>
    <s v="Decaf"/>
    <n v="575"/>
    <n v="27"/>
    <x v="20"/>
    <n v="83"/>
    <n v="55"/>
    <n v="85"/>
    <n v="0.40870000000000001"/>
    <n v="190"/>
    <n v="80"/>
    <n v="70"/>
    <n v="0.36840000000000001"/>
  </r>
  <r>
    <d v="2024-01-12T00:00:00"/>
    <n v="937"/>
    <x v="12"/>
    <s v="Central"/>
    <s v="Major Market"/>
    <s v="Leaves"/>
    <s v="Herbal Tea"/>
    <s v="Chamomile"/>
    <s v="Decaf"/>
    <n v="482"/>
    <n v="8"/>
    <x v="21"/>
    <n v="32"/>
    <n v="19"/>
    <n v="29"/>
    <n v="0.36249999999999999"/>
    <n v="70"/>
    <n v="30"/>
    <n v="30"/>
    <n v="0.42859999999999998"/>
  </r>
  <r>
    <d v="2024-01-12T00:00:00"/>
    <n v="419"/>
    <x v="12"/>
    <s v="Central"/>
    <s v="Major Market"/>
    <s v="Beans"/>
    <s v="Coffee"/>
    <s v="Decaf Irish Cream"/>
    <s v="Decaf"/>
    <n v="521"/>
    <n v="42"/>
    <x v="22"/>
    <n v="47"/>
    <n v="71"/>
    <n v="-6"/>
    <n v="-5.3600000000000002E-2"/>
    <n v="110"/>
    <n v="40"/>
    <n v="10"/>
    <n v="9.0899999999999995E-2"/>
  </r>
  <r>
    <d v="2024-01-12T00:00:00"/>
    <n v="970"/>
    <x v="1"/>
    <s v="Central"/>
    <s v="Major Market"/>
    <s v="Beans"/>
    <s v="Espresso"/>
    <s v="Decaf Espresso"/>
    <s v="Decaf"/>
    <n v="677"/>
    <n v="22"/>
    <x v="23"/>
    <n v="67"/>
    <n v="54"/>
    <n v="47"/>
    <n v="0.27979999999999999"/>
    <n v="210"/>
    <n v="80"/>
    <n v="80"/>
    <n v="0.38100000000000001"/>
  </r>
  <r>
    <d v="2024-01-13T00:00:00"/>
    <n v="937"/>
    <x v="12"/>
    <s v="Central"/>
    <s v="Major Market"/>
    <s v="Leaves"/>
    <s v="Herbal Tea"/>
    <s v="Chamomile"/>
    <s v="Decaf"/>
    <n v="490"/>
    <n v="8"/>
    <x v="24"/>
    <n v="29"/>
    <n v="19"/>
    <n v="25"/>
    <n v="0.34250000000000003"/>
    <n v="60"/>
    <n v="20"/>
    <n v="30"/>
    <n v="0.5"/>
  </r>
  <r>
    <d v="2024-01-13T00:00:00"/>
    <n v="504"/>
    <x v="4"/>
    <s v="South"/>
    <s v="Small Market"/>
    <s v="Beans"/>
    <s v="Espresso"/>
    <s v="Caffe Latte"/>
    <s v="Regular"/>
    <n v="-906"/>
    <n v="55"/>
    <x v="14"/>
    <n v="61"/>
    <n v="85"/>
    <n v="1"/>
    <n v="6.7999999999999996E-3"/>
    <n v="110"/>
    <n v="40"/>
    <n v="10"/>
    <n v="9.0899999999999995E-2"/>
  </r>
  <r>
    <d v="2024-01-13T00:00:00"/>
    <n v="432"/>
    <x v="10"/>
    <s v="South"/>
    <s v="Major Market"/>
    <s v="Beans"/>
    <s v="Coffee"/>
    <s v="Colombian"/>
    <s v="Regular"/>
    <n v="1246"/>
    <n v="74"/>
    <x v="25"/>
    <n v="239"/>
    <n v="96"/>
    <n v="275"/>
    <n v="0.49640000000000001"/>
    <n v="770"/>
    <n v="350"/>
    <n v="340"/>
    <n v="0.44159999999999999"/>
  </r>
  <r>
    <d v="2024-01-13T00:00:00"/>
    <n v="573"/>
    <x v="6"/>
    <s v="Central"/>
    <s v="Small Market"/>
    <s v="Leaves"/>
    <s v="Tea"/>
    <s v="Earl Grey"/>
    <s v="Regular"/>
    <n v="209"/>
    <n v="9"/>
    <x v="26"/>
    <n v="25"/>
    <n v="42"/>
    <n v="-16"/>
    <n v="-0.26669999999999999"/>
    <n v="30"/>
    <n v="10"/>
    <n v="0"/>
    <n v="0"/>
  </r>
  <r>
    <d v="2024-01-13T00:00:00"/>
    <n v="775"/>
    <x v="8"/>
    <s v="West"/>
    <s v="Small Market"/>
    <s v="Beans"/>
    <s v="Espresso"/>
    <s v="Caffe Mocha"/>
    <s v="Regular"/>
    <n v="846"/>
    <n v="5"/>
    <x v="27"/>
    <n v="21"/>
    <n v="17"/>
    <n v="21"/>
    <n v="0.38179999999999997"/>
    <n v="30"/>
    <n v="10"/>
    <n v="20"/>
    <n v="0.66669999999999996"/>
  </r>
  <r>
    <d v="2024-01-14T00:00:00"/>
    <n v="262"/>
    <x v="0"/>
    <s v="Central"/>
    <s v="Small Market"/>
    <s v="Leaves"/>
    <s v="Herbal Tea"/>
    <s v="Lemon"/>
    <s v="Decaf"/>
    <n v="856"/>
    <n v="8"/>
    <x v="28"/>
    <n v="31"/>
    <n v="20"/>
    <n v="27"/>
    <n v="0.34620000000000001"/>
    <n v="70"/>
    <n v="20"/>
    <n v="40"/>
    <n v="0.57140000000000002"/>
  </r>
  <r>
    <d v="2024-01-14T00:00:00"/>
    <n v="435"/>
    <x v="13"/>
    <s v="West"/>
    <s v="Small Market"/>
    <s v="Leaves"/>
    <s v="Tea"/>
    <s v="Darjeeling"/>
    <s v="Regular"/>
    <n v="335"/>
    <n v="44"/>
    <x v="29"/>
    <n v="49"/>
    <n v="73"/>
    <n v="-6"/>
    <n v="-4.7600000000000003E-2"/>
    <n v="80"/>
    <n v="30"/>
    <n v="0"/>
    <n v="0"/>
  </r>
  <r>
    <d v="2024-01-14T00:00:00"/>
    <n v="614"/>
    <x v="12"/>
    <s v="Central"/>
    <s v="Major Market"/>
    <s v="Beans"/>
    <s v="Coffee"/>
    <s v="Amaretto"/>
    <s v="Regular"/>
    <n v="405"/>
    <n v="17"/>
    <x v="30"/>
    <n v="52"/>
    <n v="45"/>
    <n v="39"/>
    <n v="0.29770000000000002"/>
    <n v="110"/>
    <n v="40"/>
    <n v="60"/>
    <n v="0.54549999999999998"/>
  </r>
  <r>
    <d v="2024-01-14T00:00:00"/>
    <n v="409"/>
    <x v="10"/>
    <s v="South"/>
    <s v="Major Market"/>
    <s v="Beans"/>
    <s v="Coffee"/>
    <s v="Colombian"/>
    <s v="Regular"/>
    <n v="1321"/>
    <n v="74"/>
    <x v="31"/>
    <n v="241"/>
    <n v="96"/>
    <n v="279"/>
    <n v="0.49909999999999999"/>
    <n v="620"/>
    <n v="280"/>
    <n v="240"/>
    <n v="0.3871"/>
  </r>
  <r>
    <d v="2024-01-15T00:00:00"/>
    <n v="212"/>
    <x v="14"/>
    <s v="East"/>
    <s v="Major Market"/>
    <s v="Beans"/>
    <s v="Espresso"/>
    <s v="Caffe Mocha"/>
    <s v="Regular"/>
    <n v="3641"/>
    <n v="122"/>
    <x v="32"/>
    <n v="135"/>
    <n v="155"/>
    <n v="-224"/>
    <n v="-3.3938999999999999"/>
    <n v="60"/>
    <n v="130"/>
    <n v="-210"/>
    <n v="-3.5"/>
  </r>
  <r>
    <d v="2024-01-15T00:00:00"/>
    <n v="518"/>
    <x v="14"/>
    <s v="East"/>
    <s v="Major Market"/>
    <s v="Beans"/>
    <s v="Espresso"/>
    <s v="Regular Espresso"/>
    <s v="Regular"/>
    <n v="723"/>
    <n v="70"/>
    <x v="33"/>
    <n v="250"/>
    <n v="95"/>
    <n v="463"/>
    <n v="0.66139999999999999"/>
    <n v="640"/>
    <n v="240"/>
    <n v="320"/>
    <n v="0.5"/>
  </r>
  <r>
    <d v="2024-01-15T00:00:00"/>
    <n v="518"/>
    <x v="14"/>
    <s v="East"/>
    <s v="Major Market"/>
    <s v="Leaves"/>
    <s v="Tea"/>
    <s v="Earl Grey"/>
    <s v="Regular"/>
    <n v="959"/>
    <n v="34"/>
    <x v="34"/>
    <n v="123"/>
    <n v="46"/>
    <n v="197"/>
    <n v="0.61180000000000001"/>
    <n v="310"/>
    <n v="120"/>
    <n v="150"/>
    <n v="0.4839"/>
  </r>
  <r>
    <d v="2024-01-15T00:00:00"/>
    <n v="715"/>
    <x v="0"/>
    <s v="Central"/>
    <s v="Small Market"/>
    <s v="Beans"/>
    <s v="Coffee"/>
    <s v="Colombian"/>
    <s v="Regular"/>
    <n v="683"/>
    <n v="87"/>
    <x v="35"/>
    <n v="96"/>
    <n v="116"/>
    <n v="18"/>
    <n v="7.8299999999999995E-2"/>
    <n v="230"/>
    <n v="90"/>
    <n v="60"/>
    <n v="0.26090000000000002"/>
  </r>
  <r>
    <d v="2024-01-15T00:00:00"/>
    <n v="775"/>
    <x v="8"/>
    <s v="West"/>
    <s v="Small Market"/>
    <s v="Leaves"/>
    <s v="Herbal Tea"/>
    <s v="Mint"/>
    <s v="Decaf"/>
    <n v="830"/>
    <n v="40"/>
    <x v="36"/>
    <n v="127"/>
    <n v="63"/>
    <n v="122"/>
    <n v="0.39100000000000001"/>
    <n v="290"/>
    <n v="120"/>
    <n v="120"/>
    <n v="0.4138"/>
  </r>
  <r>
    <d v="2024-01-16T00:00:00"/>
    <n v="541"/>
    <x v="9"/>
    <s v="West"/>
    <s v="Small Market"/>
    <s v="Beans"/>
    <s v="Espresso"/>
    <s v="Caffe Latte"/>
    <s v="Regular"/>
    <n v="410"/>
    <n v="20"/>
    <x v="37"/>
    <n v="55"/>
    <n v="53"/>
    <n v="16"/>
    <n v="0.129"/>
    <n v="120"/>
    <n v="50"/>
    <n v="30"/>
    <n v="0.25"/>
  </r>
  <r>
    <d v="2024-01-16T00:00:00"/>
    <n v="503"/>
    <x v="9"/>
    <s v="West"/>
    <s v="Small Market"/>
    <s v="Beans"/>
    <s v="Coffee"/>
    <s v="Decaf Irish Cream"/>
    <s v="Decaf"/>
    <n v="424"/>
    <n v="14"/>
    <x v="16"/>
    <n v="46"/>
    <n v="36"/>
    <n v="47"/>
    <n v="0.38840000000000002"/>
    <n v="130"/>
    <n v="50"/>
    <n v="50"/>
    <n v="0.3846"/>
  </r>
  <r>
    <d v="2024-01-16T00:00:00"/>
    <n v="805"/>
    <x v="7"/>
    <s v="West"/>
    <s v="Major Market"/>
    <s v="Beans"/>
    <s v="Espresso"/>
    <s v="Caffe Mocha"/>
    <s v="Regular"/>
    <n v="898"/>
    <n v="113"/>
    <x v="38"/>
    <n v="125"/>
    <n v="146"/>
    <n v="40"/>
    <n v="0.1258"/>
    <n v="270"/>
    <n v="110"/>
    <n v="50"/>
    <n v="0.1852"/>
  </r>
  <r>
    <d v="2024-01-17T00:00:00"/>
    <n v="603"/>
    <x v="15"/>
    <s v="East"/>
    <s v="Small Market"/>
    <s v="Beans"/>
    <s v="Coffee"/>
    <s v="Amaretto"/>
    <s v="Regular"/>
    <n v="327"/>
    <n v="16"/>
    <x v="39"/>
    <n v="52"/>
    <n v="38"/>
    <n v="55"/>
    <n v="0.40739999999999998"/>
    <n v="110"/>
    <n v="40"/>
    <n v="50"/>
    <n v="0.45450000000000002"/>
  </r>
  <r>
    <d v="2024-01-17T00:00:00"/>
    <n v="318"/>
    <x v="4"/>
    <s v="South"/>
    <s v="Small Market"/>
    <s v="Beans"/>
    <s v="Coffee"/>
    <s v="Colombian"/>
    <s v="Regular"/>
    <n v="845"/>
    <n v="13"/>
    <x v="40"/>
    <n v="49"/>
    <n v="25"/>
    <n v="46"/>
    <n v="0.38329999999999997"/>
    <n v="140"/>
    <n v="50"/>
    <n v="70"/>
    <n v="0.5"/>
  </r>
  <r>
    <d v="2024-01-17T00:00:00"/>
    <n v="720"/>
    <x v="1"/>
    <s v="Central"/>
    <s v="Major Market"/>
    <s v="Leaves"/>
    <s v="Tea"/>
    <s v="Green Tea"/>
    <s v="Regular"/>
    <n v="572"/>
    <n v="29"/>
    <x v="41"/>
    <n v="90"/>
    <n v="41"/>
    <n v="74"/>
    <n v="0.36099999999999999"/>
    <n v="140"/>
    <n v="50"/>
    <n v="80"/>
    <n v="0.57140000000000002"/>
  </r>
  <r>
    <d v="2024-01-17T00:00:00"/>
    <n v="262"/>
    <x v="0"/>
    <s v="Central"/>
    <s v="Small Market"/>
    <s v="Beans"/>
    <s v="Espresso"/>
    <s v="Caffe Mocha"/>
    <s v="Regular"/>
    <n v="1055"/>
    <n v="24"/>
    <x v="42"/>
    <n v="80"/>
    <n v="46"/>
    <n v="71"/>
    <n v="0.38379999999999997"/>
    <n v="250"/>
    <n v="110"/>
    <n v="120"/>
    <n v="0.48"/>
  </r>
  <r>
    <d v="2024-01-18T00:00:00"/>
    <n v="573"/>
    <x v="6"/>
    <s v="Central"/>
    <s v="Small Market"/>
    <s v="Leaves"/>
    <s v="Tea"/>
    <s v="Darjeeling"/>
    <s v="Regular"/>
    <n v="256"/>
    <n v="12"/>
    <x v="43"/>
    <n v="38"/>
    <n v="40"/>
    <n v="11"/>
    <n v="0.1236"/>
    <n v="70"/>
    <n v="30"/>
    <n v="10"/>
    <n v="0.1429"/>
  </r>
  <r>
    <d v="2024-01-18T00:00:00"/>
    <n v="505"/>
    <x v="3"/>
    <s v="South"/>
    <s v="Small Market"/>
    <s v="Beans"/>
    <s v="Coffee"/>
    <s v="Colombian"/>
    <s v="Regular"/>
    <n v="452"/>
    <n v="14"/>
    <x v="44"/>
    <n v="43"/>
    <n v="46"/>
    <n v="30"/>
    <n v="0.2586"/>
    <n v="120"/>
    <n v="50"/>
    <n v="30"/>
    <n v="0.25"/>
  </r>
  <r>
    <d v="2024-01-18T00:00:00"/>
    <n v="985"/>
    <x v="4"/>
    <s v="South"/>
    <s v="Small Market"/>
    <s v="Leaves"/>
    <s v="Herbal Tea"/>
    <s v="Chamomile"/>
    <s v="Decaf"/>
    <n v="552"/>
    <n v="33"/>
    <x v="45"/>
    <n v="101"/>
    <n v="45"/>
    <n v="126"/>
    <n v="0.51219999999999999"/>
    <n v="210"/>
    <n v="90"/>
    <n v="80"/>
    <n v="0.38100000000000001"/>
  </r>
  <r>
    <d v="2024-01-18T00:00:00"/>
    <n v="239"/>
    <x v="16"/>
    <s v="East"/>
    <s v="Major Market"/>
    <s v="Beans"/>
    <s v="Espresso"/>
    <s v="Caffe Mocha"/>
    <s v="Regular"/>
    <n v="683"/>
    <n v="87"/>
    <x v="35"/>
    <n v="96"/>
    <n v="116"/>
    <n v="18"/>
    <n v="7.8299999999999995E-2"/>
    <n v="210"/>
    <n v="80"/>
    <n v="50"/>
    <n v="0.23810000000000001"/>
  </r>
  <r>
    <d v="2024-01-18T00:00:00"/>
    <n v="815"/>
    <x v="2"/>
    <s v="Central"/>
    <s v="Major Market"/>
    <s v="Beans"/>
    <s v="Coffee"/>
    <s v="Colombian"/>
    <s v="Regular"/>
    <n v="1132"/>
    <n v="50"/>
    <x v="46"/>
    <n v="154"/>
    <n v="93"/>
    <n v="178"/>
    <n v="0.45519999999999999"/>
    <n v="370"/>
    <n v="150"/>
    <n v="160"/>
    <n v="0.43240000000000001"/>
  </r>
  <r>
    <d v="2024-01-19T00:00:00"/>
    <n v="305"/>
    <x v="16"/>
    <s v="East"/>
    <s v="Major Market"/>
    <s v="Leaves"/>
    <s v="Herbal Tea"/>
    <s v="Lemon"/>
    <s v="Decaf"/>
    <n v="403"/>
    <n v="24"/>
    <x v="47"/>
    <n v="65"/>
    <n v="57"/>
    <n v="34"/>
    <n v="0.21940000000000001"/>
    <n v="100"/>
    <n v="40"/>
    <n v="20"/>
    <n v="0.2"/>
  </r>
  <r>
    <d v="2024-01-19T00:00:00"/>
    <n v="775"/>
    <x v="8"/>
    <s v="West"/>
    <s v="Small Market"/>
    <s v="Beans"/>
    <s v="Coffee"/>
    <s v="Decaf Irish Cream"/>
    <s v="Decaf"/>
    <n v="1009"/>
    <n v="9"/>
    <x v="7"/>
    <n v="31"/>
    <n v="30"/>
    <n v="12"/>
    <n v="0.16220000000000001"/>
    <n v="80"/>
    <n v="30"/>
    <n v="30"/>
    <n v="0.375"/>
  </r>
  <r>
    <d v="2024-01-19T00:00:00"/>
    <n v="253"/>
    <x v="5"/>
    <s v="West"/>
    <s v="Small Market"/>
    <s v="Beans"/>
    <s v="Espresso"/>
    <s v="Caffe Mocha"/>
    <s v="Regular"/>
    <n v="385"/>
    <n v="21"/>
    <x v="29"/>
    <n v="56"/>
    <n v="54"/>
    <n v="16"/>
    <n v="0.127"/>
    <n v="110"/>
    <n v="40"/>
    <n v="50"/>
    <n v="0.45450000000000002"/>
  </r>
  <r>
    <d v="2024-01-19T00:00:00"/>
    <n v="772"/>
    <x v="16"/>
    <s v="East"/>
    <s v="Major Market"/>
    <s v="Beans"/>
    <s v="Coffee"/>
    <s v="Decaf Irish Cream"/>
    <s v="Decaf"/>
    <n v="656"/>
    <n v="28"/>
    <x v="48"/>
    <n v="91"/>
    <n v="51"/>
    <n v="113"/>
    <n v="0.48709999999999998"/>
    <n v="180"/>
    <n v="70"/>
    <n v="90"/>
    <n v="0.5"/>
  </r>
  <r>
    <d v="2024-01-19T00:00:00"/>
    <n v="641"/>
    <x v="17"/>
    <s v="Central"/>
    <s v="Small Market"/>
    <s v="Beans"/>
    <s v="Coffee"/>
    <s v="Decaf Irish Cream"/>
    <s v="Decaf"/>
    <n v="598"/>
    <n v="3"/>
    <x v="49"/>
    <n v="10"/>
    <n v="15"/>
    <n v="-2"/>
    <n v="-8.6999999999999994E-2"/>
    <n v="10"/>
    <n v="0"/>
    <n v="10"/>
    <n v="1"/>
  </r>
  <r>
    <d v="2024-01-20T00:00:00"/>
    <n v="719"/>
    <x v="1"/>
    <s v="Central"/>
    <s v="Major Market"/>
    <s v="Leaves"/>
    <s v="Tea"/>
    <s v="Darjeeling"/>
    <s v="Regular"/>
    <n v="410"/>
    <n v="20"/>
    <x v="50"/>
    <n v="55"/>
    <n v="54"/>
    <n v="22"/>
    <n v="0.16669999999999999"/>
    <n v="100"/>
    <n v="40"/>
    <n v="20"/>
    <n v="0.2"/>
  </r>
  <r>
    <d v="2024-01-20T00:00:00"/>
    <n v="847"/>
    <x v="2"/>
    <s v="Central"/>
    <s v="Major Market"/>
    <s v="Beans"/>
    <s v="Espresso"/>
    <s v="Decaf Espresso"/>
    <s v="Decaf"/>
    <n v="1778"/>
    <n v="59"/>
    <x v="51"/>
    <n v="211"/>
    <n v="83"/>
    <n v="129"/>
    <n v="0.30499999999999999"/>
    <n v="540"/>
    <n v="270"/>
    <n v="200"/>
    <n v="0.37040000000000001"/>
  </r>
  <r>
    <d v="2024-01-20T00:00:00"/>
    <n v="530"/>
    <x v="7"/>
    <s v="West"/>
    <s v="Major Market"/>
    <s v="Beans"/>
    <s v="Coffee"/>
    <s v="Colombian"/>
    <s v="Regular"/>
    <n v="2642"/>
    <n v="97"/>
    <x v="52"/>
    <n v="279"/>
    <n v="149"/>
    <n v="402"/>
    <n v="0.53959999999999997"/>
    <n v="830"/>
    <n v="330"/>
    <n v="350"/>
    <n v="0.42170000000000002"/>
  </r>
  <r>
    <d v="2024-01-21T00:00:00"/>
    <n v="614"/>
    <x v="12"/>
    <s v="Central"/>
    <s v="Major Market"/>
    <s v="Leaves"/>
    <s v="Herbal Tea"/>
    <s v="Chamomile"/>
    <s v="Decaf"/>
    <n v="490"/>
    <n v="8"/>
    <x v="28"/>
    <n v="29"/>
    <n v="19"/>
    <n v="37"/>
    <n v="0.47439999999999999"/>
    <n v="60"/>
    <n v="20"/>
    <n v="30"/>
    <n v="0.5"/>
  </r>
  <r>
    <d v="2024-01-21T00:00:00"/>
    <n v="715"/>
    <x v="0"/>
    <s v="Central"/>
    <s v="Small Market"/>
    <s v="Leaves"/>
    <s v="Tea"/>
    <s v="Earl Grey"/>
    <s v="Regular"/>
    <n v="613"/>
    <n v="55"/>
    <x v="53"/>
    <n v="61"/>
    <n v="84"/>
    <n v="3"/>
    <n v="1.9099999999999999E-2"/>
    <n v="120"/>
    <n v="50"/>
    <n v="0"/>
    <n v="0"/>
  </r>
  <r>
    <d v="2024-01-21T00:00:00"/>
    <n v="503"/>
    <x v="9"/>
    <s v="West"/>
    <s v="Small Market"/>
    <s v="Beans"/>
    <s v="Coffee"/>
    <s v="Decaf Irish Cream"/>
    <s v="Decaf"/>
    <n v="435"/>
    <n v="13"/>
    <x v="54"/>
    <n v="41"/>
    <n v="35"/>
    <n v="25"/>
    <n v="0.2475"/>
    <n v="120"/>
    <n v="40"/>
    <n v="50"/>
    <n v="0.41670000000000001"/>
  </r>
  <r>
    <d v="2024-01-22T00:00:00"/>
    <n v="518"/>
    <x v="14"/>
    <s v="East"/>
    <s v="Major Market"/>
    <s v="Leaves"/>
    <s v="Tea"/>
    <s v="Green Tea"/>
    <s v="Regular"/>
    <n v="601"/>
    <n v="15"/>
    <x v="2"/>
    <n v="54"/>
    <n v="27"/>
    <n v="52"/>
    <n v="0.39100000000000001"/>
    <n v="130"/>
    <n v="50"/>
    <n v="60"/>
    <n v="0.46150000000000002"/>
  </r>
  <r>
    <d v="2024-01-22T00:00:00"/>
    <n v="631"/>
    <x v="14"/>
    <s v="East"/>
    <s v="Major Market"/>
    <s v="Leaves"/>
    <s v="Herbal Tea"/>
    <s v="Lemon"/>
    <s v="Decaf"/>
    <n v="1704"/>
    <n v="93"/>
    <x v="55"/>
    <n v="245"/>
    <n v="127"/>
    <n v="204"/>
    <n v="0.35420000000000001"/>
    <n v="420"/>
    <n v="180"/>
    <n v="140"/>
    <n v="0.33329999999999999"/>
  </r>
  <r>
    <d v="2024-01-22T00:00:00"/>
    <n v="503"/>
    <x v="9"/>
    <s v="West"/>
    <s v="Small Market"/>
    <s v="Leaves"/>
    <s v="Tea"/>
    <s v="Green Tea"/>
    <s v="Regular"/>
    <n v="690"/>
    <n v="41"/>
    <x v="56"/>
    <n v="134"/>
    <n v="65"/>
    <n v="121"/>
    <n v="0.37809999999999999"/>
    <n v="230"/>
    <n v="90"/>
    <n v="100"/>
    <n v="0.43480000000000002"/>
  </r>
  <r>
    <d v="2024-01-23T00:00:00"/>
    <n v="860"/>
    <x v="18"/>
    <s v="East"/>
    <s v="Small Market"/>
    <s v="Leaves"/>
    <s v="Tea"/>
    <s v="Darjeeling"/>
    <s v="Regular"/>
    <n v="898"/>
    <n v="14"/>
    <x v="57"/>
    <n v="50"/>
    <n v="26"/>
    <n v="47"/>
    <n v="0.3821"/>
    <n v="120"/>
    <n v="50"/>
    <n v="50"/>
    <n v="0.41670000000000001"/>
  </r>
  <r>
    <d v="2024-01-23T00:00:00"/>
    <n v="801"/>
    <x v="13"/>
    <s v="West"/>
    <s v="Small Market"/>
    <s v="Beans"/>
    <s v="Coffee"/>
    <s v="Decaf Irish Cream"/>
    <s v="Decaf"/>
    <n v="601"/>
    <n v="31"/>
    <x v="58"/>
    <n v="82"/>
    <n v="64"/>
    <n v="38"/>
    <n v="0.20649999999999999"/>
    <n v="210"/>
    <n v="90"/>
    <n v="60"/>
    <n v="0.28570000000000001"/>
  </r>
  <r>
    <d v="2024-01-24T00:00:00"/>
    <n v="573"/>
    <x v="6"/>
    <s v="Central"/>
    <s v="Small Market"/>
    <s v="Leaves"/>
    <s v="Herbal Tea"/>
    <s v="Lemon"/>
    <s v="Decaf"/>
    <n v="1898"/>
    <n v="28"/>
    <x v="59"/>
    <n v="92"/>
    <n v="52"/>
    <n v="16"/>
    <n v="0.1"/>
    <n v="140"/>
    <n v="80"/>
    <n v="20"/>
    <n v="0.1429"/>
  </r>
  <r>
    <d v="2024-01-25T00:00:00"/>
    <n v="509"/>
    <x v="5"/>
    <s v="West"/>
    <s v="Small Market"/>
    <s v="Leaves"/>
    <s v="Tea"/>
    <s v="Darjeeling"/>
    <s v="Regular"/>
    <n v="320"/>
    <n v="12"/>
    <x v="60"/>
    <n v="41"/>
    <n v="36"/>
    <n v="30"/>
    <n v="0.28039999999999998"/>
    <n v="70"/>
    <n v="30"/>
    <n v="20"/>
    <n v="0.28570000000000001"/>
  </r>
  <r>
    <d v="2024-01-25T00:00:00"/>
    <n v="541"/>
    <x v="9"/>
    <s v="West"/>
    <s v="Small Market"/>
    <s v="Beans"/>
    <s v="Espresso"/>
    <s v="Caffe Mocha"/>
    <s v="Regular"/>
    <n v="405"/>
    <n v="17"/>
    <x v="30"/>
    <n v="52"/>
    <n v="44"/>
    <n v="40"/>
    <n v="0.30530000000000002"/>
    <n v="100"/>
    <n v="30"/>
    <n v="60"/>
    <n v="0.6"/>
  </r>
  <r>
    <d v="2024-01-25T00:00:00"/>
    <n v="203"/>
    <x v="18"/>
    <s v="East"/>
    <s v="Small Market"/>
    <s v="Beans"/>
    <s v="Espresso"/>
    <s v="Decaf Espresso"/>
    <s v="Decaf"/>
    <n v="380"/>
    <n v="17"/>
    <x v="50"/>
    <n v="53"/>
    <n v="45"/>
    <n v="39"/>
    <n v="0.29549999999999998"/>
    <n v="120"/>
    <n v="50"/>
    <n v="40"/>
    <n v="0.33329999999999999"/>
  </r>
  <r>
    <d v="2024-01-25T00:00:00"/>
    <n v="351"/>
    <x v="11"/>
    <s v="East"/>
    <s v="Major Market"/>
    <s v="Beans"/>
    <s v="Espresso"/>
    <s v="Regular Espresso"/>
    <s v="Regular"/>
    <n v="1319"/>
    <n v="42"/>
    <x v="61"/>
    <n v="153"/>
    <n v="66"/>
    <n v="87"/>
    <n v="0.2843"/>
    <n v="290"/>
    <n v="150"/>
    <n v="80"/>
    <n v="0.27589999999999998"/>
  </r>
  <r>
    <d v="2024-01-25T00:00:00"/>
    <n v="702"/>
    <x v="8"/>
    <s v="West"/>
    <s v="Small Market"/>
    <s v="Leaves"/>
    <s v="Tea"/>
    <s v="Earl Grey"/>
    <s v="Regular"/>
    <n v="1778"/>
    <n v="59"/>
    <x v="51"/>
    <n v="211"/>
    <n v="84"/>
    <n v="128"/>
    <n v="0.30259999999999998"/>
    <n v="300"/>
    <n v="150"/>
    <n v="80"/>
    <n v="0.26669999999999999"/>
  </r>
  <r>
    <d v="2024-01-26T00:00:00"/>
    <n v="225"/>
    <x v="4"/>
    <s v="South"/>
    <s v="Small Market"/>
    <s v="Leaves"/>
    <s v="Herbal Tea"/>
    <s v="Lemon"/>
    <s v="Decaf"/>
    <n v="593"/>
    <n v="30"/>
    <x v="62"/>
    <n v="79"/>
    <n v="64"/>
    <n v="50"/>
    <n v="0.2646"/>
    <n v="150"/>
    <n v="60"/>
    <n v="60"/>
    <n v="0.4"/>
  </r>
  <r>
    <d v="2024-01-26T00:00:00"/>
    <n v="508"/>
    <x v="11"/>
    <s v="East"/>
    <s v="Major Market"/>
    <s v="Beans"/>
    <s v="Espresso"/>
    <s v="Regular Espresso"/>
    <s v="Regular"/>
    <n v="1267"/>
    <n v="45"/>
    <x v="63"/>
    <n v="161"/>
    <n v="69"/>
    <n v="137"/>
    <n v="0.39939999999999998"/>
    <n v="300"/>
    <n v="140"/>
    <n v="120"/>
    <n v="0.4"/>
  </r>
  <r>
    <d v="2024-01-27T00:00:00"/>
    <n v="904"/>
    <x v="16"/>
    <s v="East"/>
    <s v="Major Market"/>
    <s v="Leaves"/>
    <s v="Herbal Tea"/>
    <s v="Mint"/>
    <s v="Decaf"/>
    <n v="1055"/>
    <n v="24"/>
    <x v="42"/>
    <n v="80"/>
    <n v="46"/>
    <n v="71"/>
    <n v="0.38379999999999997"/>
    <n v="90"/>
    <n v="40"/>
    <n v="40"/>
    <n v="0.44440000000000002"/>
  </r>
  <r>
    <d v="2024-01-27T00:00:00"/>
    <n v="603"/>
    <x v="15"/>
    <s v="East"/>
    <s v="Small Market"/>
    <s v="Leaves"/>
    <s v="Herbal Tea"/>
    <s v="Lemon"/>
    <s v="Decaf"/>
    <n v="250"/>
    <n v="14"/>
    <x v="64"/>
    <n v="39"/>
    <n v="47"/>
    <n v="3"/>
    <n v="3.1899999999999998E-2"/>
    <n v="60"/>
    <n v="20"/>
    <n v="10"/>
    <n v="0.16669999999999999"/>
  </r>
  <r>
    <d v="2024-01-27T00:00:00"/>
    <n v="918"/>
    <x v="19"/>
    <s v="South"/>
    <s v="Small Market"/>
    <s v="Beans"/>
    <s v="Coffee"/>
    <s v="Colombian"/>
    <s v="Regular"/>
    <n v="572"/>
    <n v="29"/>
    <x v="41"/>
    <n v="90"/>
    <n v="41"/>
    <n v="74"/>
    <n v="0.36099999999999999"/>
    <n v="290"/>
    <n v="130"/>
    <n v="140"/>
    <n v="0.48280000000000001"/>
  </r>
  <r>
    <d v="2024-01-27T00:00:00"/>
    <n v="617"/>
    <x v="11"/>
    <s v="East"/>
    <s v="Major Market"/>
    <s v="Beans"/>
    <s v="Espresso"/>
    <s v="Regular Espresso"/>
    <s v="Regular"/>
    <n v="1283"/>
    <n v="50"/>
    <x v="65"/>
    <n v="181"/>
    <n v="74"/>
    <n v="160"/>
    <n v="0.41339999999999999"/>
    <n v="350"/>
    <n v="170"/>
    <n v="120"/>
    <n v="0.34289999999999998"/>
  </r>
  <r>
    <d v="2024-01-28T00:00:00"/>
    <n v="920"/>
    <x v="0"/>
    <s v="Central"/>
    <s v="Small Market"/>
    <s v="Leaves"/>
    <s v="Tea"/>
    <s v="Earl Grey"/>
    <s v="Regular"/>
    <n v="627"/>
    <n v="49"/>
    <x v="30"/>
    <n v="55"/>
    <n v="79"/>
    <n v="-3"/>
    <n v="-2.29E-2"/>
    <n v="100"/>
    <n v="40"/>
    <n v="0"/>
    <n v="0"/>
  </r>
  <r>
    <d v="2024-01-28T00:00:00"/>
    <n v="203"/>
    <x v="18"/>
    <s v="East"/>
    <s v="Small Market"/>
    <s v="Leaves"/>
    <s v="Herbal Tea"/>
    <s v="Mint"/>
    <s v="Decaf"/>
    <n v="1053"/>
    <n v="20"/>
    <x v="66"/>
    <n v="65"/>
    <n v="42"/>
    <n v="52"/>
    <n v="0.34439999999999998"/>
    <n v="80"/>
    <n v="30"/>
    <n v="50"/>
    <n v="0.625"/>
  </r>
  <r>
    <d v="2024-01-28T00:00:00"/>
    <n v="206"/>
    <x v="5"/>
    <s v="West"/>
    <s v="Small Market"/>
    <s v="Beans"/>
    <s v="Espresso"/>
    <s v="Decaf Espresso"/>
    <s v="Decaf"/>
    <n v="1063"/>
    <n v="23"/>
    <x v="67"/>
    <n v="75"/>
    <n v="44"/>
    <n v="45"/>
    <n v="0.27439999999999998"/>
    <n v="150"/>
    <n v="70"/>
    <n v="40"/>
    <n v="0.26669999999999999"/>
  </r>
  <r>
    <d v="2024-01-28T00:00:00"/>
    <n v="817"/>
    <x v="10"/>
    <s v="South"/>
    <s v="Major Market"/>
    <s v="Beans"/>
    <s v="Espresso"/>
    <s v="Caffe Latte"/>
    <s v="Regular"/>
    <n v="-1050"/>
    <n v="24"/>
    <x v="62"/>
    <n v="75"/>
    <n v="55"/>
    <n v="59"/>
    <n v="0.31219999999999998"/>
    <n v="140"/>
    <n v="50"/>
    <n v="40"/>
    <n v="0.28570000000000001"/>
  </r>
  <r>
    <d v="2024-02-01T00:00:00"/>
    <n v="562"/>
    <x v="7"/>
    <s v="West"/>
    <s v="Major Market"/>
    <s v="Leaves"/>
    <s v="Tea"/>
    <s v="Green Tea"/>
    <s v="Regular"/>
    <n v="650"/>
    <n v="23"/>
    <x v="68"/>
    <n v="72"/>
    <n v="54"/>
    <n v="56"/>
    <n v="0.30769999999999997"/>
    <n v="80"/>
    <n v="20"/>
    <n v="50"/>
    <n v="0.625"/>
  </r>
  <r>
    <d v="2024-02-01T00:00:00"/>
    <n v="206"/>
    <x v="5"/>
    <s v="West"/>
    <s v="Small Market"/>
    <s v="Beans"/>
    <s v="Coffee"/>
    <s v="Colombian"/>
    <s v="Regular"/>
    <n v="438"/>
    <n v="21"/>
    <x v="69"/>
    <n v="68"/>
    <n v="43"/>
    <n v="56"/>
    <n v="0.33529999999999999"/>
    <n v="230"/>
    <n v="90"/>
    <n v="110"/>
    <n v="0.4783"/>
  </r>
  <r>
    <d v="2024-02-02T00:00:00"/>
    <n v="603"/>
    <x v="15"/>
    <s v="East"/>
    <s v="Small Market"/>
    <s v="Leaves"/>
    <s v="Tea"/>
    <s v="Darjeeling"/>
    <s v="Regular"/>
    <n v="851"/>
    <n v="4"/>
    <x v="70"/>
    <n v="16"/>
    <n v="15"/>
    <n v="10"/>
    <n v="0.24390000000000001"/>
    <n v="40"/>
    <n v="10"/>
    <n v="20"/>
    <n v="0.5"/>
  </r>
  <r>
    <d v="2024-02-02T00:00:00"/>
    <n v="505"/>
    <x v="3"/>
    <s v="South"/>
    <s v="Small Market"/>
    <s v="Beans"/>
    <s v="Espresso"/>
    <s v="Decaf Espresso"/>
    <s v="Decaf"/>
    <n v="244"/>
    <n v="12"/>
    <x v="71"/>
    <n v="39"/>
    <n v="39"/>
    <n v="21"/>
    <n v="0.21429999999999999"/>
    <n v="50"/>
    <n v="20"/>
    <n v="20"/>
    <n v="0.4"/>
  </r>
  <r>
    <d v="2024-02-02T00:00:00"/>
    <n v="314"/>
    <x v="6"/>
    <s v="Central"/>
    <s v="Small Market"/>
    <s v="Beans"/>
    <s v="Espresso"/>
    <s v="Caffe Mocha"/>
    <s v="Regular"/>
    <n v="898"/>
    <n v="14"/>
    <x v="57"/>
    <n v="50"/>
    <n v="25"/>
    <n v="48"/>
    <n v="0.39019999999999999"/>
    <n v="150"/>
    <n v="60"/>
    <n v="70"/>
    <n v="0.4667"/>
  </r>
  <r>
    <d v="2024-02-02T00:00:00"/>
    <n v="641"/>
    <x v="17"/>
    <s v="Central"/>
    <s v="Small Market"/>
    <s v="Leaves"/>
    <s v="Tea"/>
    <s v="Darjeeling"/>
    <s v="Regular"/>
    <n v="1820"/>
    <n v="70"/>
    <x v="72"/>
    <n v="250"/>
    <n v="95"/>
    <n v="156"/>
    <n v="0.31140000000000001"/>
    <n v="410"/>
    <n v="210"/>
    <n v="120"/>
    <n v="0.29270000000000002"/>
  </r>
  <r>
    <d v="2024-02-03T00:00:00"/>
    <n v="339"/>
    <x v="11"/>
    <s v="East"/>
    <s v="Major Market"/>
    <s v="Beans"/>
    <s v="Espresso"/>
    <s v="Caffe Mocha"/>
    <s v="Regular"/>
    <n v="571"/>
    <n v="42"/>
    <x v="73"/>
    <n v="47"/>
    <n v="72"/>
    <n v="-20"/>
    <n v="-0.20200000000000001"/>
    <n v="90"/>
    <n v="40"/>
    <n v="-10"/>
    <n v="-0.1111"/>
  </r>
  <r>
    <d v="2024-02-04T00:00:00"/>
    <n v="214"/>
    <x v="10"/>
    <s v="South"/>
    <s v="Major Market"/>
    <s v="Beans"/>
    <s v="Espresso"/>
    <s v="Decaf Espresso"/>
    <s v="Decaf"/>
    <n v="601"/>
    <n v="15"/>
    <x v="2"/>
    <n v="54"/>
    <n v="27"/>
    <n v="52"/>
    <n v="0.39100000000000001"/>
    <n v="100"/>
    <n v="40"/>
    <n v="40"/>
    <n v="0.4"/>
  </r>
  <r>
    <d v="2024-02-04T00:00:00"/>
    <n v="435"/>
    <x v="13"/>
    <s v="West"/>
    <s v="Small Market"/>
    <s v="Beans"/>
    <s v="Espresso"/>
    <s v="Caffe Latte"/>
    <s v="Regular"/>
    <n v="844"/>
    <n v="8"/>
    <x v="74"/>
    <n v="31"/>
    <n v="20"/>
    <n v="39"/>
    <n v="0.47560000000000002"/>
    <n v="70"/>
    <n v="30"/>
    <n v="30"/>
    <n v="0.42859999999999998"/>
  </r>
  <r>
    <d v="2024-02-04T00:00:00"/>
    <n v="314"/>
    <x v="6"/>
    <s v="Central"/>
    <s v="Small Market"/>
    <s v="Leaves"/>
    <s v="Tea"/>
    <s v="Darjeeling"/>
    <s v="Regular"/>
    <n v="256"/>
    <n v="12"/>
    <x v="75"/>
    <n v="38"/>
    <n v="40"/>
    <n v="16"/>
    <n v="0.16839999999999999"/>
    <n v="70"/>
    <n v="30"/>
    <n v="10"/>
    <n v="0.1429"/>
  </r>
  <r>
    <d v="2024-02-04T00:00:00"/>
    <n v="405"/>
    <x v="19"/>
    <s v="South"/>
    <s v="Small Market"/>
    <s v="Leaves"/>
    <s v="Herbal Tea"/>
    <s v="Chamomile"/>
    <s v="Decaf"/>
    <n v="385"/>
    <n v="21"/>
    <x v="29"/>
    <n v="56"/>
    <n v="54"/>
    <n v="16"/>
    <n v="0.127"/>
    <n v="110"/>
    <n v="40"/>
    <n v="50"/>
    <n v="0.45450000000000002"/>
  </r>
  <r>
    <d v="2024-02-05T00:00:00"/>
    <n v="816"/>
    <x v="6"/>
    <s v="Central"/>
    <s v="Small Market"/>
    <s v="Beans"/>
    <s v="Coffee"/>
    <s v="Decaf Irish Cream"/>
    <s v="Decaf"/>
    <n v="1075"/>
    <n v="19"/>
    <x v="76"/>
    <n v="63"/>
    <n v="40"/>
    <n v="36"/>
    <n v="0.25900000000000001"/>
    <n v="130"/>
    <n v="60"/>
    <n v="40"/>
    <n v="0.30769999999999997"/>
  </r>
  <r>
    <d v="2024-02-05T00:00:00"/>
    <n v="918"/>
    <x v="19"/>
    <s v="South"/>
    <s v="Small Market"/>
    <s v="Beans"/>
    <s v="Espresso"/>
    <s v="Caffe Latte"/>
    <s v="Regular"/>
    <n v="-2248"/>
    <n v="41"/>
    <x v="56"/>
    <n v="134"/>
    <n v="65"/>
    <n v="121"/>
    <n v="0.37809999999999999"/>
    <n v="240"/>
    <n v="100"/>
    <n v="90"/>
    <n v="0.375"/>
  </r>
  <r>
    <d v="2024-02-05T00:00:00"/>
    <n v="435"/>
    <x v="13"/>
    <s v="West"/>
    <s v="Small Market"/>
    <s v="Beans"/>
    <s v="Coffee"/>
    <s v="Colombian"/>
    <s v="Regular"/>
    <n v="375"/>
    <n v="15"/>
    <x v="77"/>
    <n v="47"/>
    <n v="42"/>
    <n v="33"/>
    <n v="0.2797"/>
    <n v="150"/>
    <n v="50"/>
    <n v="80"/>
    <n v="0.5333"/>
  </r>
  <r>
    <d v="2024-02-05T00:00:00"/>
    <n v="971"/>
    <x v="9"/>
    <s v="West"/>
    <s v="Small Market"/>
    <s v="Leaves"/>
    <s v="Tea"/>
    <s v="Earl Grey"/>
    <s v="Regular"/>
    <n v="817"/>
    <n v="29"/>
    <x v="78"/>
    <n v="88"/>
    <n v="60"/>
    <n v="108"/>
    <n v="0.45760000000000001"/>
    <n v="160"/>
    <n v="60"/>
    <n v="60"/>
    <n v="0.375"/>
  </r>
  <r>
    <d v="2024-02-06T00:00:00"/>
    <n v="925"/>
    <x v="7"/>
    <s v="West"/>
    <s v="Major Market"/>
    <s v="Leaves"/>
    <s v="Herbal Tea"/>
    <s v="Chamomile"/>
    <s v="Decaf"/>
    <n v="971"/>
    <n v="30"/>
    <x v="79"/>
    <n v="108"/>
    <n v="42"/>
    <n v="171"/>
    <n v="0.60640000000000005"/>
    <n v="210"/>
    <n v="80"/>
    <n v="120"/>
    <n v="0.57140000000000002"/>
  </r>
  <r>
    <d v="2024-02-07T00:00:00"/>
    <n v="561"/>
    <x v="16"/>
    <s v="East"/>
    <s v="Major Market"/>
    <s v="Leaves"/>
    <s v="Tea"/>
    <s v="Green Tea"/>
    <s v="Regular"/>
    <n v="856"/>
    <n v="8"/>
    <x v="28"/>
    <n v="31"/>
    <n v="19"/>
    <n v="28"/>
    <n v="0.35899999999999999"/>
    <n v="80"/>
    <n v="30"/>
    <n v="40"/>
    <n v="0.5"/>
  </r>
  <r>
    <d v="2024-02-07T00:00:00"/>
    <n v="253"/>
    <x v="5"/>
    <s v="West"/>
    <s v="Small Market"/>
    <s v="Leaves"/>
    <s v="Tea"/>
    <s v="Darjeeling"/>
    <s v="Regular"/>
    <n v="320"/>
    <n v="12"/>
    <x v="13"/>
    <n v="41"/>
    <n v="36"/>
    <n v="45"/>
    <n v="0.3947"/>
    <n v="70"/>
    <n v="30"/>
    <n v="20"/>
    <n v="0.28570000000000001"/>
  </r>
  <r>
    <d v="2024-02-07T00:00:00"/>
    <n v="573"/>
    <x v="6"/>
    <s v="Central"/>
    <s v="Small Market"/>
    <s v="Beans"/>
    <s v="Coffee"/>
    <s v="Colombian"/>
    <s v="Regular"/>
    <n v="619"/>
    <n v="25"/>
    <x v="80"/>
    <n v="68"/>
    <n v="59"/>
    <n v="39"/>
    <n v="0.23930000000000001"/>
    <n v="150"/>
    <n v="60"/>
    <n v="40"/>
    <n v="0.26669999999999999"/>
  </r>
  <r>
    <d v="2024-02-08T00:00:00"/>
    <n v="918"/>
    <x v="19"/>
    <s v="South"/>
    <s v="Small Market"/>
    <s v="Leaves"/>
    <s v="Herbal Tea"/>
    <s v="Chamomile"/>
    <s v="Decaf"/>
    <n v="391"/>
    <n v="20"/>
    <x v="16"/>
    <n v="54"/>
    <n v="54"/>
    <n v="13"/>
    <n v="0.1074"/>
    <n v="110"/>
    <n v="50"/>
    <n v="20"/>
    <n v="0.18179999999999999"/>
  </r>
  <r>
    <d v="2024-02-08T00:00:00"/>
    <n v="580"/>
    <x v="19"/>
    <s v="South"/>
    <s v="Small Market"/>
    <s v="Beans"/>
    <s v="Espresso"/>
    <s v="Caffe Mocha"/>
    <s v="Regular"/>
    <n v="490"/>
    <n v="8"/>
    <x v="28"/>
    <n v="29"/>
    <n v="20"/>
    <n v="36"/>
    <n v="0.46150000000000002"/>
    <n v="50"/>
    <n v="20"/>
    <n v="20"/>
    <n v="0.4"/>
  </r>
  <r>
    <d v="2024-02-08T00:00:00"/>
    <n v="971"/>
    <x v="9"/>
    <s v="West"/>
    <s v="Small Market"/>
    <s v="Leaves"/>
    <s v="Tea"/>
    <s v="Green Tea"/>
    <s v="Regular"/>
    <n v="666"/>
    <n v="31"/>
    <x v="81"/>
    <n v="102"/>
    <n v="54"/>
    <n v="132"/>
    <n v="0.50570000000000004"/>
    <n v="170"/>
    <n v="70"/>
    <n v="70"/>
    <n v="0.4118"/>
  </r>
  <r>
    <d v="2024-02-09T00:00:00"/>
    <n v="337"/>
    <x v="4"/>
    <s v="South"/>
    <s v="Small Market"/>
    <s v="Leaves"/>
    <s v="Herbal Tea"/>
    <s v="Lemon"/>
    <s v="Decaf"/>
    <n v="601"/>
    <n v="31"/>
    <x v="82"/>
    <n v="82"/>
    <n v="64"/>
    <n v="56"/>
    <n v="0.28570000000000001"/>
    <n v="170"/>
    <n v="70"/>
    <n v="40"/>
    <n v="0.23530000000000001"/>
  </r>
  <r>
    <d v="2024-02-09T00:00:00"/>
    <n v="702"/>
    <x v="8"/>
    <s v="West"/>
    <s v="Small Market"/>
    <s v="Leaves"/>
    <s v="Herbal Tea"/>
    <s v="Lemon"/>
    <s v="Decaf"/>
    <n v="1132"/>
    <n v="50"/>
    <x v="83"/>
    <n v="154"/>
    <n v="93"/>
    <n v="120"/>
    <n v="0.32700000000000001"/>
    <n v="290"/>
    <n v="120"/>
    <n v="120"/>
    <n v="0.4138"/>
  </r>
  <r>
    <d v="2024-02-10T00:00:00"/>
    <n v="417"/>
    <x v="6"/>
    <s v="Central"/>
    <s v="Small Market"/>
    <s v="Leaves"/>
    <s v="Herbal Tea"/>
    <s v="Chamomile"/>
    <s v="Decaf"/>
    <n v="335"/>
    <n v="44"/>
    <x v="77"/>
    <n v="49"/>
    <n v="74"/>
    <n v="-5"/>
    <n v="-4.24E-2"/>
    <n v="100"/>
    <n v="40"/>
    <n v="0"/>
    <n v="0"/>
  </r>
  <r>
    <d v="2024-02-10T00:00:00"/>
    <n v="971"/>
    <x v="9"/>
    <s v="West"/>
    <s v="Small Market"/>
    <s v="Beans"/>
    <s v="Espresso"/>
    <s v="Caffe Mocha"/>
    <s v="Regular"/>
    <n v="405"/>
    <n v="17"/>
    <x v="57"/>
    <n v="52"/>
    <n v="44"/>
    <n v="27"/>
    <n v="0.2195"/>
    <n v="100"/>
    <n v="30"/>
    <n v="60"/>
    <n v="0.6"/>
  </r>
  <r>
    <d v="2024-02-10T00:00:00"/>
    <n v="970"/>
    <x v="1"/>
    <s v="Central"/>
    <s v="Major Market"/>
    <s v="Leaves"/>
    <s v="Herbal Tea"/>
    <s v="Chamomile"/>
    <s v="Decaf"/>
    <n v="1283"/>
    <n v="50"/>
    <x v="84"/>
    <n v="181"/>
    <n v="75"/>
    <n v="107"/>
    <n v="0.29480000000000001"/>
    <n v="330"/>
    <n v="170"/>
    <n v="100"/>
    <n v="0.30299999999999999"/>
  </r>
  <r>
    <d v="2024-02-11T00:00:00"/>
    <n v="773"/>
    <x v="2"/>
    <s v="Central"/>
    <s v="Major Market"/>
    <s v="Beans"/>
    <s v="Espresso"/>
    <s v="Decaf Espresso"/>
    <s v="Decaf"/>
    <n v="1820"/>
    <n v="70"/>
    <x v="85"/>
    <n v="250"/>
    <n v="94"/>
    <n v="233"/>
    <n v="0.43630000000000002"/>
    <n v="640"/>
    <n v="320"/>
    <n v="240"/>
    <n v="0.375"/>
  </r>
  <r>
    <d v="2024-02-12T00:00:00"/>
    <n v="775"/>
    <x v="8"/>
    <s v="West"/>
    <s v="Small Market"/>
    <s v="Beans"/>
    <s v="Coffee"/>
    <s v="Decaf Irish Cream"/>
    <s v="Decaf"/>
    <n v="1003"/>
    <n v="8"/>
    <x v="86"/>
    <n v="29"/>
    <n v="30"/>
    <n v="5"/>
    <n v="7.8100000000000003E-2"/>
    <n v="70"/>
    <n v="30"/>
    <n v="20"/>
    <n v="0.28570000000000001"/>
  </r>
  <r>
    <d v="2024-02-12T00:00:00"/>
    <n v="720"/>
    <x v="1"/>
    <s v="Central"/>
    <s v="Major Market"/>
    <s v="Leaves"/>
    <s v="Herbal Tea"/>
    <s v="Mint"/>
    <s v="Decaf"/>
    <n v="411"/>
    <n v="19"/>
    <x v="87"/>
    <n v="59"/>
    <n v="47"/>
    <n v="32"/>
    <n v="0.2319"/>
    <n v="120"/>
    <n v="50"/>
    <n v="40"/>
    <n v="0.33329999999999999"/>
  </r>
  <r>
    <d v="2024-02-12T00:00:00"/>
    <n v="630"/>
    <x v="2"/>
    <s v="Central"/>
    <s v="Major Market"/>
    <s v="Leaves"/>
    <s v="Herbal Tea"/>
    <s v="Mint"/>
    <s v="Decaf"/>
    <n v="984"/>
    <n v="22"/>
    <x v="88"/>
    <n v="81"/>
    <n v="33"/>
    <n v="84"/>
    <n v="0.42420000000000002"/>
    <n v="180"/>
    <n v="70"/>
    <n v="80"/>
    <n v="0.44440000000000002"/>
  </r>
  <r>
    <d v="2024-02-13T00:00:00"/>
    <n v="985"/>
    <x v="4"/>
    <s v="South"/>
    <s v="Small Market"/>
    <s v="Beans"/>
    <s v="Espresso"/>
    <s v="Caffe Latte"/>
    <s v="Regular"/>
    <n v="-1053"/>
    <n v="49"/>
    <x v="30"/>
    <n v="55"/>
    <n v="79"/>
    <n v="-3"/>
    <n v="-2.29E-2"/>
    <n v="100"/>
    <n v="40"/>
    <n v="0"/>
    <n v="0"/>
  </r>
  <r>
    <d v="2024-02-13T00:00:00"/>
    <n v="860"/>
    <x v="18"/>
    <s v="East"/>
    <s v="Small Market"/>
    <s v="Leaves"/>
    <s v="Herbal Tea"/>
    <s v="Lemon"/>
    <s v="Decaf"/>
    <n v="619"/>
    <n v="25"/>
    <x v="80"/>
    <n v="68"/>
    <n v="58"/>
    <n v="40"/>
    <n v="0.24540000000000001"/>
    <n v="110"/>
    <n v="50"/>
    <n v="20"/>
    <n v="0.18179999999999999"/>
  </r>
  <r>
    <d v="2024-02-13T00:00:00"/>
    <n v="321"/>
    <x v="16"/>
    <s v="East"/>
    <s v="Major Market"/>
    <s v="Leaves"/>
    <s v="Tea"/>
    <s v="Green Tea"/>
    <s v="Regular"/>
    <n v="863"/>
    <n v="9"/>
    <x v="89"/>
    <n v="34"/>
    <n v="21"/>
    <n v="45"/>
    <n v="0.4945"/>
    <n v="80"/>
    <n v="30"/>
    <n v="40"/>
    <n v="0.5"/>
  </r>
  <r>
    <d v="2024-02-13T00:00:00"/>
    <n v="715"/>
    <x v="0"/>
    <s v="Central"/>
    <s v="Small Market"/>
    <s v="Beans"/>
    <s v="Coffee"/>
    <s v="Decaf Irish Cream"/>
    <s v="Decaf"/>
    <n v="575"/>
    <n v="27"/>
    <x v="90"/>
    <n v="83"/>
    <n v="55"/>
    <n v="57"/>
    <n v="0.2923"/>
    <n v="190"/>
    <n v="80"/>
    <n v="70"/>
    <n v="0.36840000000000001"/>
  </r>
  <r>
    <d v="2024-02-13T00:00:00"/>
    <n v="702"/>
    <x v="8"/>
    <s v="West"/>
    <s v="Small Market"/>
    <s v="Leaves"/>
    <s v="Herbal Tea"/>
    <s v="Chamomile"/>
    <s v="Decaf"/>
    <n v="940"/>
    <n v="122"/>
    <x v="34"/>
    <n v="135"/>
    <n v="155"/>
    <n v="32"/>
    <n v="9.9400000000000002E-2"/>
    <n v="290"/>
    <n v="120"/>
    <n v="30"/>
    <n v="0.10340000000000001"/>
  </r>
  <r>
    <d v="2024-02-13T00:00:00"/>
    <n v="415"/>
    <x v="7"/>
    <s v="West"/>
    <s v="Major Market"/>
    <s v="Beans"/>
    <s v="Espresso"/>
    <s v="Decaf Espresso"/>
    <s v="Decaf"/>
    <n v="1662"/>
    <n v="84"/>
    <x v="91"/>
    <n v="257"/>
    <n v="116"/>
    <n v="334"/>
    <n v="0.52429999999999999"/>
    <n v="550"/>
    <n v="230"/>
    <n v="240"/>
    <n v="0.43640000000000001"/>
  </r>
  <r>
    <d v="2024-02-14T00:00:00"/>
    <n v="504"/>
    <x v="4"/>
    <s v="South"/>
    <s v="Small Market"/>
    <s v="Beans"/>
    <s v="Coffee"/>
    <s v="Decaf Irish Cream"/>
    <s v="Decaf"/>
    <n v="856"/>
    <n v="8"/>
    <x v="28"/>
    <n v="31"/>
    <n v="19"/>
    <n v="28"/>
    <n v="0.35899999999999999"/>
    <n v="90"/>
    <n v="30"/>
    <n v="50"/>
    <n v="0.55559999999999998"/>
  </r>
  <r>
    <d v="2024-02-14T00:00:00"/>
    <n v="503"/>
    <x v="9"/>
    <s v="West"/>
    <s v="Small Market"/>
    <s v="Beans"/>
    <s v="Espresso"/>
    <s v="Caffe Latte"/>
    <s v="Regular"/>
    <n v="410"/>
    <n v="20"/>
    <x v="50"/>
    <n v="55"/>
    <n v="53"/>
    <n v="24"/>
    <n v="0.18179999999999999"/>
    <n v="120"/>
    <n v="50"/>
    <n v="30"/>
    <n v="0.25"/>
  </r>
  <r>
    <d v="2024-02-14T00:00:00"/>
    <n v="503"/>
    <x v="9"/>
    <s v="West"/>
    <s v="Small Market"/>
    <s v="Beans"/>
    <s v="Coffee"/>
    <s v="Decaf Irish Cream"/>
    <s v="Decaf"/>
    <n v="424"/>
    <n v="14"/>
    <x v="13"/>
    <n v="46"/>
    <n v="36"/>
    <n v="32"/>
    <n v="0.28070000000000001"/>
    <n v="130"/>
    <n v="50"/>
    <n v="50"/>
    <n v="0.3846"/>
  </r>
  <r>
    <d v="2024-02-14T00:00:00"/>
    <n v="303"/>
    <x v="1"/>
    <s v="Central"/>
    <s v="Major Market"/>
    <s v="Beans"/>
    <s v="Espresso"/>
    <s v="Decaf Espresso"/>
    <s v="Decaf"/>
    <n v="650"/>
    <n v="23"/>
    <x v="68"/>
    <n v="72"/>
    <n v="54"/>
    <n v="56"/>
    <n v="0.30769999999999997"/>
    <n v="260"/>
    <n v="100"/>
    <n v="130"/>
    <n v="0.5"/>
  </r>
  <r>
    <d v="2024-02-14T00:00:00"/>
    <n v="262"/>
    <x v="0"/>
    <s v="Central"/>
    <s v="Small Market"/>
    <s v="Beans"/>
    <s v="Coffee"/>
    <s v="Colombian"/>
    <s v="Regular"/>
    <n v="694"/>
    <n v="85"/>
    <x v="92"/>
    <n v="94"/>
    <n v="114"/>
    <n v="16"/>
    <n v="7.1400000000000005E-2"/>
    <n v="220"/>
    <n v="90"/>
    <n v="30"/>
    <n v="0.13639999999999999"/>
  </r>
  <r>
    <d v="2024-02-15T00:00:00"/>
    <n v="775"/>
    <x v="8"/>
    <s v="West"/>
    <s v="Small Market"/>
    <s v="Beans"/>
    <s v="Espresso"/>
    <s v="Decaf Espresso"/>
    <s v="Decaf"/>
    <n v="802"/>
    <n v="6"/>
    <x v="26"/>
    <n v="22"/>
    <n v="17"/>
    <n v="25"/>
    <n v="0.41670000000000001"/>
    <n v="50"/>
    <n v="20"/>
    <n v="20"/>
    <n v="0.4"/>
  </r>
  <r>
    <d v="2024-02-16T00:00:00"/>
    <n v="206"/>
    <x v="5"/>
    <s v="West"/>
    <s v="Small Market"/>
    <s v="Beans"/>
    <s v="Espresso"/>
    <s v="Caffe Mocha"/>
    <s v="Regular"/>
    <n v="391"/>
    <n v="20"/>
    <x v="93"/>
    <n v="54"/>
    <n v="54"/>
    <n v="19"/>
    <n v="0.14729999999999999"/>
    <n v="110"/>
    <n v="50"/>
    <n v="20"/>
    <n v="0.18179999999999999"/>
  </r>
  <r>
    <d v="2024-02-16T00:00:00"/>
    <n v="562"/>
    <x v="7"/>
    <s v="West"/>
    <s v="Major Market"/>
    <s v="Leaves"/>
    <s v="Herbal Tea"/>
    <s v="Lemon"/>
    <s v="Decaf"/>
    <n v="1246"/>
    <n v="74"/>
    <x v="94"/>
    <n v="239"/>
    <n v="95"/>
    <n v="186"/>
    <n v="0.35770000000000002"/>
    <n v="410"/>
    <n v="190"/>
    <n v="170"/>
    <n v="0.41460000000000002"/>
  </r>
  <r>
    <d v="2024-02-17T00:00:00"/>
    <n v="505"/>
    <x v="3"/>
    <s v="South"/>
    <s v="Small Market"/>
    <s v="Leaves"/>
    <s v="Herbal Tea"/>
    <s v="Lemon"/>
    <s v="Decaf"/>
    <n v="1009"/>
    <n v="9"/>
    <x v="7"/>
    <n v="31"/>
    <n v="31"/>
    <n v="10"/>
    <n v="0.1351"/>
    <n v="60"/>
    <n v="20"/>
    <n v="20"/>
    <n v="0.33329999999999999"/>
  </r>
  <r>
    <d v="2024-02-17T00:00:00"/>
    <n v="435"/>
    <x v="13"/>
    <s v="West"/>
    <s v="Small Market"/>
    <s v="Leaves"/>
    <s v="Herbal Tea"/>
    <s v="Chamomile"/>
    <s v="Decaf"/>
    <n v="327"/>
    <n v="16"/>
    <x v="39"/>
    <n v="52"/>
    <n v="39"/>
    <n v="53"/>
    <n v="0.3926"/>
    <n v="110"/>
    <n v="40"/>
    <n v="40"/>
    <n v="0.36359999999999998"/>
  </r>
  <r>
    <d v="2024-02-17T00:00:00"/>
    <n v="417"/>
    <x v="6"/>
    <s v="Central"/>
    <s v="Small Market"/>
    <s v="Beans"/>
    <s v="Coffee"/>
    <s v="Decaf Irish Cream"/>
    <s v="Decaf"/>
    <n v="1060"/>
    <n v="21"/>
    <x v="59"/>
    <n v="69"/>
    <n v="43"/>
    <n v="56"/>
    <n v="0.35"/>
    <n v="140"/>
    <n v="60"/>
    <n v="40"/>
    <n v="0.28570000000000001"/>
  </r>
  <r>
    <d v="2024-02-17T00:00:00"/>
    <n v="951"/>
    <x v="7"/>
    <s v="West"/>
    <s v="Major Market"/>
    <s v="Beans"/>
    <s v="Coffee"/>
    <s v="Amaretto"/>
    <s v="Regular"/>
    <n v="2947"/>
    <n v="40"/>
    <x v="95"/>
    <n v="127"/>
    <n v="63"/>
    <n v="-88"/>
    <n v="-0.86270000000000002"/>
    <n v="120"/>
    <n v="150"/>
    <n v="-90"/>
    <n v="-0.75"/>
  </r>
  <r>
    <d v="2024-02-17T00:00:00"/>
    <n v="775"/>
    <x v="8"/>
    <s v="West"/>
    <s v="Small Market"/>
    <s v="Leaves"/>
    <s v="Herbal Tea"/>
    <s v="Lemon"/>
    <s v="Decaf"/>
    <n v="1132"/>
    <n v="50"/>
    <x v="46"/>
    <n v="154"/>
    <n v="93"/>
    <n v="178"/>
    <n v="0.45519999999999999"/>
    <n v="290"/>
    <n v="120"/>
    <n v="120"/>
    <n v="0.4138"/>
  </r>
  <r>
    <d v="2024-02-18T00:00:00"/>
    <n v="801"/>
    <x v="13"/>
    <s v="West"/>
    <s v="Small Market"/>
    <s v="Leaves"/>
    <s v="Herbal Tea"/>
    <s v="Chamomile"/>
    <s v="Decaf"/>
    <n v="310"/>
    <n v="15"/>
    <x v="0"/>
    <n v="49"/>
    <n v="38"/>
    <n v="49"/>
    <n v="0.38279999999999997"/>
    <n v="90"/>
    <n v="30"/>
    <n v="60"/>
    <n v="0.66669999999999996"/>
  </r>
  <r>
    <d v="2024-02-18T00:00:00"/>
    <n v="351"/>
    <x v="11"/>
    <s v="East"/>
    <s v="Major Market"/>
    <s v="Leaves"/>
    <s v="Tea"/>
    <s v="Darjeeling"/>
    <s v="Regular"/>
    <n v="862"/>
    <n v="10"/>
    <x v="64"/>
    <n v="36"/>
    <n v="21"/>
    <n v="46"/>
    <n v="0.4894"/>
    <n v="90"/>
    <n v="30"/>
    <n v="40"/>
    <n v="0.44440000000000002"/>
  </r>
  <r>
    <d v="2024-02-18T00:00:00"/>
    <n v="509"/>
    <x v="5"/>
    <s v="West"/>
    <s v="Small Market"/>
    <s v="Leaves"/>
    <s v="Tea"/>
    <s v="Green Tea"/>
    <s v="Regular"/>
    <n v="613"/>
    <n v="55"/>
    <x v="53"/>
    <n v="61"/>
    <n v="85"/>
    <n v="1"/>
    <n v="6.4000000000000003E-3"/>
    <n v="100"/>
    <n v="40"/>
    <n v="0"/>
    <n v="0"/>
  </r>
  <r>
    <d v="2024-02-18T00:00:00"/>
    <n v="715"/>
    <x v="0"/>
    <s v="Central"/>
    <s v="Small Market"/>
    <s v="Leaves"/>
    <s v="Herbal Tea"/>
    <s v="Lemon"/>
    <s v="Decaf"/>
    <n v="863"/>
    <n v="9"/>
    <x v="89"/>
    <n v="34"/>
    <n v="21"/>
    <n v="45"/>
    <n v="0.4945"/>
    <n v="70"/>
    <n v="30"/>
    <n v="30"/>
    <n v="0.42859999999999998"/>
  </r>
  <r>
    <d v="2024-02-18T00:00:00"/>
    <n v="203"/>
    <x v="18"/>
    <s v="East"/>
    <s v="Small Market"/>
    <s v="Beans"/>
    <s v="Espresso"/>
    <s v="Decaf Espresso"/>
    <s v="Decaf"/>
    <n v="392"/>
    <n v="16"/>
    <x v="16"/>
    <n v="49"/>
    <n v="44"/>
    <n v="31"/>
    <n v="0.25619999999999998"/>
    <n v="110"/>
    <n v="40"/>
    <n v="40"/>
    <n v="0.36359999999999998"/>
  </r>
  <r>
    <d v="2024-02-18T00:00:00"/>
    <n v="561"/>
    <x v="16"/>
    <s v="East"/>
    <s v="Major Market"/>
    <s v="Leaves"/>
    <s v="Herbal Tea"/>
    <s v="Chamomile"/>
    <s v="Decaf"/>
    <n v="570"/>
    <n v="7"/>
    <x v="96"/>
    <n v="22"/>
    <n v="19"/>
    <n v="11"/>
    <n v="0.21149999999999999"/>
    <n v="30"/>
    <n v="10"/>
    <n v="10"/>
    <n v="0.33329999999999999"/>
  </r>
  <r>
    <d v="2024-02-18T00:00:00"/>
    <n v="435"/>
    <x v="13"/>
    <s v="West"/>
    <s v="Small Market"/>
    <s v="Leaves"/>
    <s v="Herbal Tea"/>
    <s v="Mint"/>
    <s v="Decaf"/>
    <n v="1698"/>
    <n v="26"/>
    <x v="97"/>
    <n v="86"/>
    <n v="50"/>
    <n v="-27"/>
    <n v="-0.2477"/>
    <n v="80"/>
    <n v="60"/>
    <n v="0"/>
    <n v="0"/>
  </r>
  <r>
    <d v="2024-02-19T00:00:00"/>
    <n v="203"/>
    <x v="18"/>
    <s v="East"/>
    <s v="Small Market"/>
    <s v="Beans"/>
    <s v="Coffee"/>
    <s v="Colombian"/>
    <s v="Regular"/>
    <n v="1134"/>
    <n v="42"/>
    <x v="98"/>
    <n v="130"/>
    <n v="73"/>
    <n v="181"/>
    <n v="0.52310000000000001"/>
    <n v="290"/>
    <n v="110"/>
    <n v="130"/>
    <n v="0.44829999999999998"/>
  </r>
  <r>
    <d v="2024-02-20T00:00:00"/>
    <n v="262"/>
    <x v="0"/>
    <s v="Central"/>
    <s v="Small Market"/>
    <s v="Leaves"/>
    <s v="Herbal Tea"/>
    <s v="Lemon"/>
    <s v="Decaf"/>
    <n v="851"/>
    <n v="13"/>
    <x v="77"/>
    <n v="48"/>
    <n v="25"/>
    <n v="45"/>
    <n v="0.38140000000000002"/>
    <n v="90"/>
    <n v="30"/>
    <n v="60"/>
    <n v="0.66669999999999996"/>
  </r>
  <r>
    <d v="2024-02-20T00:00:00"/>
    <n v="361"/>
    <x v="10"/>
    <s v="South"/>
    <s v="Major Market"/>
    <s v="Beans"/>
    <s v="Espresso"/>
    <s v="Caffe Latte"/>
    <s v="Regular"/>
    <n v="-1239"/>
    <n v="22"/>
    <x v="99"/>
    <n v="67"/>
    <n v="54"/>
    <n v="70"/>
    <n v="0.3911"/>
    <n v="120"/>
    <n v="50"/>
    <n v="30"/>
    <n v="0.25"/>
  </r>
  <r>
    <d v="2024-02-20T00:00:00"/>
    <n v="509"/>
    <x v="5"/>
    <s v="West"/>
    <s v="Small Market"/>
    <s v="Leaves"/>
    <s v="Herbal Tea"/>
    <s v="Chamomile"/>
    <s v="Decaf"/>
    <n v="1166"/>
    <n v="37"/>
    <x v="100"/>
    <n v="115"/>
    <n v="69"/>
    <n v="105"/>
    <n v="0.36330000000000001"/>
    <n v="260"/>
    <n v="100"/>
    <n v="110"/>
    <n v="0.42309999999999998"/>
  </r>
  <r>
    <d v="2024-02-21T00:00:00"/>
    <n v="702"/>
    <x v="8"/>
    <s v="West"/>
    <s v="Small Market"/>
    <s v="Beans"/>
    <s v="Espresso"/>
    <s v="Caffe Latte"/>
    <s v="Regular"/>
    <n v="344"/>
    <n v="0"/>
    <x v="101"/>
    <n v="0"/>
    <n v="12"/>
    <n v="31"/>
    <n v="0.72089999999999999"/>
    <n v="40"/>
    <n v="0"/>
    <n v="30"/>
    <n v="0.75"/>
  </r>
  <r>
    <d v="2024-02-21T00:00:00"/>
    <n v="203"/>
    <x v="18"/>
    <s v="East"/>
    <s v="Small Market"/>
    <s v="Leaves"/>
    <s v="Tea"/>
    <s v="Green Tea"/>
    <s v="Regular"/>
    <n v="806"/>
    <n v="6"/>
    <x v="86"/>
    <n v="24"/>
    <n v="18"/>
    <n v="27"/>
    <n v="0.4219"/>
    <n v="60"/>
    <n v="20"/>
    <n v="40"/>
    <n v="0.66669999999999996"/>
  </r>
  <r>
    <d v="2024-02-21T00:00:00"/>
    <n v="915"/>
    <x v="10"/>
    <s v="South"/>
    <s v="Major Market"/>
    <s v="Beans"/>
    <s v="Espresso"/>
    <s v="Caffe Mocha"/>
    <s v="Regular"/>
    <n v="930"/>
    <n v="33"/>
    <x v="102"/>
    <n v="118"/>
    <n v="45"/>
    <n v="188"/>
    <n v="0.60840000000000005"/>
    <n v="220"/>
    <n v="90"/>
    <n v="100"/>
    <n v="0.45450000000000002"/>
  </r>
  <r>
    <d v="2024-02-21T00:00:00"/>
    <n v="641"/>
    <x v="17"/>
    <s v="Central"/>
    <s v="Small Market"/>
    <s v="Leaves"/>
    <s v="Herbal Tea"/>
    <s v="Chamomile"/>
    <s v="Decaf"/>
    <n v="1691"/>
    <n v="75"/>
    <x v="103"/>
    <n v="228"/>
    <n v="108"/>
    <n v="291"/>
    <n v="0.51319999999999999"/>
    <n v="490"/>
    <n v="210"/>
    <n v="180"/>
    <n v="0.36730000000000002"/>
  </r>
  <r>
    <d v="2024-02-22T00:00:00"/>
    <n v="760"/>
    <x v="7"/>
    <s v="West"/>
    <s v="Major Market"/>
    <s v="Leaves"/>
    <s v="Tea"/>
    <s v="Earl Grey"/>
    <s v="Regular"/>
    <n v="589"/>
    <n v="14"/>
    <x v="30"/>
    <n v="50"/>
    <n v="26"/>
    <n v="70"/>
    <n v="0.53439999999999999"/>
    <n v="80"/>
    <n v="30"/>
    <n v="40"/>
    <n v="0.5"/>
  </r>
  <r>
    <d v="2024-02-22T00:00:00"/>
    <n v="775"/>
    <x v="8"/>
    <s v="West"/>
    <s v="Small Market"/>
    <s v="Beans"/>
    <s v="Espresso"/>
    <s v="Caffe Mocha"/>
    <s v="Regular"/>
    <n v="848"/>
    <n v="4"/>
    <x v="104"/>
    <n v="15"/>
    <n v="15"/>
    <n v="13"/>
    <n v="0.3095"/>
    <n v="30"/>
    <n v="10"/>
    <n v="10"/>
    <n v="0.33329999999999999"/>
  </r>
  <r>
    <d v="2024-02-23T00:00:00"/>
    <n v="505"/>
    <x v="3"/>
    <s v="South"/>
    <s v="Small Market"/>
    <s v="Beans"/>
    <s v="Espresso"/>
    <s v="Caffe Latte"/>
    <s v="Regular"/>
    <n v="-522"/>
    <n v="12"/>
    <x v="105"/>
    <n v="34"/>
    <n v="46"/>
    <n v="-6"/>
    <n v="-7.4099999999999999E-2"/>
    <n v="50"/>
    <n v="20"/>
    <n v="-10"/>
    <n v="-0.2"/>
  </r>
  <r>
    <d v="2024-02-23T00:00:00"/>
    <n v="435"/>
    <x v="13"/>
    <s v="West"/>
    <s v="Small Market"/>
    <s v="Beans"/>
    <s v="Coffee"/>
    <s v="Colombian"/>
    <s v="Regular"/>
    <n v="392"/>
    <n v="16"/>
    <x v="16"/>
    <n v="49"/>
    <n v="44"/>
    <n v="31"/>
    <n v="0.25619999999999998"/>
    <n v="130"/>
    <n v="50"/>
    <n v="50"/>
    <n v="0.3846"/>
  </r>
  <r>
    <d v="2024-02-23T00:00:00"/>
    <n v="918"/>
    <x v="19"/>
    <s v="South"/>
    <s v="Small Market"/>
    <s v="Beans"/>
    <s v="Espresso"/>
    <s v="Caffe Latte"/>
    <s v="Regular"/>
    <n v="-2248"/>
    <n v="41"/>
    <x v="106"/>
    <n v="134"/>
    <n v="65"/>
    <n v="180"/>
    <n v="0.52790000000000004"/>
    <n v="240"/>
    <n v="100"/>
    <n v="90"/>
    <n v="0.375"/>
  </r>
  <r>
    <d v="2024-02-23T00:00:00"/>
    <n v="978"/>
    <x v="11"/>
    <s v="East"/>
    <s v="Major Market"/>
    <s v="Beans"/>
    <s v="Coffee"/>
    <s v="Colombian"/>
    <s v="Regular"/>
    <n v="-3287"/>
    <n v="24"/>
    <x v="107"/>
    <n v="75"/>
    <n v="55"/>
    <n v="324"/>
    <n v="0.7137"/>
    <n v="400"/>
    <n v="60"/>
    <n v="300"/>
    <n v="0.75"/>
  </r>
  <r>
    <d v="2024-02-23T00:00:00"/>
    <n v="971"/>
    <x v="9"/>
    <s v="West"/>
    <s v="Small Market"/>
    <s v="Leaves"/>
    <s v="Tea"/>
    <s v="Earl Grey"/>
    <s v="Regular"/>
    <n v="798"/>
    <n v="25"/>
    <x v="108"/>
    <n v="78"/>
    <n v="57"/>
    <n v="62"/>
    <n v="0.31469999999999998"/>
    <n v="140"/>
    <n v="50"/>
    <n v="50"/>
    <n v="0.35709999999999997"/>
  </r>
  <r>
    <d v="2024-02-23T00:00:00"/>
    <n v="435"/>
    <x v="13"/>
    <s v="West"/>
    <s v="Small Market"/>
    <s v="Leaves"/>
    <s v="Tea"/>
    <s v="Green Tea"/>
    <s v="Regular"/>
    <n v="218"/>
    <n v="7"/>
    <x v="15"/>
    <n v="20"/>
    <n v="40"/>
    <n v="-22"/>
    <n v="-0.45829999999999999"/>
    <n v="30"/>
    <n v="10"/>
    <n v="0"/>
    <n v="0"/>
  </r>
  <r>
    <d v="2024-02-24T00:00:00"/>
    <n v="970"/>
    <x v="1"/>
    <s v="Central"/>
    <s v="Major Market"/>
    <s v="Leaves"/>
    <s v="Herbal Tea"/>
    <s v="Chamomile"/>
    <s v="Decaf"/>
    <n v="1319"/>
    <n v="42"/>
    <x v="109"/>
    <n v="153"/>
    <n v="66"/>
    <n v="129"/>
    <n v="0.3957"/>
    <n v="280"/>
    <n v="140"/>
    <n v="80"/>
    <n v="0.28570000000000001"/>
  </r>
  <r>
    <d v="2024-02-25T00:00:00"/>
    <n v="262"/>
    <x v="0"/>
    <s v="Central"/>
    <s v="Small Market"/>
    <s v="Leaves"/>
    <s v="Tea"/>
    <s v="Darjeeling"/>
    <s v="Regular"/>
    <n v="466"/>
    <n v="13"/>
    <x v="110"/>
    <n v="43"/>
    <n v="35"/>
    <n v="28"/>
    <n v="0.26419999999999999"/>
    <n v="80"/>
    <n v="30"/>
    <n v="20"/>
    <n v="0.25"/>
  </r>
  <r>
    <d v="2024-02-26T00:00:00"/>
    <n v="603"/>
    <x v="15"/>
    <s v="East"/>
    <s v="Small Market"/>
    <s v="Beans"/>
    <s v="Espresso"/>
    <s v="Regular Espresso"/>
    <s v="Regular"/>
    <n v="218"/>
    <n v="7"/>
    <x v="15"/>
    <n v="20"/>
    <n v="41"/>
    <n v="-24"/>
    <n v="-0.5"/>
    <n v="40"/>
    <n v="10"/>
    <n v="0"/>
    <n v="0"/>
  </r>
  <r>
    <d v="2024-02-27T00:00:00"/>
    <n v="541"/>
    <x v="9"/>
    <s v="West"/>
    <s v="Small Market"/>
    <s v="Leaves"/>
    <s v="Herbal Tea"/>
    <s v="Chamomile"/>
    <s v="Decaf"/>
    <n v="823"/>
    <n v="7"/>
    <x v="111"/>
    <n v="25"/>
    <n v="19"/>
    <n v="28"/>
    <n v="0.41789999999999999"/>
    <n v="50"/>
    <n v="20"/>
    <n v="20"/>
    <n v="0.4"/>
  </r>
  <r>
    <d v="2024-02-27T00:00:00"/>
    <n v="315"/>
    <x v="14"/>
    <s v="East"/>
    <s v="Major Market"/>
    <s v="Beans"/>
    <s v="Coffee"/>
    <s v="Colombian"/>
    <s v="Regular"/>
    <n v="2548"/>
    <n v="91"/>
    <x v="112"/>
    <n v="260"/>
    <n v="143"/>
    <n v="247"/>
    <n v="0.38"/>
    <n v="540"/>
    <n v="210"/>
    <n v="230"/>
    <n v="0.4259"/>
  </r>
  <r>
    <d v="2024-02-27T00:00:00"/>
    <n v="206"/>
    <x v="5"/>
    <s v="West"/>
    <s v="Small Market"/>
    <s v="Leaves"/>
    <s v="Herbal Tea"/>
    <s v="Chamomile"/>
    <s v="Decaf"/>
    <n v="1119"/>
    <n v="41"/>
    <x v="113"/>
    <n v="125"/>
    <n v="73"/>
    <n v="115"/>
    <n v="0.3674"/>
    <n v="250"/>
    <n v="90"/>
    <n v="130"/>
    <n v="0.52"/>
  </r>
  <r>
    <d v="2024-02-28T00:00:00"/>
    <n v="203"/>
    <x v="18"/>
    <s v="East"/>
    <s v="Small Market"/>
    <s v="Beans"/>
    <s v="Espresso"/>
    <s v="Caffe Mocha"/>
    <s v="Regular"/>
    <n v="606"/>
    <n v="54"/>
    <x v="114"/>
    <n v="60"/>
    <n v="83"/>
    <n v="1"/>
    <n v="6.8999999999999999E-3"/>
    <n v="130"/>
    <n v="40"/>
    <n v="40"/>
    <n v="0.30769999999999997"/>
  </r>
  <r>
    <d v="2024-02-28T00:00:00"/>
    <n v="719"/>
    <x v="1"/>
    <s v="Central"/>
    <s v="Major Market"/>
    <s v="Leaves"/>
    <s v="Tea"/>
    <s v="Green Tea"/>
    <s v="Regular"/>
    <n v="551"/>
    <n v="26"/>
    <x v="108"/>
    <n v="81"/>
    <n v="38"/>
    <n v="98"/>
    <n v="0.4975"/>
    <n v="150"/>
    <n v="60"/>
    <n v="60"/>
    <n v="0.4"/>
  </r>
  <r>
    <d v="2024-02-28T00:00:00"/>
    <n v="702"/>
    <x v="8"/>
    <s v="West"/>
    <s v="Small Market"/>
    <s v="Leaves"/>
    <s v="Herbal Tea"/>
    <s v="Lemon"/>
    <s v="Decaf"/>
    <n v="1150"/>
    <n v="57"/>
    <x v="115"/>
    <n v="173"/>
    <n v="101"/>
    <n v="205"/>
    <n v="0.46700000000000003"/>
    <n v="380"/>
    <n v="160"/>
    <n v="130"/>
    <n v="0.34210000000000002"/>
  </r>
  <r>
    <d v="2024-03-01T00:00:00"/>
    <n v="580"/>
    <x v="19"/>
    <s v="South"/>
    <s v="Small Market"/>
    <s v="Beans"/>
    <s v="Coffee"/>
    <s v="Decaf Irish Cream"/>
    <s v="Decaf"/>
    <n v="870"/>
    <n v="9"/>
    <x v="74"/>
    <n v="33"/>
    <n v="21"/>
    <n v="28"/>
    <n v="0.34150000000000003"/>
    <n v="90"/>
    <n v="30"/>
    <n v="50"/>
    <n v="0.55559999999999998"/>
  </r>
  <r>
    <d v="2024-03-01T00:00:00"/>
    <n v="337"/>
    <x v="4"/>
    <s v="South"/>
    <s v="Small Market"/>
    <s v="Beans"/>
    <s v="Coffee"/>
    <s v="Decaf Irish Cream"/>
    <s v="Decaf"/>
    <n v="863"/>
    <n v="9"/>
    <x v="89"/>
    <n v="34"/>
    <n v="20"/>
    <n v="46"/>
    <n v="0.50549999999999995"/>
    <n v="100"/>
    <n v="40"/>
    <n v="50"/>
    <n v="0.5"/>
  </r>
  <r>
    <d v="2024-03-01T00:00:00"/>
    <n v="904"/>
    <x v="16"/>
    <s v="East"/>
    <s v="Major Market"/>
    <s v="Leaves"/>
    <s v="Tea"/>
    <s v="Green Tea"/>
    <s v="Regular"/>
    <n v="856"/>
    <n v="8"/>
    <x v="116"/>
    <n v="31"/>
    <n v="19"/>
    <n v="42"/>
    <n v="0.50600000000000001"/>
    <n v="80"/>
    <n v="30"/>
    <n v="40"/>
    <n v="0.5"/>
  </r>
  <r>
    <d v="2024-03-01T00:00:00"/>
    <n v="781"/>
    <x v="11"/>
    <s v="East"/>
    <s v="Major Market"/>
    <s v="Beans"/>
    <s v="Espresso"/>
    <s v="Regular Espresso"/>
    <s v="Regular"/>
    <n v="1267"/>
    <n v="45"/>
    <x v="34"/>
    <n v="161"/>
    <n v="69"/>
    <n v="92"/>
    <n v="0.28570000000000001"/>
    <n v="300"/>
    <n v="140"/>
    <n v="120"/>
    <n v="0.4"/>
  </r>
  <r>
    <d v="2024-03-02T00:00:00"/>
    <n v="303"/>
    <x v="1"/>
    <s v="Central"/>
    <s v="Major Market"/>
    <s v="Leaves"/>
    <s v="Herbal Tea"/>
    <s v="Mint"/>
    <s v="Decaf"/>
    <n v="424"/>
    <n v="17"/>
    <x v="117"/>
    <n v="54"/>
    <n v="44"/>
    <n v="29"/>
    <n v="0.2283"/>
    <n v="110"/>
    <n v="50"/>
    <n v="30"/>
    <n v="0.2727"/>
  </r>
  <r>
    <d v="2024-03-02T00:00:00"/>
    <n v="702"/>
    <x v="8"/>
    <s v="West"/>
    <s v="Small Market"/>
    <s v="Beans"/>
    <s v="Espresso"/>
    <s v="Decaf Espresso"/>
    <s v="Decaf"/>
    <n v="800"/>
    <n v="6"/>
    <x v="118"/>
    <n v="23"/>
    <n v="18"/>
    <n v="17"/>
    <n v="0.29310000000000003"/>
    <n v="40"/>
    <n v="10"/>
    <n v="30"/>
    <n v="0.75"/>
  </r>
  <r>
    <d v="2024-03-02T00:00:00"/>
    <n v="818"/>
    <x v="7"/>
    <s v="West"/>
    <s v="Major Market"/>
    <s v="Beans"/>
    <s v="Coffee"/>
    <s v="Amaretto"/>
    <s v="Regular"/>
    <n v="2555"/>
    <n v="39"/>
    <x v="97"/>
    <n v="122"/>
    <n v="61"/>
    <n v="-74"/>
    <n v="-0.67889999999999995"/>
    <n v="150"/>
    <n v="170"/>
    <n v="-60"/>
    <n v="-0.4"/>
  </r>
  <r>
    <d v="2024-03-03T00:00:00"/>
    <n v="225"/>
    <x v="4"/>
    <s v="South"/>
    <s v="Small Market"/>
    <s v="Beans"/>
    <s v="Espresso"/>
    <s v="Caffe Latte"/>
    <s v="Regular"/>
    <n v="-1053"/>
    <n v="49"/>
    <x v="4"/>
    <n v="55"/>
    <n v="79"/>
    <n v="-4"/>
    <n v="-2.86E-2"/>
    <n v="100"/>
    <n v="40"/>
    <n v="0"/>
    <n v="0"/>
  </r>
  <r>
    <d v="2024-03-03T00:00:00"/>
    <n v="978"/>
    <x v="11"/>
    <s v="East"/>
    <s v="Major Market"/>
    <s v="Beans"/>
    <s v="Espresso"/>
    <s v="Caffe Mocha"/>
    <s v="Regular"/>
    <n v="571"/>
    <n v="42"/>
    <x v="110"/>
    <n v="47"/>
    <n v="72"/>
    <n v="-30"/>
    <n v="-0.28299999999999997"/>
    <n v="90"/>
    <n v="40"/>
    <n v="-10"/>
    <n v="-0.1111"/>
  </r>
  <r>
    <d v="2024-03-03T00:00:00"/>
    <n v="936"/>
    <x v="10"/>
    <s v="South"/>
    <s v="Major Market"/>
    <s v="Beans"/>
    <s v="Coffee"/>
    <s v="Colombian"/>
    <s v="Regular"/>
    <n v="1246"/>
    <n v="74"/>
    <x v="94"/>
    <n v="239"/>
    <n v="96"/>
    <n v="185"/>
    <n v="0.35580000000000001"/>
    <n v="770"/>
    <n v="350"/>
    <n v="340"/>
    <n v="0.44159999999999999"/>
  </r>
  <r>
    <d v="2024-03-03T00:00:00"/>
    <n v="321"/>
    <x v="16"/>
    <s v="East"/>
    <s v="Major Market"/>
    <s v="Beans"/>
    <s v="Espresso"/>
    <s v="Decaf Espresso"/>
    <s v="Decaf"/>
    <n v="547"/>
    <n v="28"/>
    <x v="119"/>
    <n v="86"/>
    <n v="56"/>
    <n v="89"/>
    <n v="0.41399999999999998"/>
    <n v="180"/>
    <n v="70"/>
    <n v="90"/>
    <n v="0.5"/>
  </r>
  <r>
    <d v="2024-03-04T00:00:00"/>
    <n v="435"/>
    <x v="13"/>
    <s v="West"/>
    <s v="Small Market"/>
    <s v="Leaves"/>
    <s v="Tea"/>
    <s v="Darjeeling"/>
    <s v="Regular"/>
    <n v="335"/>
    <n v="44"/>
    <x v="77"/>
    <n v="49"/>
    <n v="73"/>
    <n v="-4"/>
    <n v="-3.39E-2"/>
    <n v="80"/>
    <n v="30"/>
    <n v="0"/>
    <n v="0"/>
  </r>
  <r>
    <d v="2024-03-05T00:00:00"/>
    <n v="325"/>
    <x v="10"/>
    <s v="South"/>
    <s v="Major Market"/>
    <s v="Leaves"/>
    <s v="Herbal Tea"/>
    <s v="Chamomile"/>
    <s v="Decaf"/>
    <n v="424"/>
    <n v="17"/>
    <x v="39"/>
    <n v="54"/>
    <n v="45"/>
    <n v="42"/>
    <n v="0.31109999999999999"/>
    <n v="110"/>
    <n v="50"/>
    <n v="30"/>
    <n v="0.2727"/>
  </r>
  <r>
    <d v="2024-03-05T00:00:00"/>
    <n v="918"/>
    <x v="19"/>
    <s v="South"/>
    <s v="Small Market"/>
    <s v="Beans"/>
    <s v="Espresso"/>
    <s v="Decaf Espresso"/>
    <s v="Decaf"/>
    <n v="798"/>
    <n v="25"/>
    <x v="108"/>
    <n v="78"/>
    <n v="57"/>
    <n v="62"/>
    <n v="0.31469999999999998"/>
    <n v="150"/>
    <n v="60"/>
    <n v="40"/>
    <n v="0.26669999999999999"/>
  </r>
  <r>
    <d v="2024-03-05T00:00:00"/>
    <n v="562"/>
    <x v="7"/>
    <s v="West"/>
    <s v="Major Market"/>
    <s v="Beans"/>
    <s v="Espresso"/>
    <s v="Caffe Latte"/>
    <s v="Regular"/>
    <n v="1755"/>
    <n v="66"/>
    <x v="120"/>
    <n v="239"/>
    <n v="90"/>
    <n v="149"/>
    <n v="0.31169999999999998"/>
    <n v="430"/>
    <n v="210"/>
    <n v="160"/>
    <n v="0.37209999999999999"/>
  </r>
  <r>
    <d v="2024-03-06T00:00:00"/>
    <n v="435"/>
    <x v="13"/>
    <s v="West"/>
    <s v="Small Market"/>
    <s v="Beans"/>
    <s v="Espresso"/>
    <s v="Decaf Espresso"/>
    <s v="Decaf"/>
    <n v="885"/>
    <n v="15"/>
    <x v="19"/>
    <n v="54"/>
    <n v="26"/>
    <n v="77"/>
    <n v="0.54610000000000003"/>
    <n v="120"/>
    <n v="50"/>
    <n v="50"/>
    <n v="0.41670000000000001"/>
  </r>
  <r>
    <d v="2024-03-06T00:00:00"/>
    <n v="505"/>
    <x v="3"/>
    <s v="South"/>
    <s v="Small Market"/>
    <s v="Leaves"/>
    <s v="Herbal Tea"/>
    <s v="Chamomile"/>
    <s v="Decaf"/>
    <n v="848"/>
    <n v="4"/>
    <x v="121"/>
    <n v="15"/>
    <n v="15"/>
    <n v="9"/>
    <n v="0.23080000000000001"/>
    <n v="30"/>
    <n v="10"/>
    <n v="10"/>
    <n v="0.33329999999999999"/>
  </r>
  <r>
    <d v="2024-03-06T00:00:00"/>
    <n v="959"/>
    <x v="18"/>
    <s v="East"/>
    <s v="Small Market"/>
    <s v="Beans"/>
    <s v="Coffee"/>
    <s v="Colombian"/>
    <s v="Regular"/>
    <n v="1166"/>
    <n v="37"/>
    <x v="12"/>
    <n v="115"/>
    <n v="69"/>
    <n v="156"/>
    <n v="0.50649999999999995"/>
    <n v="260"/>
    <n v="100"/>
    <n v="110"/>
    <n v="0.42309999999999998"/>
  </r>
  <r>
    <d v="2024-03-07T00:00:00"/>
    <n v="847"/>
    <x v="2"/>
    <s v="Central"/>
    <s v="Major Market"/>
    <s v="Leaves"/>
    <s v="Tea"/>
    <s v="Earl Grey"/>
    <s v="Regular"/>
    <n v="650"/>
    <n v="23"/>
    <x v="68"/>
    <n v="72"/>
    <n v="55"/>
    <n v="55"/>
    <n v="0.30220000000000002"/>
    <n v="130"/>
    <n v="50"/>
    <n v="50"/>
    <n v="0.3846"/>
  </r>
  <r>
    <d v="2024-03-07T00:00:00"/>
    <n v="213"/>
    <x v="7"/>
    <s v="West"/>
    <s v="Major Market"/>
    <s v="Leaves"/>
    <s v="Herbal Tea"/>
    <s v="Chamomile"/>
    <s v="Decaf"/>
    <n v="984"/>
    <n v="22"/>
    <x v="88"/>
    <n v="81"/>
    <n v="33"/>
    <n v="84"/>
    <n v="0.42420000000000002"/>
    <n v="180"/>
    <n v="70"/>
    <n v="80"/>
    <n v="0.44440000000000002"/>
  </r>
  <r>
    <d v="2024-03-08T00:00:00"/>
    <n v="435"/>
    <x v="13"/>
    <s v="West"/>
    <s v="Small Market"/>
    <s v="Beans"/>
    <s v="Coffee"/>
    <s v="Amaretto"/>
    <s v="Regular"/>
    <n v="1053"/>
    <n v="20"/>
    <x v="66"/>
    <n v="65"/>
    <n v="41"/>
    <n v="53"/>
    <n v="0.35099999999999998"/>
    <n v="200"/>
    <n v="90"/>
    <n v="90"/>
    <n v="0.45"/>
  </r>
  <r>
    <d v="2024-03-09T00:00:00"/>
    <n v="515"/>
    <x v="17"/>
    <s v="Central"/>
    <s v="Small Market"/>
    <s v="Beans"/>
    <s v="Espresso"/>
    <s v="Caffe Mocha"/>
    <s v="Regular"/>
    <n v="807"/>
    <n v="6"/>
    <x v="118"/>
    <n v="23"/>
    <n v="18"/>
    <n v="17"/>
    <n v="0.29310000000000003"/>
    <n v="70"/>
    <n v="20"/>
    <n v="40"/>
    <n v="0.57140000000000002"/>
  </r>
  <r>
    <d v="2024-03-09T00:00:00"/>
    <n v="309"/>
    <x v="2"/>
    <s v="Central"/>
    <s v="Major Market"/>
    <s v="Leaves"/>
    <s v="Tea"/>
    <s v="Earl Grey"/>
    <s v="Regular"/>
    <n v="659"/>
    <n v="24"/>
    <x v="9"/>
    <n v="75"/>
    <n v="55"/>
    <n v="88"/>
    <n v="0.43780000000000002"/>
    <n v="150"/>
    <n v="60"/>
    <n v="50"/>
    <n v="0.33329999999999999"/>
  </r>
  <r>
    <d v="2024-03-09T00:00:00"/>
    <n v="740"/>
    <x v="12"/>
    <s v="Central"/>
    <s v="Major Market"/>
    <s v="Leaves"/>
    <s v="Tea"/>
    <s v="Earl Grey"/>
    <s v="Regular"/>
    <n v="666"/>
    <n v="31"/>
    <x v="81"/>
    <n v="102"/>
    <n v="54"/>
    <n v="132"/>
    <n v="0.50570000000000004"/>
    <n v="200"/>
    <n v="80"/>
    <n v="70"/>
    <n v="0.35"/>
  </r>
  <r>
    <d v="2024-03-10T00:00:00"/>
    <n v="318"/>
    <x v="4"/>
    <s v="South"/>
    <s v="Small Market"/>
    <s v="Leaves"/>
    <s v="Herbal Tea"/>
    <s v="Chamomile"/>
    <s v="Decaf"/>
    <n v="564"/>
    <n v="33"/>
    <x v="122"/>
    <n v="103"/>
    <n v="46"/>
    <n v="129"/>
    <n v="0.51390000000000002"/>
    <n v="210"/>
    <n v="80"/>
    <n v="110"/>
    <n v="0.52380000000000004"/>
  </r>
  <r>
    <d v="2024-03-10T00:00:00"/>
    <n v="775"/>
    <x v="8"/>
    <s v="West"/>
    <s v="Small Market"/>
    <s v="Beans"/>
    <s v="Espresso"/>
    <s v="Caffe Mocha"/>
    <s v="Regular"/>
    <n v="851"/>
    <n v="4"/>
    <x v="123"/>
    <n v="16"/>
    <n v="15"/>
    <n v="15"/>
    <n v="0.34089999999999998"/>
    <n v="30"/>
    <n v="10"/>
    <n v="10"/>
    <n v="0.33329999999999999"/>
  </r>
  <r>
    <d v="2024-03-11T00:00:00"/>
    <n v="425"/>
    <x v="5"/>
    <s v="West"/>
    <s v="Small Market"/>
    <s v="Leaves"/>
    <s v="Herbal Tea"/>
    <s v="Lemon"/>
    <s v="Decaf"/>
    <n v="829"/>
    <n v="13"/>
    <x v="124"/>
    <n v="48"/>
    <n v="24"/>
    <n v="47"/>
    <n v="0.39500000000000002"/>
    <n v="90"/>
    <n v="30"/>
    <n v="60"/>
    <n v="0.66669999999999996"/>
  </r>
  <r>
    <d v="2024-03-12T00:00:00"/>
    <n v="435"/>
    <x v="13"/>
    <s v="West"/>
    <s v="Small Market"/>
    <s v="Beans"/>
    <s v="Espresso"/>
    <s v="Caffe Latte"/>
    <s v="Regular"/>
    <n v="844"/>
    <n v="8"/>
    <x v="125"/>
    <n v="31"/>
    <n v="20"/>
    <n v="26"/>
    <n v="0.3377"/>
    <n v="70"/>
    <n v="30"/>
    <n v="30"/>
    <n v="0.42859999999999998"/>
  </r>
  <r>
    <d v="2024-03-12T00:00:00"/>
    <n v="631"/>
    <x v="14"/>
    <s v="East"/>
    <s v="Major Market"/>
    <s v="Leaves"/>
    <s v="Herbal Tea"/>
    <s v="Lemon"/>
    <s v="Decaf"/>
    <n v="1727"/>
    <n v="111"/>
    <x v="126"/>
    <n v="294"/>
    <n v="144"/>
    <n v="459"/>
    <n v="0.5766"/>
    <n v="540"/>
    <n v="220"/>
    <n v="210"/>
    <n v="0.38890000000000002"/>
  </r>
  <r>
    <d v="2024-03-12T00:00:00"/>
    <n v="515"/>
    <x v="17"/>
    <s v="Central"/>
    <s v="Small Market"/>
    <s v="Leaves"/>
    <s v="Herbal Tea"/>
    <s v="Lemon"/>
    <s v="Decaf"/>
    <n v="789"/>
    <n v="39"/>
    <x v="38"/>
    <n v="122"/>
    <n v="62"/>
    <n v="169"/>
    <n v="0.53139999999999998"/>
    <n v="240"/>
    <n v="90"/>
    <n v="130"/>
    <n v="0.54169999999999996"/>
  </r>
  <r>
    <d v="2024-03-13T00:00:00"/>
    <n v="847"/>
    <x v="2"/>
    <s v="Central"/>
    <s v="Major Market"/>
    <s v="Leaves"/>
    <s v="Tea"/>
    <s v="Darjeeling"/>
    <s v="Regular"/>
    <n v="589"/>
    <n v="14"/>
    <x v="57"/>
    <n v="50"/>
    <n v="25"/>
    <n v="48"/>
    <n v="0.39019999999999999"/>
    <n v="100"/>
    <n v="40"/>
    <n v="40"/>
    <n v="0.4"/>
  </r>
  <r>
    <d v="2024-03-13T00:00:00"/>
    <n v="518"/>
    <x v="14"/>
    <s v="East"/>
    <s v="Major Market"/>
    <s v="Leaves"/>
    <s v="Herbal Tea"/>
    <s v="Mint"/>
    <s v="Decaf"/>
    <n v="4742"/>
    <n v="69"/>
    <x v="127"/>
    <n v="225"/>
    <n v="91"/>
    <n v="-232"/>
    <n v="-1.3567"/>
    <n v="110"/>
    <n v="160"/>
    <n v="-120"/>
    <n v="-1.0909"/>
  </r>
  <r>
    <d v="2024-03-13T00:00:00"/>
    <n v="206"/>
    <x v="5"/>
    <s v="West"/>
    <s v="Small Market"/>
    <s v="Beans"/>
    <s v="Coffee"/>
    <s v="Decaf Irish Cream"/>
    <s v="Decaf"/>
    <n v="716"/>
    <n v="95"/>
    <x v="128"/>
    <n v="105"/>
    <n v="125"/>
    <n v="30"/>
    <n v="0.1128"/>
    <n v="290"/>
    <n v="120"/>
    <n v="50"/>
    <n v="0.1724"/>
  </r>
  <r>
    <d v="2024-03-14T00:00:00"/>
    <n v="603"/>
    <x v="15"/>
    <s v="East"/>
    <s v="Small Market"/>
    <s v="Leaves"/>
    <s v="Tea"/>
    <s v="Green Tea"/>
    <s v="Regular"/>
    <n v="387"/>
    <n v="0"/>
    <x v="101"/>
    <n v="0"/>
    <n v="11"/>
    <n v="32"/>
    <n v="0.74419999999999997"/>
    <n v="40"/>
    <n v="0"/>
    <n v="30"/>
    <n v="0.75"/>
  </r>
  <r>
    <d v="2024-03-14T00:00:00"/>
    <n v="515"/>
    <x v="17"/>
    <s v="Central"/>
    <s v="Small Market"/>
    <s v="Beans"/>
    <s v="Coffee"/>
    <s v="Colombian"/>
    <s v="Regular"/>
    <n v="1000"/>
    <n v="9"/>
    <x v="3"/>
    <n v="31"/>
    <n v="30"/>
    <n v="10"/>
    <n v="0.1389"/>
    <n v="60"/>
    <n v="20"/>
    <n v="30"/>
    <n v="0.5"/>
  </r>
  <r>
    <d v="2024-03-14T00:00:00"/>
    <n v="985"/>
    <x v="4"/>
    <s v="South"/>
    <s v="Small Market"/>
    <s v="Beans"/>
    <s v="Coffee"/>
    <s v="Decaf Irish Cream"/>
    <s v="Decaf"/>
    <n v="851"/>
    <n v="13"/>
    <x v="29"/>
    <n v="48"/>
    <n v="25"/>
    <n v="67"/>
    <n v="0.53169999999999995"/>
    <n v="160"/>
    <n v="70"/>
    <n v="80"/>
    <n v="0.5"/>
  </r>
  <r>
    <d v="2024-03-14T00:00:00"/>
    <n v="740"/>
    <x v="12"/>
    <s v="Central"/>
    <s v="Major Market"/>
    <s v="Beans"/>
    <s v="Espresso"/>
    <s v="Caffe Mocha"/>
    <s v="Regular"/>
    <n v="1319"/>
    <n v="42"/>
    <x v="61"/>
    <n v="153"/>
    <n v="66"/>
    <n v="87"/>
    <n v="0.2843"/>
    <n v="390"/>
    <n v="190"/>
    <n v="140"/>
    <n v="0.35899999999999999"/>
  </r>
  <r>
    <d v="2024-03-14T00:00:00"/>
    <n v="435"/>
    <x v="13"/>
    <s v="West"/>
    <s v="Small Market"/>
    <s v="Leaves"/>
    <s v="Tea"/>
    <s v="Green Tea"/>
    <s v="Regular"/>
    <n v="218"/>
    <n v="7"/>
    <x v="129"/>
    <n v="20"/>
    <n v="40"/>
    <n v="-15"/>
    <n v="-0.33329999999999999"/>
    <n v="30"/>
    <n v="10"/>
    <n v="0"/>
    <n v="0"/>
  </r>
  <r>
    <d v="2024-03-15T00:00:00"/>
    <n v="262"/>
    <x v="0"/>
    <s v="Central"/>
    <s v="Small Market"/>
    <s v="Beans"/>
    <s v="Coffee"/>
    <s v="Amaretto"/>
    <s v="Regular"/>
    <n v="391"/>
    <n v="20"/>
    <x v="16"/>
    <n v="54"/>
    <n v="53"/>
    <n v="14"/>
    <n v="0.1157"/>
    <n v="110"/>
    <n v="50"/>
    <n v="20"/>
    <n v="0.18179999999999999"/>
  </r>
  <r>
    <d v="2024-03-15T00:00:00"/>
    <n v="206"/>
    <x v="5"/>
    <s v="West"/>
    <s v="Small Market"/>
    <s v="Leaves"/>
    <s v="Tea"/>
    <s v="Green Tea"/>
    <s v="Regular"/>
    <n v="606"/>
    <n v="54"/>
    <x v="130"/>
    <n v="60"/>
    <n v="84"/>
    <n v="0"/>
    <n v="0"/>
    <n v="60"/>
    <n v="20"/>
    <n v="10"/>
    <n v="0.16669999999999999"/>
  </r>
  <r>
    <d v="2024-03-15T00:00:00"/>
    <n v="541"/>
    <x v="9"/>
    <s v="West"/>
    <s v="Small Market"/>
    <s v="Leaves"/>
    <s v="Tea"/>
    <s v="Darjeeling"/>
    <s v="Regular"/>
    <n v="490"/>
    <n v="8"/>
    <x v="28"/>
    <n v="29"/>
    <n v="19"/>
    <n v="37"/>
    <n v="0.47439999999999999"/>
    <n v="50"/>
    <n v="20"/>
    <n v="30"/>
    <n v="0.6"/>
  </r>
  <r>
    <d v="2024-03-15T00:00:00"/>
    <n v="607"/>
    <x v="14"/>
    <s v="East"/>
    <s v="Major Market"/>
    <s v="Leaves"/>
    <s v="Tea"/>
    <s v="Green Tea"/>
    <s v="Regular"/>
    <n v="580"/>
    <n v="21"/>
    <x v="131"/>
    <n v="76"/>
    <n v="33"/>
    <n v="116"/>
    <n v="0.58289999999999997"/>
    <n v="200"/>
    <n v="80"/>
    <n v="100"/>
    <n v="0.5"/>
  </r>
  <r>
    <d v="2024-03-16T00:00:00"/>
    <n v="603"/>
    <x v="15"/>
    <s v="East"/>
    <s v="Small Market"/>
    <s v="Leaves"/>
    <s v="Tea"/>
    <s v="Green Tea"/>
    <s v="Regular"/>
    <n v="344"/>
    <n v="0"/>
    <x v="101"/>
    <n v="0"/>
    <n v="11"/>
    <n v="32"/>
    <n v="0.74419999999999997"/>
    <n v="40"/>
    <n v="0"/>
    <n v="30"/>
    <n v="0.75"/>
  </r>
  <r>
    <d v="2024-03-16T00:00:00"/>
    <n v="425"/>
    <x v="5"/>
    <s v="West"/>
    <s v="Small Market"/>
    <s v="Leaves"/>
    <s v="Tea"/>
    <s v="Darjeeling"/>
    <s v="Regular"/>
    <n v="321"/>
    <n v="16"/>
    <x v="19"/>
    <n v="53"/>
    <n v="39"/>
    <n v="49"/>
    <n v="0.34749999999999998"/>
    <n v="100"/>
    <n v="30"/>
    <n v="50"/>
    <n v="0.5"/>
  </r>
  <r>
    <d v="2024-03-16T00:00:00"/>
    <n v="971"/>
    <x v="9"/>
    <s v="West"/>
    <s v="Small Market"/>
    <s v="Beans"/>
    <s v="Espresso"/>
    <s v="Decaf Espresso"/>
    <s v="Decaf"/>
    <n v="1319"/>
    <n v="42"/>
    <x v="61"/>
    <n v="153"/>
    <n v="66"/>
    <n v="87"/>
    <n v="0.2843"/>
    <n v="290"/>
    <n v="150"/>
    <n v="80"/>
    <n v="0.27589999999999998"/>
  </r>
  <r>
    <d v="2024-03-17T00:00:00"/>
    <n v="603"/>
    <x v="15"/>
    <s v="East"/>
    <s v="Small Market"/>
    <s v="Beans"/>
    <s v="Coffee"/>
    <s v="Amaretto"/>
    <s v="Regular"/>
    <n v="316"/>
    <n v="14"/>
    <x v="40"/>
    <n v="46"/>
    <n v="37"/>
    <n v="45"/>
    <n v="0.375"/>
    <n v="100"/>
    <n v="40"/>
    <n v="40"/>
    <n v="0.4"/>
  </r>
  <r>
    <d v="2024-03-17T00:00:00"/>
    <n v="505"/>
    <x v="3"/>
    <s v="South"/>
    <s v="Small Market"/>
    <s v="Beans"/>
    <s v="Espresso"/>
    <s v="Decaf Espresso"/>
    <s v="Decaf"/>
    <n v="244"/>
    <n v="12"/>
    <x v="132"/>
    <n v="39"/>
    <n v="39"/>
    <n v="14"/>
    <n v="0.1522"/>
    <n v="50"/>
    <n v="20"/>
    <n v="20"/>
    <n v="0.4"/>
  </r>
  <r>
    <d v="2024-03-17T00:00:00"/>
    <n v="330"/>
    <x v="12"/>
    <s v="Central"/>
    <s v="Major Market"/>
    <s v="Beans"/>
    <s v="Coffee"/>
    <s v="Amaretto"/>
    <s v="Regular"/>
    <n v="411"/>
    <n v="19"/>
    <x v="87"/>
    <n v="59"/>
    <n v="46"/>
    <n v="33"/>
    <n v="0.23910000000000001"/>
    <n v="130"/>
    <n v="50"/>
    <n v="50"/>
    <n v="0.3846"/>
  </r>
  <r>
    <d v="2024-03-17T00:00:00"/>
    <n v="920"/>
    <x v="0"/>
    <s v="Central"/>
    <s v="Small Market"/>
    <s v="Leaves"/>
    <s v="Herbal Tea"/>
    <s v="Chamomile"/>
    <s v="Decaf"/>
    <n v="321"/>
    <n v="16"/>
    <x v="19"/>
    <n v="53"/>
    <n v="40"/>
    <n v="48"/>
    <n v="0.34039999999999998"/>
    <n v="130"/>
    <n v="50"/>
    <n v="50"/>
    <n v="0.3846"/>
  </r>
  <r>
    <d v="2024-03-17T00:00:00"/>
    <n v="405"/>
    <x v="19"/>
    <s v="South"/>
    <s v="Small Market"/>
    <s v="Leaves"/>
    <s v="Herbal Tea"/>
    <s v="Lemon"/>
    <s v="Decaf"/>
    <n v="683"/>
    <n v="87"/>
    <x v="35"/>
    <n v="96"/>
    <n v="117"/>
    <n v="17"/>
    <n v="7.3899999999999993E-2"/>
    <n v="200"/>
    <n v="80"/>
    <n v="40"/>
    <n v="0.2"/>
  </r>
  <r>
    <d v="2024-03-17T00:00:00"/>
    <n v="773"/>
    <x v="2"/>
    <s v="Central"/>
    <s v="Major Market"/>
    <s v="Beans"/>
    <s v="Espresso"/>
    <s v="Decaf Espresso"/>
    <s v="Decaf"/>
    <n v="1755"/>
    <n v="66"/>
    <x v="133"/>
    <n v="239"/>
    <n v="90"/>
    <n v="221"/>
    <n v="0.43419999999999997"/>
    <n v="710"/>
    <n v="340"/>
    <n v="300"/>
    <n v="0.42249999999999999"/>
  </r>
  <r>
    <d v="2024-03-17T00:00:00"/>
    <n v="720"/>
    <x v="1"/>
    <s v="Central"/>
    <s v="Major Market"/>
    <s v="Beans"/>
    <s v="Coffee"/>
    <s v="Decaf Irish Cream"/>
    <s v="Decaf"/>
    <n v="1003"/>
    <n v="24"/>
    <x v="92"/>
    <n v="86"/>
    <n v="36"/>
    <n v="131"/>
    <n v="0.58479999999999999"/>
    <n v="200"/>
    <n v="80"/>
    <n v="90"/>
    <n v="0.45"/>
  </r>
  <r>
    <d v="2024-03-17T00:00:00"/>
    <n v="916"/>
    <x v="7"/>
    <s v="West"/>
    <s v="Major Market"/>
    <s v="Beans"/>
    <s v="Espresso"/>
    <s v="Caffe Latte"/>
    <s v="Regular"/>
    <n v="1820"/>
    <n v="70"/>
    <x v="72"/>
    <n v="250"/>
    <n v="94"/>
    <n v="157"/>
    <n v="0.31340000000000001"/>
    <n v="480"/>
    <n v="240"/>
    <n v="160"/>
    <n v="0.33329999999999999"/>
  </r>
  <r>
    <d v="2024-03-18T00:00:00"/>
    <n v="850"/>
    <x v="16"/>
    <s v="East"/>
    <s v="Major Market"/>
    <s v="Leaves"/>
    <s v="Tea"/>
    <s v="Darjeeling"/>
    <s v="Regular"/>
    <n v="871"/>
    <n v="10"/>
    <x v="64"/>
    <n v="38"/>
    <n v="21"/>
    <n v="35"/>
    <n v="0.37230000000000002"/>
    <n v="100"/>
    <n v="40"/>
    <n v="50"/>
    <n v="0.5"/>
  </r>
  <r>
    <d v="2024-03-18T00:00:00"/>
    <n v="262"/>
    <x v="0"/>
    <s v="Central"/>
    <s v="Small Market"/>
    <s v="Beans"/>
    <s v="Coffee"/>
    <s v="Decaf Irish Cream"/>
    <s v="Decaf"/>
    <n v="557"/>
    <n v="25"/>
    <x v="134"/>
    <n v="77"/>
    <n v="52"/>
    <n v="51"/>
    <n v="0.2833"/>
    <n v="170"/>
    <n v="70"/>
    <n v="60"/>
    <n v="0.35289999999999999"/>
  </r>
  <r>
    <d v="2024-03-18T00:00:00"/>
    <n v="563"/>
    <x v="17"/>
    <s v="Central"/>
    <s v="Small Market"/>
    <s v="Leaves"/>
    <s v="Tea"/>
    <s v="Earl Grey"/>
    <s v="Regular"/>
    <n v="1838"/>
    <n v="111"/>
    <x v="135"/>
    <n v="294"/>
    <n v="144"/>
    <n v="321"/>
    <n v="0.46050000000000002"/>
    <n v="540"/>
    <n v="240"/>
    <n v="170"/>
    <n v="0.31480000000000002"/>
  </r>
  <r>
    <d v="2024-03-19T00:00:00"/>
    <n v="580"/>
    <x v="19"/>
    <s v="South"/>
    <s v="Small Market"/>
    <s v="Beans"/>
    <s v="Coffee"/>
    <s v="Decaf Irish Cream"/>
    <s v="Decaf"/>
    <n v="862"/>
    <n v="10"/>
    <x v="64"/>
    <n v="36"/>
    <n v="22"/>
    <n v="45"/>
    <n v="0.47870000000000001"/>
    <n v="100"/>
    <n v="40"/>
    <n v="40"/>
    <n v="0.4"/>
  </r>
  <r>
    <d v="2024-03-19T00:00:00"/>
    <n v="505"/>
    <x v="3"/>
    <s v="South"/>
    <s v="Small Market"/>
    <s v="Beans"/>
    <s v="Espresso"/>
    <s v="Caffe Mocha"/>
    <s v="Regular"/>
    <n v="325"/>
    <n v="40"/>
    <x v="110"/>
    <n v="44"/>
    <n v="69"/>
    <n v="-7"/>
    <n v="-6.6000000000000003E-2"/>
    <n v="80"/>
    <n v="30"/>
    <n v="0"/>
    <n v="0"/>
  </r>
  <r>
    <d v="2024-03-19T00:00:00"/>
    <n v="727"/>
    <x v="16"/>
    <s v="East"/>
    <s v="Major Market"/>
    <s v="Beans"/>
    <s v="Coffee"/>
    <s v="Decaf Irish Cream"/>
    <s v="Decaf"/>
    <n v="690"/>
    <n v="41"/>
    <x v="106"/>
    <n v="134"/>
    <n v="64"/>
    <n v="181"/>
    <n v="0.53080000000000005"/>
    <n v="280"/>
    <n v="120"/>
    <n v="110"/>
    <n v="0.39290000000000003"/>
  </r>
  <r>
    <d v="2024-03-19T00:00:00"/>
    <n v="515"/>
    <x v="17"/>
    <s v="Central"/>
    <s v="Small Market"/>
    <s v="Leaves"/>
    <s v="Herbal Tea"/>
    <s v="Chamomile"/>
    <s v="Decaf"/>
    <n v="1744"/>
    <n v="81"/>
    <x v="136"/>
    <n v="247"/>
    <n v="113"/>
    <n v="321"/>
    <n v="0.52280000000000004"/>
    <n v="530"/>
    <n v="230"/>
    <n v="200"/>
    <n v="0.37740000000000001"/>
  </r>
  <r>
    <d v="2024-03-20T00:00:00"/>
    <n v="505"/>
    <x v="3"/>
    <s v="South"/>
    <s v="Small Market"/>
    <s v="Leaves"/>
    <s v="Herbal Tea"/>
    <s v="Lemon"/>
    <s v="Decaf"/>
    <n v="1000"/>
    <n v="9"/>
    <x v="137"/>
    <n v="31"/>
    <n v="31"/>
    <n v="6"/>
    <n v="8.8200000000000001E-2"/>
    <n v="50"/>
    <n v="10"/>
    <n v="30"/>
    <n v="0.6"/>
  </r>
  <r>
    <d v="2024-03-20T00:00:00"/>
    <n v="774"/>
    <x v="11"/>
    <s v="East"/>
    <s v="Major Market"/>
    <s v="Beans"/>
    <s v="Espresso"/>
    <s v="Caffe Mocha"/>
    <s v="Regular"/>
    <n v="542"/>
    <n v="46"/>
    <x v="37"/>
    <n v="51"/>
    <n v="76"/>
    <n v="-16"/>
    <n v="-0.129"/>
    <n v="100"/>
    <n v="30"/>
    <n v="30"/>
    <n v="0.3"/>
  </r>
  <r>
    <d v="2024-03-20T00:00:00"/>
    <n v="503"/>
    <x v="9"/>
    <s v="West"/>
    <s v="Small Market"/>
    <s v="Leaves"/>
    <s v="Tea"/>
    <s v="Darjeeling"/>
    <s v="Regular"/>
    <n v="482"/>
    <n v="8"/>
    <x v="138"/>
    <n v="32"/>
    <n v="20"/>
    <n v="42"/>
    <n v="0.49409999999999998"/>
    <n v="50"/>
    <n v="20"/>
    <n v="30"/>
    <n v="0.6"/>
  </r>
  <r>
    <d v="2024-03-20T00:00:00"/>
    <n v="971"/>
    <x v="9"/>
    <s v="West"/>
    <s v="Small Market"/>
    <s v="Leaves"/>
    <s v="Herbal Tea"/>
    <s v="Lemon"/>
    <s v="Decaf"/>
    <n v="572"/>
    <n v="29"/>
    <x v="41"/>
    <n v="90"/>
    <n v="42"/>
    <n v="73"/>
    <n v="0.35610000000000003"/>
    <n v="160"/>
    <n v="60"/>
    <n v="90"/>
    <n v="0.5625"/>
  </r>
  <r>
    <d v="2024-03-21T00:00:00"/>
    <n v="216"/>
    <x v="12"/>
    <s v="Central"/>
    <s v="Major Market"/>
    <s v="Beans"/>
    <s v="Coffee"/>
    <s v="Decaf Irish Cream"/>
    <s v="Decaf"/>
    <n v="503"/>
    <n v="46"/>
    <x v="139"/>
    <n v="51"/>
    <n v="76"/>
    <n v="-5"/>
    <n v="-4.1000000000000002E-2"/>
    <n v="110"/>
    <n v="40"/>
    <n v="30"/>
    <n v="0.2727"/>
  </r>
  <r>
    <d v="2024-03-21T00:00:00"/>
    <n v="702"/>
    <x v="8"/>
    <s v="West"/>
    <s v="Small Market"/>
    <s v="Beans"/>
    <s v="Espresso"/>
    <s v="Caffe Latte"/>
    <s v="Regular"/>
    <n v="430"/>
    <n v="0"/>
    <x v="101"/>
    <n v="0"/>
    <n v="11"/>
    <n v="32"/>
    <n v="0.74419999999999997"/>
    <n v="30"/>
    <n v="0"/>
    <n v="30"/>
    <n v="1"/>
  </r>
  <r>
    <d v="2024-03-21T00:00:00"/>
    <n v="432"/>
    <x v="10"/>
    <s v="South"/>
    <s v="Major Market"/>
    <s v="Beans"/>
    <s v="Coffee"/>
    <s v="Colombian"/>
    <s v="Regular"/>
    <n v="1272"/>
    <n v="69"/>
    <x v="140"/>
    <n v="225"/>
    <n v="91"/>
    <n v="258"/>
    <n v="0.49430000000000002"/>
    <n v="580"/>
    <n v="260"/>
    <n v="230"/>
    <n v="0.39660000000000001"/>
  </r>
  <r>
    <d v="2024-03-21T00:00:00"/>
    <n v="347"/>
    <x v="14"/>
    <s v="East"/>
    <s v="Major Market"/>
    <s v="Beans"/>
    <s v="Espresso"/>
    <s v="Caffe Mocha"/>
    <s v="Regular"/>
    <n v="3385"/>
    <n v="109"/>
    <x v="141"/>
    <n v="121"/>
    <n v="142"/>
    <n v="-202"/>
    <n v="-3.3115000000000001"/>
    <n v="50"/>
    <n v="110"/>
    <n v="-190"/>
    <n v="-3.8"/>
  </r>
  <r>
    <d v="2024-03-21T00:00:00"/>
    <n v="509"/>
    <x v="5"/>
    <s v="West"/>
    <s v="Small Market"/>
    <s v="Beans"/>
    <s v="Coffee"/>
    <s v="Decaf Irish Cream"/>
    <s v="Decaf"/>
    <n v="694"/>
    <n v="85"/>
    <x v="142"/>
    <n v="94"/>
    <n v="114"/>
    <n v="24"/>
    <n v="0.1004"/>
    <n v="260"/>
    <n v="110"/>
    <n v="40"/>
    <n v="0.15379999999999999"/>
  </r>
  <r>
    <d v="2024-03-22T00:00:00"/>
    <n v="702"/>
    <x v="8"/>
    <s v="West"/>
    <s v="Small Market"/>
    <s v="Beans"/>
    <s v="Coffee"/>
    <s v="Colombian"/>
    <s v="Regular"/>
    <n v="240"/>
    <n v="12"/>
    <x v="74"/>
    <n v="34"/>
    <n v="45"/>
    <n v="-3"/>
    <n v="-3.6600000000000001E-2"/>
    <n v="100"/>
    <n v="40"/>
    <n v="30"/>
    <n v="0.3"/>
  </r>
  <r>
    <d v="2024-03-22T00:00:00"/>
    <n v="715"/>
    <x v="0"/>
    <s v="Central"/>
    <s v="Small Market"/>
    <s v="Beans"/>
    <s v="Coffee"/>
    <s v="Amaretto"/>
    <s v="Regular"/>
    <n v="385"/>
    <n v="21"/>
    <x v="29"/>
    <n v="56"/>
    <n v="55"/>
    <n v="15"/>
    <n v="0.11899999999999999"/>
    <n v="120"/>
    <n v="40"/>
    <n v="50"/>
    <n v="0.41670000000000001"/>
  </r>
  <r>
    <d v="2024-03-22T00:00:00"/>
    <n v="815"/>
    <x v="2"/>
    <s v="Central"/>
    <s v="Major Market"/>
    <s v="Beans"/>
    <s v="Coffee"/>
    <s v="Colombian"/>
    <s v="Regular"/>
    <n v="1150"/>
    <n v="57"/>
    <x v="115"/>
    <n v="173"/>
    <n v="100"/>
    <n v="206"/>
    <n v="0.46920000000000001"/>
    <n v="400"/>
    <n v="170"/>
    <n v="140"/>
    <n v="0.35"/>
  </r>
  <r>
    <d v="2024-03-22T00:00:00"/>
    <n v="503"/>
    <x v="9"/>
    <s v="West"/>
    <s v="Small Market"/>
    <s v="Beans"/>
    <s v="Espresso"/>
    <s v="Decaf Espresso"/>
    <s v="Decaf"/>
    <n v="1267"/>
    <n v="45"/>
    <x v="34"/>
    <n v="161"/>
    <n v="70"/>
    <n v="91"/>
    <n v="0.28260000000000002"/>
    <n v="290"/>
    <n v="140"/>
    <n v="110"/>
    <n v="0.37930000000000003"/>
  </r>
  <r>
    <d v="2024-03-22T00:00:00"/>
    <n v="435"/>
    <x v="13"/>
    <s v="West"/>
    <s v="Small Market"/>
    <s v="Beans"/>
    <s v="Coffee"/>
    <s v="Amaretto"/>
    <s v="Regular"/>
    <n v="1060"/>
    <n v="21"/>
    <x v="59"/>
    <n v="69"/>
    <n v="42"/>
    <n v="58"/>
    <n v="0.36249999999999999"/>
    <n v="170"/>
    <n v="80"/>
    <n v="50"/>
    <n v="0.29409999999999997"/>
  </r>
  <r>
    <d v="2024-03-23T00:00:00"/>
    <n v="715"/>
    <x v="0"/>
    <s v="Central"/>
    <s v="Small Market"/>
    <s v="Beans"/>
    <s v="Coffee"/>
    <s v="Amaretto"/>
    <s v="Regular"/>
    <n v="403"/>
    <n v="24"/>
    <x v="143"/>
    <n v="65"/>
    <n v="58"/>
    <n v="22"/>
    <n v="0.1517"/>
    <n v="140"/>
    <n v="60"/>
    <n v="30"/>
    <n v="0.21429999999999999"/>
  </r>
  <r>
    <d v="2024-03-24T00:00:00"/>
    <n v="262"/>
    <x v="0"/>
    <s v="Central"/>
    <s v="Small Market"/>
    <s v="Leaves"/>
    <s v="Tea"/>
    <s v="Darjeeling"/>
    <s v="Regular"/>
    <n v="449"/>
    <n v="14"/>
    <x v="40"/>
    <n v="46"/>
    <n v="37"/>
    <n v="45"/>
    <n v="0.375"/>
    <n v="70"/>
    <n v="20"/>
    <n v="40"/>
    <n v="0.57140000000000002"/>
  </r>
  <r>
    <d v="2024-03-24T00:00:00"/>
    <n v="405"/>
    <x v="19"/>
    <s v="South"/>
    <s v="Small Market"/>
    <s v="Leaves"/>
    <s v="Herbal Tea"/>
    <s v="Chamomile"/>
    <s v="Decaf"/>
    <n v="403"/>
    <n v="24"/>
    <x v="47"/>
    <n v="65"/>
    <n v="58"/>
    <n v="33"/>
    <n v="0.21290000000000001"/>
    <n v="130"/>
    <n v="60"/>
    <n v="20"/>
    <n v="0.15379999999999999"/>
  </r>
  <r>
    <d v="2024-03-25T00:00:00"/>
    <n v="351"/>
    <x v="11"/>
    <s v="East"/>
    <s v="Major Market"/>
    <s v="Leaves"/>
    <s v="Tea"/>
    <s v="Green Tea"/>
    <s v="Regular"/>
    <n v="482"/>
    <n v="8"/>
    <x v="21"/>
    <n v="32"/>
    <n v="19"/>
    <n v="29"/>
    <n v="0.36249999999999999"/>
    <n v="80"/>
    <n v="30"/>
    <n v="40"/>
    <n v="0.5"/>
  </r>
  <r>
    <d v="2024-03-25T00:00:00"/>
    <n v="970"/>
    <x v="1"/>
    <s v="Central"/>
    <s v="Major Market"/>
    <s v="Beans"/>
    <s v="Espresso"/>
    <s v="Caffe Mocha"/>
    <s v="Regular"/>
    <n v="601"/>
    <n v="15"/>
    <x v="2"/>
    <n v="54"/>
    <n v="26"/>
    <n v="53"/>
    <n v="0.39850000000000002"/>
    <n v="170"/>
    <n v="60"/>
    <n v="90"/>
    <n v="0.52939999999999998"/>
  </r>
  <r>
    <d v="2024-03-25T00:00:00"/>
    <n v="715"/>
    <x v="0"/>
    <s v="Central"/>
    <s v="Small Market"/>
    <s v="Beans"/>
    <s v="Espresso"/>
    <s v="Caffe Mocha"/>
    <s v="Regular"/>
    <n v="1079"/>
    <n v="24"/>
    <x v="144"/>
    <n v="80"/>
    <n v="46"/>
    <n v="50"/>
    <n v="0.28410000000000002"/>
    <n v="220"/>
    <n v="100"/>
    <n v="80"/>
    <n v="0.36359999999999998"/>
  </r>
  <r>
    <d v="2024-03-26T00:00:00"/>
    <n v="715"/>
    <x v="0"/>
    <s v="Central"/>
    <s v="Small Market"/>
    <s v="Leaves"/>
    <s v="Herbal Tea"/>
    <s v="Lemon"/>
    <s v="Decaf"/>
    <n v="856"/>
    <n v="8"/>
    <x v="116"/>
    <n v="31"/>
    <n v="20"/>
    <n v="40"/>
    <n v="0.4819"/>
    <n v="70"/>
    <n v="20"/>
    <n v="40"/>
    <n v="0.57140000000000002"/>
  </r>
  <r>
    <d v="2024-03-26T00:00:00"/>
    <n v="435"/>
    <x v="13"/>
    <s v="West"/>
    <s v="Small Market"/>
    <s v="Leaves"/>
    <s v="Tea"/>
    <s v="Earl Grey"/>
    <s v="Regular"/>
    <n v="244"/>
    <n v="12"/>
    <x v="132"/>
    <n v="39"/>
    <n v="39"/>
    <n v="14"/>
    <n v="0.1522"/>
    <n v="40"/>
    <n v="10"/>
    <n v="20"/>
    <n v="0.5"/>
  </r>
  <r>
    <d v="2024-03-26T00:00:00"/>
    <n v="580"/>
    <x v="19"/>
    <s v="South"/>
    <s v="Small Market"/>
    <s v="Leaves"/>
    <s v="Herbal Tea"/>
    <s v="Lemon"/>
    <s v="Decaf"/>
    <n v="716"/>
    <n v="95"/>
    <x v="145"/>
    <n v="105"/>
    <n v="125"/>
    <n v="20"/>
    <n v="0.08"/>
    <n v="230"/>
    <n v="90"/>
    <n v="30"/>
    <n v="0.13039999999999999"/>
  </r>
  <r>
    <d v="2024-03-26T00:00:00"/>
    <n v="435"/>
    <x v="13"/>
    <s v="West"/>
    <s v="Small Market"/>
    <s v="Beans"/>
    <s v="Coffee"/>
    <s v="Decaf Irish Cream"/>
    <s v="Decaf"/>
    <n v="601"/>
    <n v="31"/>
    <x v="82"/>
    <n v="82"/>
    <n v="64"/>
    <n v="56"/>
    <n v="0.28570000000000001"/>
    <n v="210"/>
    <n v="90"/>
    <n v="60"/>
    <n v="0.28570000000000001"/>
  </r>
  <r>
    <d v="2024-03-27T00:00:00"/>
    <n v="234"/>
    <x v="12"/>
    <s v="Central"/>
    <s v="Major Market"/>
    <s v="Beans"/>
    <s v="Coffee"/>
    <s v="Amaretto"/>
    <s v="Regular"/>
    <n v="424"/>
    <n v="17"/>
    <x v="39"/>
    <n v="54"/>
    <n v="44"/>
    <n v="43"/>
    <n v="0.31850000000000001"/>
    <n v="120"/>
    <n v="50"/>
    <n v="40"/>
    <n v="0.33329999999999999"/>
  </r>
  <r>
    <d v="2024-03-28T00:00:00"/>
    <n v="636"/>
    <x v="6"/>
    <s v="Central"/>
    <s v="Small Market"/>
    <s v="Beans"/>
    <s v="Coffee"/>
    <s v="Decaf Irish Cream"/>
    <s v="Decaf"/>
    <n v="1053"/>
    <n v="20"/>
    <x v="66"/>
    <n v="65"/>
    <n v="42"/>
    <n v="52"/>
    <n v="0.34439999999999998"/>
    <n v="130"/>
    <n v="50"/>
    <n v="70"/>
    <n v="0.53849999999999998"/>
  </r>
  <r>
    <d v="2024-04-01T00:00:00"/>
    <n v="503"/>
    <x v="9"/>
    <s v="West"/>
    <s v="Small Market"/>
    <s v="Leaves"/>
    <s v="Tea"/>
    <s v="Green Tea"/>
    <s v="Regular"/>
    <n v="690"/>
    <n v="41"/>
    <x v="106"/>
    <n v="134"/>
    <n v="65"/>
    <n v="180"/>
    <n v="0.52790000000000004"/>
    <n v="230"/>
    <n v="90"/>
    <n v="100"/>
    <n v="0.43480000000000002"/>
  </r>
  <r>
    <d v="2024-04-02T00:00:00"/>
    <n v="630"/>
    <x v="2"/>
    <s v="Central"/>
    <s v="Major Market"/>
    <s v="Leaves"/>
    <s v="Tea"/>
    <s v="Darjeeling"/>
    <s v="Regular"/>
    <n v="601"/>
    <n v="15"/>
    <x v="146"/>
    <n v="54"/>
    <n v="26"/>
    <n v="79"/>
    <n v="0.55630000000000002"/>
    <n v="110"/>
    <n v="40"/>
    <n v="50"/>
    <n v="0.45450000000000002"/>
  </r>
  <r>
    <d v="2024-04-02T00:00:00"/>
    <n v="563"/>
    <x v="17"/>
    <s v="Central"/>
    <s v="Small Market"/>
    <s v="Beans"/>
    <s v="Coffee"/>
    <s v="Amaretto"/>
    <s v="Regular"/>
    <n v="846"/>
    <n v="5"/>
    <x v="96"/>
    <n v="21"/>
    <n v="16"/>
    <n v="15"/>
    <n v="0.28849999999999998"/>
    <n v="40"/>
    <n v="10"/>
    <n v="30"/>
    <n v="0.75"/>
  </r>
  <r>
    <d v="2024-04-02T00:00:00"/>
    <n v="608"/>
    <x v="0"/>
    <s v="Central"/>
    <s v="Small Market"/>
    <s v="Beans"/>
    <s v="Espresso"/>
    <s v="Caffe Mocha"/>
    <s v="Regular"/>
    <n v="1055"/>
    <n v="24"/>
    <x v="147"/>
    <n v="80"/>
    <n v="46"/>
    <n v="48"/>
    <n v="0.27589999999999998"/>
    <n v="250"/>
    <n v="110"/>
    <n v="120"/>
    <n v="0.48"/>
  </r>
  <r>
    <d v="2024-04-03T00:00:00"/>
    <n v="515"/>
    <x v="17"/>
    <s v="Central"/>
    <s v="Small Market"/>
    <s v="Beans"/>
    <s v="Espresso"/>
    <s v="Caffe Mocha"/>
    <s v="Regular"/>
    <n v="807"/>
    <n v="6"/>
    <x v="148"/>
    <n v="23"/>
    <n v="18"/>
    <n v="25"/>
    <n v="0.4032"/>
    <n v="70"/>
    <n v="20"/>
    <n v="40"/>
    <n v="0.57140000000000002"/>
  </r>
  <r>
    <d v="2024-04-03T00:00:00"/>
    <n v="303"/>
    <x v="1"/>
    <s v="Central"/>
    <s v="Major Market"/>
    <s v="Beans"/>
    <s v="Espresso"/>
    <s v="Decaf Espresso"/>
    <s v="Decaf"/>
    <n v="659"/>
    <n v="24"/>
    <x v="62"/>
    <n v="75"/>
    <n v="56"/>
    <n v="58"/>
    <n v="0.30690000000000001"/>
    <n v="240"/>
    <n v="90"/>
    <n v="100"/>
    <n v="0.41670000000000001"/>
  </r>
  <r>
    <d v="2024-04-04T00:00:00"/>
    <n v="959"/>
    <x v="18"/>
    <s v="East"/>
    <s v="Small Market"/>
    <s v="Beans"/>
    <s v="Espresso"/>
    <s v="Caffe Mocha"/>
    <s v="Regular"/>
    <n v="606"/>
    <n v="54"/>
    <x v="130"/>
    <n v="60"/>
    <n v="83"/>
    <n v="1"/>
    <n v="6.4999999999999997E-3"/>
    <n v="130"/>
    <n v="40"/>
    <n v="40"/>
    <n v="0.30769999999999997"/>
  </r>
  <r>
    <d v="2024-04-04T00:00:00"/>
    <n v="754"/>
    <x v="16"/>
    <s v="East"/>
    <s v="Major Market"/>
    <s v="Beans"/>
    <s v="Coffee"/>
    <s v="Colombian"/>
    <s v="Regular"/>
    <n v="817"/>
    <n v="29"/>
    <x v="149"/>
    <n v="88"/>
    <n v="60"/>
    <n v="73"/>
    <n v="0.33029999999999998"/>
    <n v="190"/>
    <n v="70"/>
    <n v="80"/>
    <n v="0.42109999999999997"/>
  </r>
  <r>
    <d v="2024-04-04T00:00:00"/>
    <n v="857"/>
    <x v="11"/>
    <s v="East"/>
    <s v="Major Market"/>
    <s v="Beans"/>
    <s v="Espresso"/>
    <s v="Regular Espresso"/>
    <s v="Regular"/>
    <n v="1319"/>
    <n v="42"/>
    <x v="109"/>
    <n v="153"/>
    <n v="66"/>
    <n v="129"/>
    <n v="0.3957"/>
    <n v="290"/>
    <n v="150"/>
    <n v="80"/>
    <n v="0.27589999999999998"/>
  </r>
  <r>
    <d v="2024-04-05T00:00:00"/>
    <n v="509"/>
    <x v="5"/>
    <s v="West"/>
    <s v="Small Market"/>
    <s v="Leaves"/>
    <s v="Tea"/>
    <s v="Green Tea"/>
    <s v="Regular"/>
    <n v="627"/>
    <n v="49"/>
    <x v="4"/>
    <n v="55"/>
    <n v="79"/>
    <n v="-4"/>
    <n v="-2.86E-2"/>
    <n v="90"/>
    <n v="40"/>
    <n v="-10"/>
    <n v="-0.1111"/>
  </r>
  <r>
    <d v="2024-04-05T00:00:00"/>
    <n v="970"/>
    <x v="1"/>
    <s v="Central"/>
    <s v="Major Market"/>
    <s v="Beans"/>
    <s v="Coffee"/>
    <s v="Decaf Irish Cream"/>
    <s v="Decaf"/>
    <n v="984"/>
    <n v="22"/>
    <x v="88"/>
    <n v="81"/>
    <n v="33"/>
    <n v="84"/>
    <n v="0.42420000000000002"/>
    <n v="190"/>
    <n v="80"/>
    <n v="80"/>
    <n v="0.42109999999999997"/>
  </r>
  <r>
    <d v="2024-04-05T00:00:00"/>
    <n v="971"/>
    <x v="9"/>
    <s v="West"/>
    <s v="Small Market"/>
    <s v="Beans"/>
    <s v="Espresso"/>
    <s v="Decaf Espresso"/>
    <s v="Decaf"/>
    <n v="1283"/>
    <n v="50"/>
    <x v="65"/>
    <n v="181"/>
    <n v="74"/>
    <n v="160"/>
    <n v="0.41339999999999999"/>
    <n v="350"/>
    <n v="170"/>
    <n v="120"/>
    <n v="0.34289999999999998"/>
  </r>
  <r>
    <d v="2024-04-05T00:00:00"/>
    <n v="253"/>
    <x v="5"/>
    <s v="West"/>
    <s v="Small Market"/>
    <s v="Beans"/>
    <s v="Coffee"/>
    <s v="Colombian"/>
    <s v="Regular"/>
    <n v="446"/>
    <n v="20"/>
    <x v="150"/>
    <n v="63"/>
    <n v="43"/>
    <n v="74"/>
    <n v="0.44579999999999997"/>
    <n v="180"/>
    <n v="70"/>
    <n v="70"/>
    <n v="0.38890000000000002"/>
  </r>
  <r>
    <d v="2024-04-05T00:00:00"/>
    <n v="775"/>
    <x v="8"/>
    <s v="West"/>
    <s v="Small Market"/>
    <s v="Leaves"/>
    <s v="Tea"/>
    <s v="Darjeeling"/>
    <s v="Regular"/>
    <n v="1691"/>
    <n v="75"/>
    <x v="103"/>
    <n v="228"/>
    <n v="108"/>
    <n v="291"/>
    <n v="0.51319999999999999"/>
    <n v="380"/>
    <n v="160"/>
    <n v="140"/>
    <n v="0.36840000000000001"/>
  </r>
  <r>
    <d v="2024-04-05T00:00:00"/>
    <n v="949"/>
    <x v="7"/>
    <s v="West"/>
    <s v="Major Market"/>
    <s v="Beans"/>
    <s v="Espresso"/>
    <s v="Caffe Latte"/>
    <s v="Regular"/>
    <n v="1820"/>
    <n v="70"/>
    <x v="85"/>
    <n v="250"/>
    <n v="94"/>
    <n v="233"/>
    <n v="0.43630000000000002"/>
    <n v="480"/>
    <n v="240"/>
    <n v="160"/>
    <n v="0.33329999999999999"/>
  </r>
  <r>
    <d v="2024-04-06T00:00:00"/>
    <n v="303"/>
    <x v="1"/>
    <s v="Central"/>
    <s v="Major Market"/>
    <s v="Leaves"/>
    <s v="Herbal Tea"/>
    <s v="Lemon"/>
    <s v="Decaf"/>
    <n v="509"/>
    <n v="47"/>
    <x v="151"/>
    <n v="52"/>
    <n v="77"/>
    <n v="-4"/>
    <n v="-3.2000000000000001E-2"/>
    <n v="110"/>
    <n v="40"/>
    <n v="10"/>
    <n v="9.0899999999999995E-2"/>
  </r>
  <r>
    <d v="2024-04-06T00:00:00"/>
    <n v="772"/>
    <x v="16"/>
    <s v="East"/>
    <s v="Major Market"/>
    <s v="Beans"/>
    <s v="Coffee"/>
    <s v="Decaf Irish Cream"/>
    <s v="Decaf"/>
    <n v="666"/>
    <n v="31"/>
    <x v="152"/>
    <n v="102"/>
    <n v="54"/>
    <n v="89"/>
    <n v="0.36330000000000001"/>
    <n v="220"/>
    <n v="90"/>
    <n v="90"/>
    <n v="0.40910000000000002"/>
  </r>
  <r>
    <d v="2024-04-06T00:00:00"/>
    <n v="330"/>
    <x v="12"/>
    <s v="Central"/>
    <s v="Major Market"/>
    <s v="Leaves"/>
    <s v="Tea"/>
    <s v="Darjeeling"/>
    <s v="Regular"/>
    <n v="798"/>
    <n v="25"/>
    <x v="108"/>
    <n v="78"/>
    <n v="57"/>
    <n v="62"/>
    <n v="0.31469999999999998"/>
    <n v="160"/>
    <n v="60"/>
    <n v="60"/>
    <n v="0.375"/>
  </r>
  <r>
    <d v="2024-04-06T00:00:00"/>
    <n v="262"/>
    <x v="0"/>
    <s v="Central"/>
    <s v="Small Market"/>
    <s v="Beans"/>
    <s v="Espresso"/>
    <s v="Caffe Mocha"/>
    <s v="Regular"/>
    <n v="1079"/>
    <n v="24"/>
    <x v="5"/>
    <n v="80"/>
    <n v="46"/>
    <n v="74"/>
    <n v="0.39360000000000001"/>
    <n v="220"/>
    <n v="100"/>
    <n v="80"/>
    <n v="0.36359999999999998"/>
  </r>
  <r>
    <d v="2024-04-07T00:00:00"/>
    <n v="603"/>
    <x v="15"/>
    <s v="East"/>
    <s v="Small Market"/>
    <s v="Beans"/>
    <s v="Espresso"/>
    <s v="Caffe Mocha"/>
    <s v="Regular"/>
    <n v="325"/>
    <n v="40"/>
    <x v="153"/>
    <n v="44"/>
    <n v="70"/>
    <n v="-12"/>
    <n v="-0.1062"/>
    <n v="100"/>
    <n v="40"/>
    <n v="10"/>
    <n v="0.1"/>
  </r>
  <r>
    <d v="2024-04-07T00:00:00"/>
    <n v="352"/>
    <x v="16"/>
    <s v="East"/>
    <s v="Major Market"/>
    <s v="Leaves"/>
    <s v="Tea"/>
    <s v="Darjeeling"/>
    <s v="Regular"/>
    <n v="875"/>
    <n v="7"/>
    <x v="154"/>
    <n v="28"/>
    <n v="19"/>
    <n v="23"/>
    <n v="0.3286"/>
    <n v="70"/>
    <n v="20"/>
    <n v="40"/>
    <n v="0.57140000000000002"/>
  </r>
  <r>
    <d v="2024-04-07T00:00:00"/>
    <n v="956"/>
    <x v="10"/>
    <s v="South"/>
    <s v="Major Market"/>
    <s v="Beans"/>
    <s v="Coffee"/>
    <s v="Colombian"/>
    <s v="Regular"/>
    <n v="1272"/>
    <n v="69"/>
    <x v="155"/>
    <n v="225"/>
    <n v="91"/>
    <n v="174"/>
    <n v="0.35510000000000003"/>
    <n v="580"/>
    <n v="260"/>
    <n v="230"/>
    <n v="0.39660000000000001"/>
  </r>
  <r>
    <d v="2024-04-07T00:00:00"/>
    <n v="951"/>
    <x v="7"/>
    <s v="West"/>
    <s v="Major Market"/>
    <s v="Beans"/>
    <s v="Coffee"/>
    <s v="Decaf Irish Cream"/>
    <s v="Decaf"/>
    <n v="4216"/>
    <n v="73"/>
    <x v="41"/>
    <n v="224"/>
    <n v="117"/>
    <n v="-221"/>
    <n v="-1.0780000000000001"/>
    <n v="220"/>
    <n v="260"/>
    <n v="-150"/>
    <n v="-0.68179999999999996"/>
  </r>
  <r>
    <d v="2024-04-08T00:00:00"/>
    <n v="580"/>
    <x v="19"/>
    <s v="South"/>
    <s v="Small Market"/>
    <s v="Leaves"/>
    <s v="Herbal Tea"/>
    <s v="Chamomile"/>
    <s v="Decaf"/>
    <n v="391"/>
    <n v="20"/>
    <x v="93"/>
    <n v="54"/>
    <n v="54"/>
    <n v="19"/>
    <n v="0.14729999999999999"/>
    <n v="110"/>
    <n v="50"/>
    <n v="20"/>
    <n v="0.18179999999999999"/>
  </r>
  <r>
    <d v="2024-04-08T00:00:00"/>
    <n v="660"/>
    <x v="6"/>
    <s v="Central"/>
    <s v="Small Market"/>
    <s v="Leaves"/>
    <s v="Tea"/>
    <s v="Green Tea"/>
    <s v="Regular"/>
    <n v="250"/>
    <n v="14"/>
    <x v="64"/>
    <n v="39"/>
    <n v="47"/>
    <n v="3"/>
    <n v="3.1899999999999998E-2"/>
    <n v="70"/>
    <n v="30"/>
    <n v="0"/>
    <n v="0"/>
  </r>
  <r>
    <d v="2024-04-08T00:00:00"/>
    <n v="857"/>
    <x v="11"/>
    <s v="East"/>
    <s v="Major Market"/>
    <s v="Beans"/>
    <s v="Coffee"/>
    <s v="Colombian"/>
    <s v="Regular"/>
    <n v="-3004"/>
    <n v="23"/>
    <x v="156"/>
    <n v="72"/>
    <n v="54"/>
    <n v="348"/>
    <n v="0.73419999999999996"/>
    <n v="400"/>
    <n v="50"/>
    <n v="330"/>
    <n v="0.82499999999999996"/>
  </r>
  <r>
    <d v="2024-04-09T00:00:00"/>
    <n v="312"/>
    <x v="2"/>
    <s v="Central"/>
    <s v="Major Market"/>
    <s v="Leaves"/>
    <s v="Herbal Tea"/>
    <s v="Lemon"/>
    <s v="Decaf"/>
    <n v="541"/>
    <n v="12"/>
    <x v="157"/>
    <n v="39"/>
    <n v="24"/>
    <n v="40"/>
    <n v="0.41670000000000001"/>
    <n v="60"/>
    <n v="20"/>
    <n v="40"/>
    <n v="0.66669999999999996"/>
  </r>
  <r>
    <d v="2024-04-09T00:00:00"/>
    <n v="815"/>
    <x v="2"/>
    <s v="Central"/>
    <s v="Major Market"/>
    <s v="Leaves"/>
    <s v="Herbal Tea"/>
    <s v="Mint"/>
    <s v="Decaf"/>
    <n v="971"/>
    <n v="30"/>
    <x v="79"/>
    <n v="108"/>
    <n v="41"/>
    <n v="172"/>
    <n v="0.6099"/>
    <n v="210"/>
    <n v="80"/>
    <n v="120"/>
    <n v="0.57140000000000002"/>
  </r>
  <r>
    <d v="2024-04-11T00:00:00"/>
    <n v="505"/>
    <x v="3"/>
    <s v="South"/>
    <s v="Small Market"/>
    <s v="Beans"/>
    <s v="Espresso"/>
    <s v="Decaf Espresso"/>
    <s v="Decaf"/>
    <n v="248"/>
    <n v="11"/>
    <x v="74"/>
    <n v="35"/>
    <n v="39"/>
    <n v="8"/>
    <n v="9.7600000000000006E-2"/>
    <n v="60"/>
    <n v="20"/>
    <n v="20"/>
    <n v="0.33329999999999999"/>
  </r>
  <r>
    <d v="2024-04-11T00:00:00"/>
    <n v="718"/>
    <x v="14"/>
    <s v="East"/>
    <s v="Major Market"/>
    <s v="Leaves"/>
    <s v="Tea"/>
    <s v="Green Tea"/>
    <s v="Regular"/>
    <n v="589"/>
    <n v="14"/>
    <x v="57"/>
    <n v="50"/>
    <n v="26"/>
    <n v="47"/>
    <n v="0.3821"/>
    <n v="120"/>
    <n v="50"/>
    <n v="50"/>
    <n v="0.41670000000000001"/>
  </r>
  <r>
    <d v="2024-04-11T00:00:00"/>
    <n v="573"/>
    <x v="6"/>
    <s v="Central"/>
    <s v="Small Market"/>
    <s v="Beans"/>
    <s v="Coffee"/>
    <s v="Colombian"/>
    <s v="Regular"/>
    <n v="619"/>
    <n v="25"/>
    <x v="130"/>
    <n v="68"/>
    <n v="59"/>
    <n v="26"/>
    <n v="0.1699"/>
    <n v="150"/>
    <n v="60"/>
    <n v="40"/>
    <n v="0.26669999999999999"/>
  </r>
  <r>
    <d v="2024-04-11T00:00:00"/>
    <n v="626"/>
    <x v="7"/>
    <s v="West"/>
    <s v="Major Market"/>
    <s v="Beans"/>
    <s v="Coffee"/>
    <s v="Decaf Irish Cream"/>
    <s v="Decaf"/>
    <n v="3909"/>
    <n v="57"/>
    <x v="158"/>
    <n v="173"/>
    <n v="100"/>
    <n v="-188"/>
    <n v="-1.2051000000000001"/>
    <n v="170"/>
    <n v="200"/>
    <n v="-130"/>
    <n v="-0.76470000000000005"/>
  </r>
  <r>
    <d v="2024-04-12T00:00:00"/>
    <n v="505"/>
    <x v="3"/>
    <s v="South"/>
    <s v="Small Market"/>
    <s v="Beans"/>
    <s v="Espresso"/>
    <s v="Caffe Latte"/>
    <s v="Regular"/>
    <n v="-522"/>
    <n v="12"/>
    <x v="159"/>
    <n v="34"/>
    <n v="46"/>
    <n v="-4"/>
    <n v="-5.2600000000000001E-2"/>
    <n v="50"/>
    <n v="20"/>
    <n v="-10"/>
    <n v="-0.2"/>
  </r>
  <r>
    <d v="2024-04-12T00:00:00"/>
    <n v="225"/>
    <x v="4"/>
    <s v="South"/>
    <s v="Small Market"/>
    <s v="Beans"/>
    <s v="Coffee"/>
    <s v="Colombian"/>
    <s v="Regular"/>
    <n v="834"/>
    <n v="13"/>
    <x v="160"/>
    <n v="47"/>
    <n v="24"/>
    <n v="44"/>
    <n v="0.3826"/>
    <n v="130"/>
    <n v="50"/>
    <n v="60"/>
    <n v="0.46150000000000002"/>
  </r>
  <r>
    <d v="2024-04-12T00:00:00"/>
    <n v="505"/>
    <x v="3"/>
    <s v="South"/>
    <s v="Small Market"/>
    <s v="Beans"/>
    <s v="Coffee"/>
    <s v="Colombian"/>
    <s v="Regular"/>
    <n v="462"/>
    <n v="15"/>
    <x v="139"/>
    <n v="48"/>
    <n v="47"/>
    <n v="27"/>
    <n v="0.2213"/>
    <n v="140"/>
    <n v="50"/>
    <n v="50"/>
    <n v="0.35709999999999997"/>
  </r>
  <r>
    <d v="2024-04-12T00:00:00"/>
    <n v="951"/>
    <x v="7"/>
    <s v="West"/>
    <s v="Major Market"/>
    <s v="Beans"/>
    <s v="Coffee"/>
    <s v="Colombian"/>
    <s v="Regular"/>
    <n v="2580"/>
    <n v="87"/>
    <x v="161"/>
    <n v="249"/>
    <n v="139"/>
    <n v="235"/>
    <n v="0.37719999999999998"/>
    <n v="740"/>
    <n v="290"/>
    <n v="310"/>
    <n v="0.41889999999999999"/>
  </r>
  <r>
    <d v="2024-04-13T00:00:00"/>
    <n v="603"/>
    <x v="15"/>
    <s v="East"/>
    <s v="Small Market"/>
    <s v="Beans"/>
    <s v="Coffee"/>
    <s v="Colombian"/>
    <s v="Regular"/>
    <n v="462"/>
    <n v="15"/>
    <x v="139"/>
    <n v="48"/>
    <n v="46"/>
    <n v="28"/>
    <n v="0.22950000000000001"/>
    <n v="100"/>
    <n v="40"/>
    <n v="30"/>
    <n v="0.3"/>
  </r>
  <r>
    <d v="2024-04-13T00:00:00"/>
    <n v="209"/>
    <x v="7"/>
    <s v="West"/>
    <s v="Major Market"/>
    <s v="Leaves"/>
    <s v="Herbal Tea"/>
    <s v="Mint"/>
    <s v="Decaf"/>
    <n v="541"/>
    <n v="12"/>
    <x v="162"/>
    <n v="39"/>
    <n v="25"/>
    <n v="26"/>
    <n v="0.28889999999999999"/>
    <n v="60"/>
    <n v="20"/>
    <n v="40"/>
    <n v="0.66669999999999996"/>
  </r>
  <r>
    <d v="2024-04-13T00:00:00"/>
    <n v="509"/>
    <x v="5"/>
    <s v="West"/>
    <s v="Small Market"/>
    <s v="Beans"/>
    <s v="Coffee"/>
    <s v="Decaf Irish Cream"/>
    <s v="Decaf"/>
    <n v="716"/>
    <n v="95"/>
    <x v="145"/>
    <n v="105"/>
    <n v="125"/>
    <n v="20"/>
    <n v="0.08"/>
    <n v="290"/>
    <n v="120"/>
    <n v="50"/>
    <n v="0.1724"/>
  </r>
  <r>
    <d v="2024-04-13T00:00:00"/>
    <n v="661"/>
    <x v="7"/>
    <s v="West"/>
    <s v="Major Market"/>
    <s v="Leaves"/>
    <s v="Herbal Tea"/>
    <s v="Lemon"/>
    <s v="Decaf"/>
    <n v="1321"/>
    <n v="74"/>
    <x v="31"/>
    <n v="241"/>
    <n v="96"/>
    <n v="279"/>
    <n v="0.49909999999999999"/>
    <n v="480"/>
    <n v="220"/>
    <n v="170"/>
    <n v="0.35420000000000001"/>
  </r>
  <r>
    <d v="2024-04-14T00:00:00"/>
    <n v="573"/>
    <x v="6"/>
    <s v="Central"/>
    <s v="Small Market"/>
    <s v="Leaves"/>
    <s v="Herbal Tea"/>
    <s v="Chamomile"/>
    <s v="Decaf"/>
    <n v="320"/>
    <n v="41"/>
    <x v="97"/>
    <n v="45"/>
    <n v="70"/>
    <n v="-6"/>
    <n v="-5.5E-2"/>
    <n v="80"/>
    <n v="20"/>
    <n v="30"/>
    <n v="0.375"/>
  </r>
  <r>
    <d v="2024-04-14T00:00:00"/>
    <n v="518"/>
    <x v="14"/>
    <s v="East"/>
    <s v="Major Market"/>
    <s v="Leaves"/>
    <s v="Tea"/>
    <s v="Green Tea"/>
    <s v="Regular"/>
    <n v="580"/>
    <n v="21"/>
    <x v="163"/>
    <n v="76"/>
    <n v="33"/>
    <n v="78"/>
    <n v="0.41710000000000003"/>
    <n v="200"/>
    <n v="80"/>
    <n v="100"/>
    <n v="0.5"/>
  </r>
  <r>
    <d v="2024-04-14T00:00:00"/>
    <n v="513"/>
    <x v="12"/>
    <s v="Central"/>
    <s v="Major Market"/>
    <s v="Beans"/>
    <s v="Espresso"/>
    <s v="Caffe Mocha"/>
    <s v="Regular"/>
    <n v="1267"/>
    <n v="45"/>
    <x v="63"/>
    <n v="161"/>
    <n v="69"/>
    <n v="137"/>
    <n v="0.39939999999999998"/>
    <n v="470"/>
    <n v="230"/>
    <n v="190"/>
    <n v="0.40429999999999999"/>
  </r>
  <r>
    <d v="2024-04-15T00:00:00"/>
    <n v="430"/>
    <x v="10"/>
    <s v="South"/>
    <s v="Major Market"/>
    <s v="Beans"/>
    <s v="Espresso"/>
    <s v="Decaf Espresso"/>
    <s v="Decaf"/>
    <n v="601"/>
    <n v="15"/>
    <x v="146"/>
    <n v="54"/>
    <n v="27"/>
    <n v="77"/>
    <n v="0.5423"/>
    <n v="100"/>
    <n v="40"/>
    <n v="40"/>
    <n v="0.4"/>
  </r>
  <r>
    <d v="2024-04-16T00:00:00"/>
    <n v="636"/>
    <x v="6"/>
    <s v="Central"/>
    <s v="Small Market"/>
    <s v="Beans"/>
    <s v="Coffee"/>
    <s v="Decaf Irish Cream"/>
    <s v="Decaf"/>
    <n v="1075"/>
    <n v="19"/>
    <x v="164"/>
    <n v="63"/>
    <n v="40"/>
    <n v="53"/>
    <n v="0.35809999999999997"/>
    <n v="130"/>
    <n v="60"/>
    <n v="40"/>
    <n v="0.30769999999999997"/>
  </r>
  <r>
    <d v="2024-04-16T00:00:00"/>
    <n v="339"/>
    <x v="11"/>
    <s v="East"/>
    <s v="Major Market"/>
    <s v="Leaves"/>
    <s v="Herbal Tea"/>
    <s v="Lemon"/>
    <s v="Decaf"/>
    <n v="404"/>
    <n v="20"/>
    <x v="0"/>
    <n v="54"/>
    <n v="53"/>
    <n v="19"/>
    <n v="0.1484"/>
    <n v="60"/>
    <n v="30"/>
    <n v="20"/>
    <n v="0.33329999999999999"/>
  </r>
  <r>
    <d v="2024-04-16T00:00:00"/>
    <n v="857"/>
    <x v="11"/>
    <s v="East"/>
    <s v="Major Market"/>
    <s v="Beans"/>
    <s v="Coffee"/>
    <s v="Colombian"/>
    <s v="Regular"/>
    <n v="-3004"/>
    <n v="23"/>
    <x v="165"/>
    <n v="72"/>
    <n v="54"/>
    <n v="516"/>
    <n v="1.0218"/>
    <n v="400"/>
    <n v="50"/>
    <n v="330"/>
    <n v="0.82499999999999996"/>
  </r>
  <r>
    <d v="2024-04-17T00:00:00"/>
    <n v="253"/>
    <x v="5"/>
    <s v="West"/>
    <s v="Small Market"/>
    <s v="Beans"/>
    <s v="Espresso"/>
    <s v="Caffe Latte"/>
    <s v="Regular"/>
    <n v="567"/>
    <n v="7"/>
    <x v="166"/>
    <n v="24"/>
    <n v="19"/>
    <n v="13"/>
    <n v="0.2321"/>
    <n v="50"/>
    <n v="20"/>
    <n v="20"/>
    <n v="0.4"/>
  </r>
  <r>
    <d v="2024-04-17T00:00:00"/>
    <n v="607"/>
    <x v="14"/>
    <s v="East"/>
    <s v="Major Market"/>
    <s v="Leaves"/>
    <s v="Herbal Tea"/>
    <s v="Lemon"/>
    <s v="Decaf"/>
    <n v="1727"/>
    <n v="111"/>
    <x v="167"/>
    <n v="294"/>
    <n v="144"/>
    <n v="309"/>
    <n v="0.41370000000000001"/>
    <n v="540"/>
    <n v="220"/>
    <n v="210"/>
    <n v="0.38890000000000002"/>
  </r>
  <r>
    <d v="2024-04-17T00:00:00"/>
    <n v="630"/>
    <x v="2"/>
    <s v="Central"/>
    <s v="Major Market"/>
    <s v="Beans"/>
    <s v="Espresso"/>
    <s v="Caffe Mocha"/>
    <s v="Regular"/>
    <n v="1691"/>
    <n v="75"/>
    <x v="103"/>
    <n v="228"/>
    <n v="108"/>
    <n v="291"/>
    <n v="0.51319999999999999"/>
    <n v="680"/>
    <n v="290"/>
    <n v="290"/>
    <n v="0.42649999999999999"/>
  </r>
  <r>
    <d v="2024-04-18T00:00:00"/>
    <n v="253"/>
    <x v="5"/>
    <s v="West"/>
    <s v="Small Market"/>
    <s v="Leaves"/>
    <s v="Herbal Tea"/>
    <s v="Lemon"/>
    <s v="Decaf"/>
    <n v="834"/>
    <n v="13"/>
    <x v="57"/>
    <n v="47"/>
    <n v="24"/>
    <n v="65"/>
    <n v="0.52849999999999997"/>
    <n v="100"/>
    <n v="40"/>
    <n v="40"/>
    <n v="0.4"/>
  </r>
  <r>
    <d v="2024-04-18T00:00:00"/>
    <n v="515"/>
    <x v="17"/>
    <s v="Central"/>
    <s v="Small Market"/>
    <s v="Beans"/>
    <s v="Espresso"/>
    <s v="Caffe Mocha"/>
    <s v="Regular"/>
    <n v="802"/>
    <n v="6"/>
    <x v="26"/>
    <n v="22"/>
    <n v="18"/>
    <n v="24"/>
    <n v="0.4"/>
    <n v="70"/>
    <n v="20"/>
    <n v="40"/>
    <n v="0.57140000000000002"/>
  </r>
  <r>
    <d v="2024-04-18T00:00:00"/>
    <n v="419"/>
    <x v="12"/>
    <s v="Central"/>
    <s v="Major Market"/>
    <s v="Leaves"/>
    <s v="Tea"/>
    <s v="Earl Grey"/>
    <s v="Regular"/>
    <n v="666"/>
    <n v="31"/>
    <x v="152"/>
    <n v="102"/>
    <n v="54"/>
    <n v="89"/>
    <n v="0.36330000000000001"/>
    <n v="200"/>
    <n v="80"/>
    <n v="70"/>
    <n v="0.35"/>
  </r>
  <r>
    <d v="2024-04-19T00:00:00"/>
    <n v="603"/>
    <x v="15"/>
    <s v="East"/>
    <s v="Small Market"/>
    <s v="Beans"/>
    <s v="Coffee"/>
    <s v="Amaretto"/>
    <s v="Regular"/>
    <n v="310"/>
    <n v="15"/>
    <x v="0"/>
    <n v="49"/>
    <n v="38"/>
    <n v="49"/>
    <n v="0.38279999999999997"/>
    <n v="90"/>
    <n v="30"/>
    <n v="60"/>
    <n v="0.66669999999999996"/>
  </r>
  <r>
    <d v="2024-04-19T00:00:00"/>
    <n v="318"/>
    <x v="4"/>
    <s v="South"/>
    <s v="Small Market"/>
    <s v="Beans"/>
    <s v="Espresso"/>
    <s v="Decaf Espresso"/>
    <s v="Decaf"/>
    <n v="449"/>
    <n v="14"/>
    <x v="40"/>
    <n v="46"/>
    <n v="37"/>
    <n v="45"/>
    <n v="0.375"/>
    <n v="60"/>
    <n v="20"/>
    <n v="40"/>
    <n v="0.66669999999999996"/>
  </r>
  <r>
    <d v="2024-04-19T00:00:00"/>
    <n v="580"/>
    <x v="19"/>
    <s v="South"/>
    <s v="Small Market"/>
    <s v="Leaves"/>
    <s v="Herbal Tea"/>
    <s v="Chamomile"/>
    <s v="Decaf"/>
    <n v="385"/>
    <n v="21"/>
    <x v="168"/>
    <n v="56"/>
    <n v="54"/>
    <n v="24"/>
    <n v="0.17910000000000001"/>
    <n v="110"/>
    <n v="40"/>
    <n v="50"/>
    <n v="0.45450000000000002"/>
  </r>
  <r>
    <d v="2024-04-19T00:00:00"/>
    <n v="253"/>
    <x v="5"/>
    <s v="West"/>
    <s v="Small Market"/>
    <s v="Beans"/>
    <s v="Espresso"/>
    <s v="Caffe Latte"/>
    <s v="Regular"/>
    <n v="570"/>
    <n v="7"/>
    <x v="96"/>
    <n v="22"/>
    <n v="19"/>
    <n v="11"/>
    <n v="0.21149999999999999"/>
    <n v="50"/>
    <n v="20"/>
    <n v="20"/>
    <n v="0.4"/>
  </r>
  <r>
    <d v="2024-04-19T00:00:00"/>
    <n v="614"/>
    <x v="12"/>
    <s v="Central"/>
    <s v="Major Market"/>
    <s v="Leaves"/>
    <s v="Tea"/>
    <s v="Darjeeling"/>
    <s v="Regular"/>
    <n v="798"/>
    <n v="25"/>
    <x v="169"/>
    <n v="78"/>
    <n v="57"/>
    <n v="92"/>
    <n v="0.43809999999999999"/>
    <n v="160"/>
    <n v="60"/>
    <n v="60"/>
    <n v="0.375"/>
  </r>
  <r>
    <d v="2024-04-20T00:00:00"/>
    <n v="614"/>
    <x v="12"/>
    <s v="Central"/>
    <s v="Major Market"/>
    <s v="Beans"/>
    <s v="Coffee"/>
    <s v="Colombian"/>
    <s v="Regular"/>
    <n v="435"/>
    <n v="13"/>
    <x v="54"/>
    <n v="41"/>
    <n v="36"/>
    <n v="24"/>
    <n v="0.23760000000000001"/>
    <n v="90"/>
    <n v="40"/>
    <n v="20"/>
    <n v="0.22220000000000001"/>
  </r>
  <r>
    <d v="2024-04-20T00:00:00"/>
    <n v="509"/>
    <x v="5"/>
    <s v="West"/>
    <s v="Small Market"/>
    <s v="Leaves"/>
    <s v="Tea"/>
    <s v="Earl Grey"/>
    <s v="Regular"/>
    <n v="449"/>
    <n v="14"/>
    <x v="40"/>
    <n v="46"/>
    <n v="36"/>
    <n v="46"/>
    <n v="0.38329999999999997"/>
    <n v="50"/>
    <n v="20"/>
    <n v="30"/>
    <n v="0.6"/>
  </r>
  <r>
    <d v="2024-04-20T00:00:00"/>
    <n v="708"/>
    <x v="2"/>
    <s v="Central"/>
    <s v="Major Market"/>
    <s v="Leaves"/>
    <s v="Tea"/>
    <s v="Earl Grey"/>
    <s v="Regular"/>
    <n v="677"/>
    <n v="22"/>
    <x v="99"/>
    <n v="67"/>
    <n v="54"/>
    <n v="70"/>
    <n v="0.3911"/>
    <n v="130"/>
    <n v="50"/>
    <n v="40"/>
    <n v="0.30769999999999997"/>
  </r>
  <r>
    <d v="2024-04-20T00:00:00"/>
    <n v="419"/>
    <x v="12"/>
    <s v="Central"/>
    <s v="Major Market"/>
    <s v="Beans"/>
    <s v="Espresso"/>
    <s v="Decaf Espresso"/>
    <s v="Decaf"/>
    <n v="404"/>
    <n v="20"/>
    <x v="0"/>
    <n v="54"/>
    <n v="54"/>
    <n v="18"/>
    <n v="0.1406"/>
    <n v="170"/>
    <n v="70"/>
    <n v="70"/>
    <n v="0.4118"/>
  </r>
  <r>
    <d v="2024-04-20T00:00:00"/>
    <n v="971"/>
    <x v="9"/>
    <s v="West"/>
    <s v="Small Market"/>
    <s v="Beans"/>
    <s v="Coffee"/>
    <s v="Decaf Irish Cream"/>
    <s v="Decaf"/>
    <n v="419"/>
    <n v="13"/>
    <x v="60"/>
    <n v="43"/>
    <n v="35"/>
    <n v="29"/>
    <n v="0.27100000000000002"/>
    <n v="150"/>
    <n v="50"/>
    <n v="80"/>
    <n v="0.5333"/>
  </r>
  <r>
    <d v="2024-04-21T00:00:00"/>
    <n v="573"/>
    <x v="6"/>
    <s v="Central"/>
    <s v="Small Market"/>
    <s v="Leaves"/>
    <s v="Herbal Tea"/>
    <s v="Chamomile"/>
    <s v="Decaf"/>
    <n v="320"/>
    <n v="41"/>
    <x v="44"/>
    <n v="45"/>
    <n v="70"/>
    <n v="-9"/>
    <n v="-7.7600000000000002E-2"/>
    <n v="80"/>
    <n v="20"/>
    <n v="30"/>
    <n v="0.375"/>
  </r>
  <r>
    <d v="2024-04-21T00:00:00"/>
    <n v="262"/>
    <x v="0"/>
    <s v="Central"/>
    <s v="Small Market"/>
    <s v="Leaves"/>
    <s v="Herbal Tea"/>
    <s v="Lemon"/>
    <s v="Decaf"/>
    <n v="851"/>
    <n v="13"/>
    <x v="29"/>
    <n v="48"/>
    <n v="25"/>
    <n v="67"/>
    <n v="0.53169999999999995"/>
    <n v="90"/>
    <n v="30"/>
    <n v="60"/>
    <n v="0.66669999999999996"/>
  </r>
  <r>
    <d v="2024-04-21T00:00:00"/>
    <n v="225"/>
    <x v="4"/>
    <s v="South"/>
    <s v="Small Market"/>
    <s v="Beans"/>
    <s v="Espresso"/>
    <s v="Caffe Mocha"/>
    <s v="Regular"/>
    <n v="320"/>
    <n v="12"/>
    <x v="13"/>
    <n v="41"/>
    <n v="35"/>
    <n v="46"/>
    <n v="0.40350000000000003"/>
    <n v="80"/>
    <n v="30"/>
    <n v="20"/>
    <n v="0.25"/>
  </r>
  <r>
    <d v="2024-04-22T00:00:00"/>
    <n v="262"/>
    <x v="0"/>
    <s v="Central"/>
    <s v="Small Market"/>
    <s v="Beans"/>
    <s v="Espresso"/>
    <s v="Decaf Espresso"/>
    <s v="Decaf"/>
    <n v="573"/>
    <n v="7"/>
    <x v="170"/>
    <n v="22"/>
    <n v="19"/>
    <n v="15"/>
    <n v="0.27779999999999999"/>
    <n v="70"/>
    <n v="20"/>
    <n v="50"/>
    <n v="0.71430000000000005"/>
  </r>
  <r>
    <d v="2024-04-22T00:00:00"/>
    <n v="801"/>
    <x v="13"/>
    <s v="West"/>
    <s v="Small Market"/>
    <s v="Beans"/>
    <s v="Espresso"/>
    <s v="Caffe Latte"/>
    <s v="Regular"/>
    <n v="833"/>
    <n v="8"/>
    <x v="171"/>
    <n v="32"/>
    <n v="19"/>
    <n v="28"/>
    <n v="0.35439999999999999"/>
    <n v="60"/>
    <n v="20"/>
    <n v="40"/>
    <n v="0.66669999999999996"/>
  </r>
  <r>
    <d v="2024-04-22T00:00:00"/>
    <n v="505"/>
    <x v="3"/>
    <s v="South"/>
    <s v="Small Market"/>
    <s v="Beans"/>
    <s v="Espresso"/>
    <s v="Caffe Mocha"/>
    <s v="Regular"/>
    <n v="320"/>
    <n v="41"/>
    <x v="44"/>
    <n v="45"/>
    <n v="70"/>
    <n v="-9"/>
    <n v="-7.7600000000000002E-2"/>
    <n v="60"/>
    <n v="20"/>
    <n v="10"/>
    <n v="0.16669999999999999"/>
  </r>
  <r>
    <d v="2024-04-22T00:00:00"/>
    <n v="636"/>
    <x v="6"/>
    <s v="Central"/>
    <s v="Small Market"/>
    <s v="Leaves"/>
    <s v="Tea"/>
    <s v="Darjeeling"/>
    <s v="Regular"/>
    <n v="248"/>
    <n v="11"/>
    <x v="172"/>
    <n v="35"/>
    <n v="38"/>
    <n v="13"/>
    <n v="0.14940000000000001"/>
    <n v="60"/>
    <n v="20"/>
    <n v="10"/>
    <n v="0.16669999999999999"/>
  </r>
  <r>
    <d v="2024-04-22T00:00:00"/>
    <n v="435"/>
    <x v="13"/>
    <s v="West"/>
    <s v="Small Market"/>
    <s v="Leaves"/>
    <s v="Tea"/>
    <s v="Green Tea"/>
    <s v="Regular"/>
    <n v="211"/>
    <n v="12"/>
    <x v="105"/>
    <n v="34"/>
    <n v="45"/>
    <n v="-4"/>
    <n v="-4.9399999999999999E-2"/>
    <n v="50"/>
    <n v="20"/>
    <n v="0"/>
    <n v="0"/>
  </r>
  <r>
    <d v="2024-04-22T00:00:00"/>
    <n v="715"/>
    <x v="0"/>
    <s v="Central"/>
    <s v="Small Market"/>
    <s v="Beans"/>
    <s v="Coffee"/>
    <s v="Colombian"/>
    <s v="Regular"/>
    <n v="716"/>
    <n v="95"/>
    <x v="145"/>
    <n v="105"/>
    <n v="125"/>
    <n v="20"/>
    <n v="0.08"/>
    <n v="240"/>
    <n v="100"/>
    <n v="30"/>
    <n v="0.125"/>
  </r>
  <r>
    <d v="2024-04-23T00:00:00"/>
    <n v="801"/>
    <x v="13"/>
    <s v="West"/>
    <s v="Small Market"/>
    <s v="Leaves"/>
    <s v="Tea"/>
    <s v="Darjeeling"/>
    <s v="Regular"/>
    <n v="320"/>
    <n v="41"/>
    <x v="97"/>
    <n v="45"/>
    <n v="70"/>
    <n v="-6"/>
    <n v="-5.5E-2"/>
    <n v="50"/>
    <n v="10"/>
    <n v="20"/>
    <n v="0.4"/>
  </r>
  <r>
    <d v="2024-04-23T00:00:00"/>
    <n v="641"/>
    <x v="17"/>
    <s v="Central"/>
    <s v="Small Market"/>
    <s v="Beans"/>
    <s v="Coffee"/>
    <s v="Decaf Irish Cream"/>
    <s v="Decaf"/>
    <n v="598"/>
    <n v="3"/>
    <x v="173"/>
    <n v="10"/>
    <n v="15"/>
    <n v="-3"/>
    <n v="-0.12"/>
    <n v="10"/>
    <n v="0"/>
    <n v="10"/>
    <n v="1"/>
  </r>
  <r>
    <d v="2024-04-23T00:00:00"/>
    <n v="513"/>
    <x v="12"/>
    <s v="Central"/>
    <s v="Major Market"/>
    <s v="Leaves"/>
    <s v="Tea"/>
    <s v="Darjeeling"/>
    <s v="Regular"/>
    <n v="817"/>
    <n v="29"/>
    <x v="78"/>
    <n v="88"/>
    <n v="61"/>
    <n v="107"/>
    <n v="0.45340000000000003"/>
    <n v="180"/>
    <n v="70"/>
    <n v="70"/>
    <n v="0.38890000000000002"/>
  </r>
  <r>
    <d v="2024-04-24T00:00:00"/>
    <n v="225"/>
    <x v="4"/>
    <s v="South"/>
    <s v="Small Market"/>
    <s v="Beans"/>
    <s v="Espresso"/>
    <s v="Decaf Espresso"/>
    <s v="Decaf"/>
    <n v="466"/>
    <n v="13"/>
    <x v="110"/>
    <n v="43"/>
    <n v="36"/>
    <n v="27"/>
    <n v="0.25469999999999998"/>
    <n v="80"/>
    <n v="30"/>
    <n v="20"/>
    <n v="0.25"/>
  </r>
  <r>
    <d v="2024-04-24T00:00:00"/>
    <n v="978"/>
    <x v="11"/>
    <s v="East"/>
    <s v="Major Market"/>
    <s v="Leaves"/>
    <s v="Tea"/>
    <s v="Darjeeling"/>
    <s v="Regular"/>
    <n v="870"/>
    <n v="9"/>
    <x v="172"/>
    <n v="33"/>
    <n v="20"/>
    <n v="43"/>
    <n v="0.49430000000000002"/>
    <n v="80"/>
    <n v="30"/>
    <n v="40"/>
    <n v="0.5"/>
  </r>
  <r>
    <d v="2024-04-24T00:00:00"/>
    <n v="318"/>
    <x v="4"/>
    <s v="South"/>
    <s v="Small Market"/>
    <s v="Beans"/>
    <s v="Espresso"/>
    <s v="Caffe Latte"/>
    <s v="Regular"/>
    <n v="-906"/>
    <n v="55"/>
    <x v="53"/>
    <n v="61"/>
    <n v="85"/>
    <n v="1"/>
    <n v="6.4000000000000003E-3"/>
    <n v="110"/>
    <n v="40"/>
    <n v="10"/>
    <n v="9.0899999999999995E-2"/>
  </r>
  <r>
    <d v="2024-04-24T00:00:00"/>
    <n v="775"/>
    <x v="8"/>
    <s v="West"/>
    <s v="Small Market"/>
    <s v="Leaves"/>
    <s v="Tea"/>
    <s v="Darjeeling"/>
    <s v="Regular"/>
    <n v="1744"/>
    <n v="81"/>
    <x v="136"/>
    <n v="247"/>
    <n v="114"/>
    <n v="319"/>
    <n v="0.51949999999999996"/>
    <n v="420"/>
    <n v="180"/>
    <n v="150"/>
    <n v="0.35709999999999997"/>
  </r>
  <r>
    <d v="2024-04-26T00:00:00"/>
    <n v="603"/>
    <x v="15"/>
    <s v="East"/>
    <s v="Small Market"/>
    <s v="Beans"/>
    <s v="Coffee"/>
    <s v="Colombian"/>
    <s v="Regular"/>
    <n v="462"/>
    <n v="15"/>
    <x v="174"/>
    <n v="48"/>
    <n v="46"/>
    <n v="42"/>
    <n v="0.3231"/>
    <n v="100"/>
    <n v="40"/>
    <n v="30"/>
    <n v="0.3"/>
  </r>
  <r>
    <d v="2024-04-26T00:00:00"/>
    <n v="505"/>
    <x v="3"/>
    <s v="South"/>
    <s v="Small Market"/>
    <s v="Beans"/>
    <s v="Espresso"/>
    <s v="Caffe Mocha"/>
    <s v="Regular"/>
    <n v="335"/>
    <n v="44"/>
    <x v="29"/>
    <n v="49"/>
    <n v="74"/>
    <n v="-7"/>
    <n v="-5.5599999999999997E-2"/>
    <n v="90"/>
    <n v="30"/>
    <n v="10"/>
    <n v="0.1111"/>
  </r>
  <r>
    <d v="2024-04-26T00:00:00"/>
    <n v="617"/>
    <x v="11"/>
    <s v="East"/>
    <s v="Major Market"/>
    <s v="Leaves"/>
    <s v="Herbal Tea"/>
    <s v="Lemon"/>
    <s v="Decaf"/>
    <n v="410"/>
    <n v="20"/>
    <x v="37"/>
    <n v="55"/>
    <n v="54"/>
    <n v="15"/>
    <n v="0.121"/>
    <n v="90"/>
    <n v="40"/>
    <n v="20"/>
    <n v="0.22220000000000001"/>
  </r>
  <r>
    <d v="2024-04-26T00:00:00"/>
    <n v="425"/>
    <x v="5"/>
    <s v="West"/>
    <s v="Small Market"/>
    <s v="Leaves"/>
    <s v="Herbal Tea"/>
    <s v="Lemon"/>
    <s v="Decaf"/>
    <n v="845"/>
    <n v="13"/>
    <x v="0"/>
    <n v="49"/>
    <n v="25"/>
    <n v="68"/>
    <n v="0.53129999999999999"/>
    <n v="110"/>
    <n v="40"/>
    <n v="50"/>
    <n v="0.45450000000000002"/>
  </r>
  <r>
    <d v="2024-04-26T00:00:00"/>
    <n v="971"/>
    <x v="9"/>
    <s v="West"/>
    <s v="Small Market"/>
    <s v="Leaves"/>
    <s v="Tea"/>
    <s v="Darjeeling"/>
    <s v="Regular"/>
    <n v="490"/>
    <n v="8"/>
    <x v="24"/>
    <n v="29"/>
    <n v="19"/>
    <n v="25"/>
    <n v="0.34250000000000003"/>
    <n v="50"/>
    <n v="20"/>
    <n v="30"/>
    <n v="0.6"/>
  </r>
  <r>
    <d v="2024-04-26T00:00:00"/>
    <n v="918"/>
    <x v="19"/>
    <s v="South"/>
    <s v="Small Market"/>
    <s v="Beans"/>
    <s v="Coffee"/>
    <s v="Colombian"/>
    <s v="Regular"/>
    <n v="572"/>
    <n v="29"/>
    <x v="175"/>
    <n v="90"/>
    <n v="41"/>
    <n v="110"/>
    <n v="0.50460000000000005"/>
    <n v="290"/>
    <n v="130"/>
    <n v="140"/>
    <n v="0.48280000000000001"/>
  </r>
  <r>
    <d v="2024-04-27T00:00:00"/>
    <n v="312"/>
    <x v="2"/>
    <s v="Central"/>
    <s v="Major Market"/>
    <s v="Leaves"/>
    <s v="Herbal Tea"/>
    <s v="Lemon"/>
    <s v="Decaf"/>
    <n v="536"/>
    <n v="13"/>
    <x v="71"/>
    <n v="40"/>
    <n v="25"/>
    <n v="40"/>
    <n v="0.40820000000000001"/>
    <n v="80"/>
    <n v="30"/>
    <n v="30"/>
    <n v="0.375"/>
  </r>
  <r>
    <d v="2024-04-27T00:00:00"/>
    <n v="303"/>
    <x v="1"/>
    <s v="Central"/>
    <s v="Major Market"/>
    <s v="Leaves"/>
    <s v="Herbal Tea"/>
    <s v="Chamomile"/>
    <s v="Decaf"/>
    <n v="1319"/>
    <n v="42"/>
    <x v="61"/>
    <n v="153"/>
    <n v="66"/>
    <n v="87"/>
    <n v="0.2843"/>
    <n v="280"/>
    <n v="140"/>
    <n v="80"/>
    <n v="0.28570000000000001"/>
  </r>
  <r>
    <d v="2024-04-27T00:00:00"/>
    <n v="541"/>
    <x v="9"/>
    <s v="West"/>
    <s v="Small Market"/>
    <s v="Leaves"/>
    <s v="Tea"/>
    <s v="Darjeeling"/>
    <s v="Regular"/>
    <n v="480"/>
    <n v="5"/>
    <x v="17"/>
    <n v="21"/>
    <n v="16"/>
    <n v="16"/>
    <n v="0.3019"/>
    <n v="20"/>
    <n v="0"/>
    <n v="20"/>
    <n v="1"/>
  </r>
  <r>
    <d v="2024-04-27T00:00:00"/>
    <n v="559"/>
    <x v="7"/>
    <s v="West"/>
    <s v="Major Market"/>
    <s v="Beans"/>
    <s v="Espresso"/>
    <s v="Caffe Latte"/>
    <s v="Regular"/>
    <n v="1778"/>
    <n v="59"/>
    <x v="51"/>
    <n v="211"/>
    <n v="83"/>
    <n v="129"/>
    <n v="0.30499999999999999"/>
    <n v="410"/>
    <n v="200"/>
    <n v="140"/>
    <n v="0.34150000000000003"/>
  </r>
  <r>
    <d v="2024-04-27T00:00:00"/>
    <n v="702"/>
    <x v="8"/>
    <s v="West"/>
    <s v="Small Market"/>
    <s v="Leaves"/>
    <s v="Herbal Tea"/>
    <s v="Lemon"/>
    <s v="Decaf"/>
    <n v="1191"/>
    <n v="73"/>
    <x v="176"/>
    <n v="224"/>
    <n v="116"/>
    <n v="288"/>
    <n v="0.50619999999999998"/>
    <n v="490"/>
    <n v="210"/>
    <n v="170"/>
    <n v="0.34689999999999999"/>
  </r>
  <r>
    <d v="2024-04-28T00:00:00"/>
    <n v="936"/>
    <x v="10"/>
    <s v="South"/>
    <s v="Major Market"/>
    <s v="Leaves"/>
    <s v="Herbal Tea"/>
    <s v="Lemon"/>
    <s v="Decaf"/>
    <n v="424"/>
    <n v="14"/>
    <x v="13"/>
    <n v="46"/>
    <n v="37"/>
    <n v="31"/>
    <n v="0.27189999999999998"/>
    <n v="100"/>
    <n v="40"/>
    <n v="30"/>
    <n v="0.3"/>
  </r>
  <r>
    <d v="2024-04-28T00:00:00"/>
    <n v="225"/>
    <x v="4"/>
    <s v="South"/>
    <s v="Small Market"/>
    <s v="Beans"/>
    <s v="Coffee"/>
    <s v="Decaf Irish Cream"/>
    <s v="Decaf"/>
    <n v="863"/>
    <n v="9"/>
    <x v="138"/>
    <n v="34"/>
    <n v="20"/>
    <n v="31"/>
    <n v="0.36470000000000002"/>
    <n v="100"/>
    <n v="40"/>
    <n v="50"/>
    <n v="0.5"/>
  </r>
  <r>
    <d v="2024-04-28T00:00:00"/>
    <n v="386"/>
    <x v="16"/>
    <s v="East"/>
    <s v="Major Market"/>
    <s v="Beans"/>
    <s v="Espresso"/>
    <s v="Decaf Espresso"/>
    <s v="Decaf"/>
    <n v="575"/>
    <n v="27"/>
    <x v="20"/>
    <n v="83"/>
    <n v="54"/>
    <n v="86"/>
    <n v="0.41349999999999998"/>
    <n v="190"/>
    <n v="80"/>
    <n v="70"/>
    <n v="0.36840000000000001"/>
  </r>
  <r>
    <d v="2024-05-01T00:00:00"/>
    <n v="860"/>
    <x v="18"/>
    <s v="East"/>
    <s v="Small Market"/>
    <s v="Leaves"/>
    <s v="Tea"/>
    <s v="Darjeeling"/>
    <s v="Regular"/>
    <n v="881"/>
    <n v="11"/>
    <x v="73"/>
    <n v="40"/>
    <n v="23"/>
    <n v="36"/>
    <n v="0.36359999999999998"/>
    <n v="100"/>
    <n v="40"/>
    <n v="50"/>
    <n v="0.5"/>
  </r>
  <r>
    <d v="2024-05-01T00:00:00"/>
    <n v="630"/>
    <x v="2"/>
    <s v="Central"/>
    <s v="Major Market"/>
    <s v="Leaves"/>
    <s v="Herbal Tea"/>
    <s v="Lemon"/>
    <s v="Decaf"/>
    <n v="541"/>
    <n v="12"/>
    <x v="162"/>
    <n v="39"/>
    <n v="24"/>
    <n v="27"/>
    <n v="0.3"/>
    <n v="60"/>
    <n v="20"/>
    <n v="40"/>
    <n v="0.66669999999999996"/>
  </r>
  <r>
    <d v="2024-05-01T00:00:00"/>
    <n v="682"/>
    <x v="10"/>
    <s v="South"/>
    <s v="Major Market"/>
    <s v="Beans"/>
    <s v="Espresso"/>
    <s v="Caffe Latte"/>
    <s v="Regular"/>
    <n v="-868"/>
    <n v="23"/>
    <x v="177"/>
    <n v="72"/>
    <n v="55"/>
    <n v="82"/>
    <n v="0.42270000000000002"/>
    <n v="110"/>
    <n v="40"/>
    <n v="50"/>
    <n v="0.45450000000000002"/>
  </r>
  <r>
    <d v="2024-05-01T00:00:00"/>
    <n v="585"/>
    <x v="14"/>
    <s v="East"/>
    <s v="Major Market"/>
    <s v="Leaves"/>
    <s v="Tea"/>
    <s v="Green Tea"/>
    <s v="Regular"/>
    <n v="601"/>
    <n v="15"/>
    <x v="146"/>
    <n v="54"/>
    <n v="27"/>
    <n v="77"/>
    <n v="0.5423"/>
    <n v="130"/>
    <n v="50"/>
    <n v="60"/>
    <n v="0.46150000000000002"/>
  </r>
  <r>
    <d v="2024-05-01T00:00:00"/>
    <n v="435"/>
    <x v="13"/>
    <s v="West"/>
    <s v="Small Market"/>
    <s v="Beans"/>
    <s v="Coffee"/>
    <s v="Decaf Irish Cream"/>
    <s v="Decaf"/>
    <n v="619"/>
    <n v="25"/>
    <x v="130"/>
    <n v="68"/>
    <n v="59"/>
    <n v="26"/>
    <n v="0.1699"/>
    <n v="180"/>
    <n v="80"/>
    <n v="50"/>
    <n v="0.27779999999999999"/>
  </r>
  <r>
    <d v="2024-05-01T00:00:00"/>
    <n v="951"/>
    <x v="7"/>
    <s v="West"/>
    <s v="Major Market"/>
    <s v="Leaves"/>
    <s v="Herbal Tea"/>
    <s v="Lemon"/>
    <s v="Decaf"/>
    <n v="1246"/>
    <n v="74"/>
    <x v="25"/>
    <n v="239"/>
    <n v="95"/>
    <n v="276"/>
    <n v="0.49819999999999998"/>
    <n v="410"/>
    <n v="190"/>
    <n v="170"/>
    <n v="0.41460000000000002"/>
  </r>
  <r>
    <d v="2024-05-02T00:00:00"/>
    <n v="720"/>
    <x v="1"/>
    <s v="Central"/>
    <s v="Major Market"/>
    <s v="Leaves"/>
    <s v="Herbal Tea"/>
    <s v="Lemon"/>
    <s v="Decaf"/>
    <n v="503"/>
    <n v="46"/>
    <x v="174"/>
    <n v="51"/>
    <n v="76"/>
    <n v="-7"/>
    <n v="-5.3800000000000001E-2"/>
    <n v="90"/>
    <n v="30"/>
    <n v="30"/>
    <n v="0.33329999999999999"/>
  </r>
  <r>
    <d v="2024-05-02T00:00:00"/>
    <n v="720"/>
    <x v="1"/>
    <s v="Central"/>
    <s v="Major Market"/>
    <s v="Leaves"/>
    <s v="Tea"/>
    <s v="Darjeeling"/>
    <s v="Regular"/>
    <n v="404"/>
    <n v="20"/>
    <x v="0"/>
    <n v="54"/>
    <n v="53"/>
    <n v="19"/>
    <n v="0.1484"/>
    <n v="80"/>
    <n v="30"/>
    <n v="30"/>
    <n v="0.375"/>
  </r>
  <r>
    <d v="2024-05-02T00:00:00"/>
    <n v="937"/>
    <x v="12"/>
    <s v="Central"/>
    <s v="Major Market"/>
    <s v="Beans"/>
    <s v="Coffee"/>
    <s v="Colombian"/>
    <s v="Regular"/>
    <n v="419"/>
    <n v="13"/>
    <x v="60"/>
    <n v="43"/>
    <n v="36"/>
    <n v="28"/>
    <n v="0.26169999999999999"/>
    <n v="100"/>
    <n v="30"/>
    <n v="60"/>
    <n v="0.6"/>
  </r>
  <r>
    <d v="2024-05-02T00:00:00"/>
    <n v="513"/>
    <x v="12"/>
    <s v="Central"/>
    <s v="Major Market"/>
    <s v="Beans"/>
    <s v="Coffee"/>
    <s v="Amaretto"/>
    <s v="Regular"/>
    <n v="424"/>
    <n v="17"/>
    <x v="117"/>
    <n v="54"/>
    <n v="44"/>
    <n v="29"/>
    <n v="0.2283"/>
    <n v="120"/>
    <n v="50"/>
    <n v="40"/>
    <n v="0.33329999999999999"/>
  </r>
  <r>
    <d v="2024-05-02T00:00:00"/>
    <n v="405"/>
    <x v="19"/>
    <s v="South"/>
    <s v="Small Market"/>
    <s v="Leaves"/>
    <s v="Herbal Tea"/>
    <s v="Chamomile"/>
    <s v="Decaf"/>
    <n v="403"/>
    <n v="24"/>
    <x v="143"/>
    <n v="65"/>
    <n v="58"/>
    <n v="22"/>
    <n v="0.1517"/>
    <n v="130"/>
    <n v="60"/>
    <n v="20"/>
    <n v="0.15379999999999999"/>
  </r>
  <r>
    <d v="2024-05-02T00:00:00"/>
    <n v="775"/>
    <x v="8"/>
    <s v="West"/>
    <s v="Small Market"/>
    <s v="Beans"/>
    <s v="Espresso"/>
    <s v="Decaf Espresso"/>
    <s v="Decaf"/>
    <n v="800"/>
    <n v="6"/>
    <x v="148"/>
    <n v="23"/>
    <n v="18"/>
    <n v="25"/>
    <n v="0.4032"/>
    <n v="40"/>
    <n v="10"/>
    <n v="30"/>
    <n v="0.75"/>
  </r>
  <r>
    <d v="2024-05-02T00:00:00"/>
    <n v="435"/>
    <x v="13"/>
    <s v="West"/>
    <s v="Small Market"/>
    <s v="Leaves"/>
    <s v="Tea"/>
    <s v="Earl Grey"/>
    <s v="Regular"/>
    <n v="248"/>
    <n v="11"/>
    <x v="172"/>
    <n v="35"/>
    <n v="38"/>
    <n v="13"/>
    <n v="0.14940000000000001"/>
    <n v="50"/>
    <n v="20"/>
    <n v="10"/>
    <n v="0.2"/>
  </r>
  <r>
    <d v="2024-05-02T00:00:00"/>
    <n v="405"/>
    <x v="19"/>
    <s v="South"/>
    <s v="Small Market"/>
    <s v="Leaves"/>
    <s v="Herbal Tea"/>
    <s v="Lemon"/>
    <s v="Decaf"/>
    <n v="694"/>
    <n v="85"/>
    <x v="142"/>
    <n v="94"/>
    <n v="115"/>
    <n v="22"/>
    <n v="9.2100000000000001E-2"/>
    <n v="200"/>
    <n v="80"/>
    <n v="20"/>
    <n v="0.1"/>
  </r>
  <r>
    <d v="2024-05-02T00:00:00"/>
    <n v="407"/>
    <x v="16"/>
    <s v="East"/>
    <s v="Major Market"/>
    <s v="Beans"/>
    <s v="Espresso"/>
    <s v="Decaf Espresso"/>
    <s v="Decaf"/>
    <n v="575"/>
    <n v="27"/>
    <x v="90"/>
    <n v="83"/>
    <n v="54"/>
    <n v="58"/>
    <n v="0.2974"/>
    <n v="190"/>
    <n v="80"/>
    <n v="70"/>
    <n v="0.36840000000000001"/>
  </r>
  <r>
    <d v="2024-05-03T00:00:00"/>
    <n v="435"/>
    <x v="13"/>
    <s v="West"/>
    <s v="Small Market"/>
    <s v="Leaves"/>
    <s v="Herbal Tea"/>
    <s v="Mint"/>
    <s v="Decaf"/>
    <n v="1898"/>
    <n v="28"/>
    <x v="59"/>
    <n v="92"/>
    <n v="51"/>
    <n v="17"/>
    <n v="0.10630000000000001"/>
    <n v="140"/>
    <n v="80"/>
    <n v="20"/>
    <n v="0.1429"/>
  </r>
  <r>
    <d v="2024-05-03T00:00:00"/>
    <n v="978"/>
    <x v="11"/>
    <s v="East"/>
    <s v="Major Market"/>
    <s v="Leaves"/>
    <s v="Tea"/>
    <s v="Darjeeling"/>
    <s v="Regular"/>
    <n v="859"/>
    <n v="7"/>
    <x v="154"/>
    <n v="27"/>
    <n v="19"/>
    <n v="30"/>
    <n v="0.42859999999999998"/>
    <n v="70"/>
    <n v="20"/>
    <n v="50"/>
    <n v="0.71430000000000005"/>
  </r>
  <r>
    <d v="2024-05-03T00:00:00"/>
    <n v="561"/>
    <x v="16"/>
    <s v="East"/>
    <s v="Major Market"/>
    <s v="Leaves"/>
    <s v="Herbal Tea"/>
    <s v="Lemon"/>
    <s v="Decaf"/>
    <n v="391"/>
    <n v="20"/>
    <x v="93"/>
    <n v="54"/>
    <n v="54"/>
    <n v="19"/>
    <n v="0.14729999999999999"/>
    <n v="80"/>
    <n v="40"/>
    <n v="10"/>
    <n v="0.125"/>
  </r>
  <r>
    <d v="2024-05-03T00:00:00"/>
    <n v="425"/>
    <x v="5"/>
    <s v="West"/>
    <s v="Small Market"/>
    <s v="Beans"/>
    <s v="Coffee"/>
    <s v="Decaf Irish Cream"/>
    <s v="Decaf"/>
    <n v="683"/>
    <n v="87"/>
    <x v="35"/>
    <n v="96"/>
    <n v="117"/>
    <n v="17"/>
    <n v="7.3899999999999993E-2"/>
    <n v="330"/>
    <n v="140"/>
    <n v="100"/>
    <n v="0.30299999999999999"/>
  </r>
  <r>
    <d v="2024-05-04T00:00:00"/>
    <n v="603"/>
    <x v="15"/>
    <s v="East"/>
    <s v="Small Market"/>
    <s v="Beans"/>
    <s v="Coffee"/>
    <s v="Amaretto"/>
    <s v="Regular"/>
    <n v="310"/>
    <n v="15"/>
    <x v="40"/>
    <n v="49"/>
    <n v="38"/>
    <n v="33"/>
    <n v="0.27500000000000002"/>
    <n v="90"/>
    <n v="30"/>
    <n v="60"/>
    <n v="0.66669999999999996"/>
  </r>
  <r>
    <d v="2024-05-04T00:00:00"/>
    <n v="712"/>
    <x v="17"/>
    <s v="Central"/>
    <s v="Small Market"/>
    <s v="Beans"/>
    <s v="Espresso"/>
    <s v="Decaf Espresso"/>
    <s v="Decaf"/>
    <n v="387"/>
    <n v="0"/>
    <x v="101"/>
    <n v="0"/>
    <n v="12"/>
    <n v="31"/>
    <n v="0.72089999999999999"/>
    <n v="50"/>
    <n v="0"/>
    <n v="40"/>
    <n v="0.8"/>
  </r>
  <r>
    <d v="2024-05-04T00:00:00"/>
    <n v="985"/>
    <x v="4"/>
    <s v="South"/>
    <s v="Small Market"/>
    <s v="Beans"/>
    <s v="Espresso"/>
    <s v="Caffe Mocha"/>
    <s v="Regular"/>
    <n v="320"/>
    <n v="12"/>
    <x v="60"/>
    <n v="41"/>
    <n v="35"/>
    <n v="31"/>
    <n v="0.28970000000000001"/>
    <n v="80"/>
    <n v="30"/>
    <n v="20"/>
    <n v="0.25"/>
  </r>
  <r>
    <d v="2024-05-04T00:00:00"/>
    <n v="505"/>
    <x v="3"/>
    <s v="South"/>
    <s v="Small Market"/>
    <s v="Beans"/>
    <s v="Espresso"/>
    <s v="Caffe Latte"/>
    <s v="Regular"/>
    <n v="-598"/>
    <n v="7"/>
    <x v="129"/>
    <n v="20"/>
    <n v="40"/>
    <n v="-15"/>
    <n v="-0.33329999999999999"/>
    <n v="30"/>
    <n v="10"/>
    <n v="-10"/>
    <n v="-0.33329999999999999"/>
  </r>
  <r>
    <d v="2024-05-06T00:00:00"/>
    <n v="314"/>
    <x v="6"/>
    <s v="Central"/>
    <s v="Small Market"/>
    <s v="Beans"/>
    <s v="Espresso"/>
    <s v="Decaf Espresso"/>
    <s v="Decaf"/>
    <n v="836"/>
    <n v="9"/>
    <x v="105"/>
    <n v="33"/>
    <n v="21"/>
    <n v="27"/>
    <n v="0.33329999999999999"/>
    <n v="100"/>
    <n v="40"/>
    <n v="50"/>
    <n v="0.5"/>
  </r>
  <r>
    <d v="2024-05-06T00:00:00"/>
    <n v="936"/>
    <x v="10"/>
    <s v="South"/>
    <s v="Major Market"/>
    <s v="Beans"/>
    <s v="Coffee"/>
    <s v="Decaf Irish Cream"/>
    <s v="Decaf"/>
    <n v="536"/>
    <n v="13"/>
    <x v="71"/>
    <n v="40"/>
    <n v="26"/>
    <n v="39"/>
    <n v="0.39800000000000002"/>
    <n v="100"/>
    <n v="40"/>
    <n v="40"/>
    <n v="0.4"/>
  </r>
  <r>
    <d v="2024-05-06T00:00:00"/>
    <n v="262"/>
    <x v="0"/>
    <s v="Central"/>
    <s v="Small Market"/>
    <s v="Leaves"/>
    <s v="Tea"/>
    <s v="Darjeeling"/>
    <s v="Regular"/>
    <n v="454"/>
    <n v="15"/>
    <x v="40"/>
    <n v="49"/>
    <n v="38"/>
    <n v="33"/>
    <n v="0.27500000000000002"/>
    <n v="90"/>
    <n v="40"/>
    <n v="20"/>
    <n v="0.22220000000000001"/>
  </r>
  <r>
    <d v="2024-05-06T00:00:00"/>
    <n v="914"/>
    <x v="14"/>
    <s v="East"/>
    <s v="Major Market"/>
    <s v="Leaves"/>
    <s v="Tea"/>
    <s v="Green Tea"/>
    <s v="Regular"/>
    <n v="589"/>
    <n v="14"/>
    <x v="30"/>
    <n v="50"/>
    <n v="26"/>
    <n v="70"/>
    <n v="0.53439999999999999"/>
    <n v="120"/>
    <n v="50"/>
    <n v="50"/>
    <n v="0.41670000000000001"/>
  </r>
  <r>
    <d v="2024-05-06T00:00:00"/>
    <n v="210"/>
    <x v="10"/>
    <s v="South"/>
    <s v="Major Market"/>
    <s v="Beans"/>
    <s v="Espresso"/>
    <s v="Caffe Mocha"/>
    <s v="Regular"/>
    <n v="915"/>
    <n v="34"/>
    <x v="1"/>
    <n v="123"/>
    <n v="46"/>
    <n v="133"/>
    <n v="0.44040000000000001"/>
    <n v="190"/>
    <n v="70"/>
    <n v="100"/>
    <n v="0.52629999999999999"/>
  </r>
  <r>
    <d v="2024-05-06T00:00:00"/>
    <n v="630"/>
    <x v="2"/>
    <s v="Central"/>
    <s v="Major Market"/>
    <s v="Leaves"/>
    <s v="Herbal Tea"/>
    <s v="Mint"/>
    <s v="Decaf"/>
    <n v="1003"/>
    <n v="24"/>
    <x v="169"/>
    <n v="86"/>
    <n v="36"/>
    <n v="88"/>
    <n v="0.41899999999999998"/>
    <n v="190"/>
    <n v="80"/>
    <n v="80"/>
    <n v="0.42109999999999997"/>
  </r>
  <r>
    <d v="2024-05-06T00:00:00"/>
    <n v="971"/>
    <x v="9"/>
    <s v="West"/>
    <s v="Small Market"/>
    <s v="Beans"/>
    <s v="Coffee"/>
    <s v="Decaf Irish Cream"/>
    <s v="Decaf"/>
    <n v="419"/>
    <n v="13"/>
    <x v="13"/>
    <n v="43"/>
    <n v="35"/>
    <n v="43"/>
    <n v="0.37719999999999998"/>
    <n v="150"/>
    <n v="50"/>
    <n v="80"/>
    <n v="0.5333"/>
  </r>
  <r>
    <d v="2024-05-07T00:00:00"/>
    <n v="772"/>
    <x v="16"/>
    <s v="East"/>
    <s v="Major Market"/>
    <s v="Leaves"/>
    <s v="Tea"/>
    <s v="Green Tea"/>
    <s v="Regular"/>
    <n v="851"/>
    <n v="13"/>
    <x v="29"/>
    <n v="48"/>
    <n v="24"/>
    <n v="68"/>
    <n v="0.53969999999999996"/>
    <n v="120"/>
    <n v="50"/>
    <n v="60"/>
    <n v="0.5"/>
  </r>
  <r>
    <d v="2024-05-07T00:00:00"/>
    <n v="815"/>
    <x v="2"/>
    <s v="Central"/>
    <s v="Major Market"/>
    <s v="Beans"/>
    <s v="Coffee"/>
    <s v="Colombian"/>
    <s v="Regular"/>
    <n v="1132"/>
    <n v="50"/>
    <x v="83"/>
    <n v="154"/>
    <n v="93"/>
    <n v="120"/>
    <n v="0.32700000000000001"/>
    <n v="370"/>
    <n v="150"/>
    <n v="160"/>
    <n v="0.43240000000000001"/>
  </r>
  <r>
    <d v="2024-05-08T00:00:00"/>
    <n v="503"/>
    <x v="9"/>
    <s v="West"/>
    <s v="Small Market"/>
    <s v="Beans"/>
    <s v="Espresso"/>
    <s v="Caffe Latte"/>
    <s v="Regular"/>
    <n v="404"/>
    <n v="20"/>
    <x v="40"/>
    <n v="54"/>
    <n v="54"/>
    <n v="12"/>
    <n v="0.1"/>
    <n v="100"/>
    <n v="40"/>
    <n v="40"/>
    <n v="0.4"/>
  </r>
  <r>
    <d v="2024-05-08T00:00:00"/>
    <n v="573"/>
    <x v="6"/>
    <s v="Central"/>
    <s v="Small Market"/>
    <s v="Leaves"/>
    <s v="Herbal Tea"/>
    <s v="Chamomile"/>
    <s v="Decaf"/>
    <n v="325"/>
    <n v="40"/>
    <x v="110"/>
    <n v="44"/>
    <n v="70"/>
    <n v="-8"/>
    <n v="-7.5499999999999998E-2"/>
    <n v="90"/>
    <n v="40"/>
    <n v="0"/>
    <n v="0"/>
  </r>
  <r>
    <d v="2024-05-08T00:00:00"/>
    <n v="937"/>
    <x v="12"/>
    <s v="Central"/>
    <s v="Major Market"/>
    <s v="Beans"/>
    <s v="Coffee"/>
    <s v="Colombian"/>
    <s v="Regular"/>
    <n v="419"/>
    <n v="13"/>
    <x v="13"/>
    <n v="43"/>
    <n v="36"/>
    <n v="42"/>
    <n v="0.36840000000000001"/>
    <n v="100"/>
    <n v="30"/>
    <n v="60"/>
    <n v="0.6"/>
  </r>
  <r>
    <d v="2024-05-08T00:00:00"/>
    <n v="971"/>
    <x v="9"/>
    <s v="West"/>
    <s v="Small Market"/>
    <s v="Leaves"/>
    <s v="Herbal Tea"/>
    <s v="Chamomile"/>
    <s v="Decaf"/>
    <n v="820"/>
    <n v="7"/>
    <x v="141"/>
    <n v="25"/>
    <n v="19"/>
    <n v="17"/>
    <n v="0.2787"/>
    <n v="40"/>
    <n v="10"/>
    <n v="30"/>
    <n v="0.75"/>
  </r>
  <r>
    <d v="2024-05-08T00:00:00"/>
    <n v="563"/>
    <x v="17"/>
    <s v="Central"/>
    <s v="Small Market"/>
    <s v="Leaves"/>
    <s v="Tea"/>
    <s v="Darjeeling"/>
    <s v="Regular"/>
    <n v="1778"/>
    <n v="59"/>
    <x v="178"/>
    <n v="211"/>
    <n v="83"/>
    <n v="191"/>
    <n v="0.42349999999999999"/>
    <n v="350"/>
    <n v="170"/>
    <n v="110"/>
    <n v="0.31430000000000002"/>
  </r>
  <r>
    <d v="2024-05-08T00:00:00"/>
    <n v="937"/>
    <x v="12"/>
    <s v="Central"/>
    <s v="Major Market"/>
    <s v="Beans"/>
    <s v="Espresso"/>
    <s v="Caffe Mocha"/>
    <s v="Regular"/>
    <n v="1319"/>
    <n v="42"/>
    <x v="109"/>
    <n v="153"/>
    <n v="66"/>
    <n v="129"/>
    <n v="0.3957"/>
    <n v="390"/>
    <n v="190"/>
    <n v="140"/>
    <n v="0.35899999999999999"/>
  </r>
  <r>
    <d v="2024-05-09T00:00:00"/>
    <n v="561"/>
    <x v="16"/>
    <s v="East"/>
    <s v="Major Market"/>
    <s v="Leaves"/>
    <s v="Herbal Tea"/>
    <s v="Mint"/>
    <s v="Decaf"/>
    <n v="1063"/>
    <n v="23"/>
    <x v="179"/>
    <n v="75"/>
    <n v="45"/>
    <n v="65"/>
    <n v="0.37140000000000001"/>
    <n v="110"/>
    <n v="50"/>
    <n v="30"/>
    <n v="0.2727"/>
  </r>
  <r>
    <d v="2024-05-09T00:00:00"/>
    <n v="563"/>
    <x v="17"/>
    <s v="Central"/>
    <s v="Small Market"/>
    <s v="Leaves"/>
    <s v="Tea"/>
    <s v="Darjeeling"/>
    <s v="Regular"/>
    <n v="1755"/>
    <n v="66"/>
    <x v="120"/>
    <n v="239"/>
    <n v="90"/>
    <n v="149"/>
    <n v="0.31169999999999998"/>
    <n v="340"/>
    <n v="170"/>
    <n v="110"/>
    <n v="0.32350000000000001"/>
  </r>
  <r>
    <d v="2024-05-10T00:00:00"/>
    <n v="505"/>
    <x v="3"/>
    <s v="South"/>
    <s v="Small Market"/>
    <s v="Leaves"/>
    <s v="Herbal Tea"/>
    <s v="Chamomile"/>
    <s v="Decaf"/>
    <n v="846"/>
    <n v="5"/>
    <x v="27"/>
    <n v="21"/>
    <n v="17"/>
    <n v="21"/>
    <n v="0.38179999999999997"/>
    <n v="40"/>
    <n v="10"/>
    <n v="30"/>
    <n v="0.75"/>
  </r>
  <r>
    <d v="2024-05-10T00:00:00"/>
    <n v="585"/>
    <x v="14"/>
    <s v="East"/>
    <s v="Major Market"/>
    <s v="Leaves"/>
    <s v="Tea"/>
    <s v="Darjeeling"/>
    <s v="Regular"/>
    <n v="971"/>
    <n v="30"/>
    <x v="79"/>
    <n v="108"/>
    <n v="42"/>
    <n v="171"/>
    <n v="0.60640000000000005"/>
    <n v="280"/>
    <n v="110"/>
    <n v="140"/>
    <n v="0.5"/>
  </r>
  <r>
    <d v="2024-05-11T00:00:00"/>
    <n v="860"/>
    <x v="18"/>
    <s v="East"/>
    <s v="Small Market"/>
    <s v="Beans"/>
    <s v="Espresso"/>
    <s v="Decaf Espresso"/>
    <s v="Decaf"/>
    <n v="380"/>
    <n v="17"/>
    <x v="37"/>
    <n v="53"/>
    <n v="45"/>
    <n v="26"/>
    <n v="0.2097"/>
    <n v="120"/>
    <n v="50"/>
    <n v="40"/>
    <n v="0.33329999999999999"/>
  </r>
  <r>
    <d v="2024-05-11T00:00:00"/>
    <n v="918"/>
    <x v="19"/>
    <s v="South"/>
    <s v="Small Market"/>
    <s v="Leaves"/>
    <s v="Herbal Tea"/>
    <s v="Lemon"/>
    <s v="Decaf"/>
    <n v="683"/>
    <n v="87"/>
    <x v="152"/>
    <n v="96"/>
    <n v="117"/>
    <n v="25"/>
    <n v="0.10199999999999999"/>
    <n v="200"/>
    <n v="80"/>
    <n v="40"/>
    <n v="0.2"/>
  </r>
  <r>
    <d v="2024-05-11T00:00:00"/>
    <n v="971"/>
    <x v="9"/>
    <s v="West"/>
    <s v="Small Market"/>
    <s v="Beans"/>
    <s v="Coffee"/>
    <s v="Colombian"/>
    <s v="Regular"/>
    <n v="470"/>
    <n v="17"/>
    <x v="0"/>
    <n v="53"/>
    <n v="61"/>
    <n v="14"/>
    <n v="0.1094"/>
    <n v="150"/>
    <n v="60"/>
    <n v="40"/>
    <n v="0.26669999999999999"/>
  </r>
  <r>
    <d v="2024-05-12T00:00:00"/>
    <n v="417"/>
    <x v="6"/>
    <s v="Central"/>
    <s v="Small Market"/>
    <s v="Beans"/>
    <s v="Espresso"/>
    <s v="Decaf Espresso"/>
    <s v="Decaf"/>
    <n v="833"/>
    <n v="8"/>
    <x v="180"/>
    <n v="32"/>
    <n v="19"/>
    <n v="42"/>
    <n v="0.5"/>
    <n v="110"/>
    <n v="30"/>
    <n v="80"/>
    <n v="0.72729999999999995"/>
  </r>
  <r>
    <d v="2024-05-12T00:00:00"/>
    <n v="720"/>
    <x v="1"/>
    <s v="Central"/>
    <s v="Major Market"/>
    <s v="Leaves"/>
    <s v="Herbal Tea"/>
    <s v="Chamomile"/>
    <s v="Decaf"/>
    <n v="1267"/>
    <n v="45"/>
    <x v="63"/>
    <n v="161"/>
    <n v="69"/>
    <n v="137"/>
    <n v="0.39939999999999998"/>
    <n v="260"/>
    <n v="120"/>
    <n v="110"/>
    <n v="0.42309999999999998"/>
  </r>
  <r>
    <d v="2024-05-12T00:00:00"/>
    <n v="970"/>
    <x v="1"/>
    <s v="Central"/>
    <s v="Major Market"/>
    <s v="Leaves"/>
    <s v="Tea"/>
    <s v="Green Tea"/>
    <s v="Regular"/>
    <n v="572"/>
    <n v="29"/>
    <x v="175"/>
    <n v="90"/>
    <n v="41"/>
    <n v="110"/>
    <n v="0.50460000000000005"/>
    <n v="140"/>
    <n v="50"/>
    <n v="80"/>
    <n v="0.57140000000000002"/>
  </r>
  <r>
    <d v="2024-05-12T00:00:00"/>
    <n v="712"/>
    <x v="17"/>
    <s v="Central"/>
    <s v="Small Market"/>
    <s v="Beans"/>
    <s v="Coffee"/>
    <s v="Amaretto"/>
    <s v="Regular"/>
    <n v="848"/>
    <n v="4"/>
    <x v="104"/>
    <n v="15"/>
    <n v="16"/>
    <n v="12"/>
    <n v="0.28570000000000001"/>
    <n v="30"/>
    <n v="10"/>
    <n v="10"/>
    <n v="0.33329999999999999"/>
  </r>
  <r>
    <d v="2024-05-13T00:00:00"/>
    <n v="312"/>
    <x v="2"/>
    <s v="Central"/>
    <s v="Major Market"/>
    <s v="Leaves"/>
    <s v="Herbal Tea"/>
    <s v="Lemon"/>
    <s v="Decaf"/>
    <n v="531"/>
    <n v="14"/>
    <x v="110"/>
    <n v="43"/>
    <n v="27"/>
    <n v="43"/>
    <n v="0.40570000000000001"/>
    <n v="90"/>
    <n v="40"/>
    <n v="30"/>
    <n v="0.33329999999999999"/>
  </r>
  <r>
    <d v="2024-05-13T00:00:00"/>
    <n v="801"/>
    <x v="13"/>
    <s v="West"/>
    <s v="Small Market"/>
    <s v="Leaves"/>
    <s v="Herbal Tea"/>
    <s v="Lemon"/>
    <s v="Decaf"/>
    <n v="462"/>
    <n v="15"/>
    <x v="139"/>
    <n v="48"/>
    <n v="46"/>
    <n v="28"/>
    <n v="0.22950000000000001"/>
    <n v="110"/>
    <n v="40"/>
    <n v="40"/>
    <n v="0.36359999999999998"/>
  </r>
  <r>
    <d v="2024-05-13T00:00:00"/>
    <n v="937"/>
    <x v="12"/>
    <s v="Central"/>
    <s v="Major Market"/>
    <s v="Leaves"/>
    <s v="Herbal Tea"/>
    <s v="Lemon"/>
    <s v="Decaf"/>
    <n v="859"/>
    <n v="7"/>
    <x v="154"/>
    <n v="27"/>
    <n v="19"/>
    <n v="30"/>
    <n v="0.42859999999999998"/>
    <n v="40"/>
    <n v="10"/>
    <n v="30"/>
    <n v="0.75"/>
  </r>
  <r>
    <d v="2024-05-14T00:00:00"/>
    <n v="337"/>
    <x v="4"/>
    <s v="South"/>
    <s v="Small Market"/>
    <s v="Leaves"/>
    <s v="Herbal Tea"/>
    <s v="Lemon"/>
    <s v="Decaf"/>
    <n v="601"/>
    <n v="31"/>
    <x v="58"/>
    <n v="82"/>
    <n v="64"/>
    <n v="38"/>
    <n v="0.20649999999999999"/>
    <n v="170"/>
    <n v="70"/>
    <n v="40"/>
    <n v="0.23530000000000001"/>
  </r>
  <r>
    <d v="2024-05-14T00:00:00"/>
    <n v="203"/>
    <x v="18"/>
    <s v="East"/>
    <s v="Small Market"/>
    <s v="Beans"/>
    <s v="Coffee"/>
    <s v="Colombian"/>
    <s v="Regular"/>
    <n v="1166"/>
    <n v="37"/>
    <x v="100"/>
    <n v="115"/>
    <n v="69"/>
    <n v="105"/>
    <n v="0.36330000000000001"/>
    <n v="260"/>
    <n v="100"/>
    <n v="110"/>
    <n v="0.42309999999999998"/>
  </r>
  <r>
    <d v="2024-05-14T00:00:00"/>
    <n v="319"/>
    <x v="17"/>
    <s v="Central"/>
    <s v="Small Market"/>
    <s v="Leaves"/>
    <s v="Tea"/>
    <s v="Earl Grey"/>
    <s v="Regular"/>
    <n v="1784"/>
    <n v="93"/>
    <x v="181"/>
    <n v="245"/>
    <n v="127"/>
    <n v="173"/>
    <n v="0.31740000000000002"/>
    <n v="450"/>
    <n v="200"/>
    <n v="130"/>
    <n v="0.28889999999999999"/>
  </r>
  <r>
    <d v="2024-05-14T00:00:00"/>
    <n v="801"/>
    <x v="13"/>
    <s v="West"/>
    <s v="Small Market"/>
    <s v="Beans"/>
    <s v="Coffee"/>
    <s v="Amaretto"/>
    <s v="Regular"/>
    <n v="1060"/>
    <n v="21"/>
    <x v="182"/>
    <n v="69"/>
    <n v="42"/>
    <n v="39"/>
    <n v="0.26"/>
    <n v="170"/>
    <n v="80"/>
    <n v="50"/>
    <n v="0.29409999999999997"/>
  </r>
  <r>
    <d v="2024-05-16T00:00:00"/>
    <n v="970"/>
    <x v="1"/>
    <s v="Central"/>
    <s v="Major Market"/>
    <s v="Leaves"/>
    <s v="Tea"/>
    <s v="Earl Grey"/>
    <s v="Regular"/>
    <n v="1054"/>
    <n v="16"/>
    <x v="37"/>
    <n v="53"/>
    <n v="37"/>
    <n v="39"/>
    <n v="0.3145"/>
    <n v="90"/>
    <n v="40"/>
    <n v="20"/>
    <n v="0.22220000000000001"/>
  </r>
  <r>
    <d v="2024-05-16T00:00:00"/>
    <n v="801"/>
    <x v="13"/>
    <s v="West"/>
    <s v="Small Market"/>
    <s v="Leaves"/>
    <s v="Tea"/>
    <s v="Green Tea"/>
    <s v="Regular"/>
    <n v="211"/>
    <n v="12"/>
    <x v="159"/>
    <n v="34"/>
    <n v="45"/>
    <n v="-3"/>
    <n v="-3.95E-2"/>
    <n v="50"/>
    <n v="20"/>
    <n v="0"/>
    <n v="0"/>
  </r>
  <r>
    <d v="2024-05-16T00:00:00"/>
    <n v="660"/>
    <x v="6"/>
    <s v="Central"/>
    <s v="Small Market"/>
    <s v="Beans"/>
    <s v="Espresso"/>
    <s v="Decaf Espresso"/>
    <s v="Decaf"/>
    <n v="833"/>
    <n v="8"/>
    <x v="171"/>
    <n v="32"/>
    <n v="19"/>
    <n v="28"/>
    <n v="0.35439999999999999"/>
    <n v="110"/>
    <n v="30"/>
    <n v="80"/>
    <n v="0.72729999999999995"/>
  </r>
  <r>
    <d v="2024-05-16T00:00:00"/>
    <n v="920"/>
    <x v="0"/>
    <s v="Central"/>
    <s v="Small Market"/>
    <s v="Beans"/>
    <s v="Coffee"/>
    <s v="Amaretto"/>
    <s v="Regular"/>
    <n v="403"/>
    <n v="24"/>
    <x v="47"/>
    <n v="65"/>
    <n v="58"/>
    <n v="33"/>
    <n v="0.21290000000000001"/>
    <n v="140"/>
    <n v="60"/>
    <n v="30"/>
    <n v="0.21429999999999999"/>
  </r>
  <r>
    <d v="2024-05-16T00:00:00"/>
    <n v="314"/>
    <x v="6"/>
    <s v="Central"/>
    <s v="Small Market"/>
    <s v="Beans"/>
    <s v="Espresso"/>
    <s v="Caffe Mocha"/>
    <s v="Regular"/>
    <n v="885"/>
    <n v="15"/>
    <x v="50"/>
    <n v="54"/>
    <n v="27"/>
    <n v="51"/>
    <n v="0.38640000000000002"/>
    <n v="160"/>
    <n v="60"/>
    <n v="80"/>
    <n v="0.5"/>
  </r>
  <r>
    <d v="2024-05-16T00:00:00"/>
    <n v="916"/>
    <x v="7"/>
    <s v="West"/>
    <s v="Major Market"/>
    <s v="Leaves"/>
    <s v="Tea"/>
    <s v="Darjeeling"/>
    <s v="Regular"/>
    <n v="959"/>
    <n v="34"/>
    <x v="1"/>
    <n v="123"/>
    <n v="45"/>
    <n v="134"/>
    <n v="0.44369999999999998"/>
    <n v="220"/>
    <n v="90"/>
    <n v="110"/>
    <n v="0.5"/>
  </r>
  <r>
    <d v="2024-05-17T00:00:00"/>
    <n v="801"/>
    <x v="13"/>
    <s v="West"/>
    <s v="Small Market"/>
    <s v="Leaves"/>
    <s v="Herbal Tea"/>
    <s v="Mint"/>
    <s v="Decaf"/>
    <n v="1804"/>
    <n v="25"/>
    <x v="139"/>
    <n v="82"/>
    <n v="48"/>
    <n v="-8"/>
    <n v="-6.5600000000000006E-2"/>
    <n v="110"/>
    <n v="70"/>
    <n v="0"/>
    <n v="0"/>
  </r>
  <r>
    <d v="2024-05-18T00:00:00"/>
    <n v="505"/>
    <x v="3"/>
    <s v="South"/>
    <s v="Small Market"/>
    <s v="Beans"/>
    <s v="Espresso"/>
    <s v="Caffe Latte"/>
    <s v="Regular"/>
    <n v="-598"/>
    <n v="7"/>
    <x v="15"/>
    <n v="20"/>
    <n v="40"/>
    <n v="-22"/>
    <n v="-0.45829999999999999"/>
    <n v="30"/>
    <n v="10"/>
    <n v="-10"/>
    <n v="-0.33329999999999999"/>
  </r>
  <r>
    <d v="2024-05-18T00:00:00"/>
    <n v="508"/>
    <x v="11"/>
    <s v="East"/>
    <s v="Major Market"/>
    <s v="Beans"/>
    <s v="Espresso"/>
    <s v="Regular Espresso"/>
    <s v="Regular"/>
    <n v="1283"/>
    <n v="50"/>
    <x v="84"/>
    <n v="181"/>
    <n v="74"/>
    <n v="108"/>
    <n v="0.29749999999999999"/>
    <n v="350"/>
    <n v="170"/>
    <n v="120"/>
    <n v="0.34289999999999998"/>
  </r>
  <r>
    <d v="2024-05-18T00:00:00"/>
    <n v="503"/>
    <x v="9"/>
    <s v="West"/>
    <s v="Small Market"/>
    <s v="Leaves"/>
    <s v="Tea"/>
    <s v="Earl Grey"/>
    <s v="Regular"/>
    <n v="798"/>
    <n v="25"/>
    <x v="169"/>
    <n v="78"/>
    <n v="57"/>
    <n v="92"/>
    <n v="0.43809999999999999"/>
    <n v="140"/>
    <n v="50"/>
    <n v="50"/>
    <n v="0.35709999999999997"/>
  </r>
  <r>
    <d v="2024-05-18T00:00:00"/>
    <n v="209"/>
    <x v="7"/>
    <s v="West"/>
    <s v="Major Market"/>
    <s v="Beans"/>
    <s v="Espresso"/>
    <s v="Decaf Espresso"/>
    <s v="Decaf"/>
    <n v="1744"/>
    <n v="81"/>
    <x v="136"/>
    <n v="247"/>
    <n v="113"/>
    <n v="321"/>
    <n v="0.52280000000000004"/>
    <n v="550"/>
    <n v="240"/>
    <n v="210"/>
    <n v="0.38179999999999997"/>
  </r>
  <r>
    <d v="2024-05-19T00:00:00"/>
    <n v="918"/>
    <x v="19"/>
    <s v="South"/>
    <s v="Small Market"/>
    <s v="Beans"/>
    <s v="Espresso"/>
    <s v="Decaf Espresso"/>
    <s v="Decaf"/>
    <n v="817"/>
    <n v="29"/>
    <x v="78"/>
    <n v="88"/>
    <n v="61"/>
    <n v="107"/>
    <n v="0.45340000000000003"/>
    <n v="170"/>
    <n v="60"/>
    <n v="60"/>
    <n v="0.35289999999999999"/>
  </r>
  <r>
    <d v="2024-05-19T00:00:00"/>
    <n v="775"/>
    <x v="8"/>
    <s v="West"/>
    <s v="Small Market"/>
    <s v="Leaves"/>
    <s v="Tea"/>
    <s v="Green Tea"/>
    <s v="Regular"/>
    <n v="8252"/>
    <n v="111"/>
    <x v="183"/>
    <n v="294"/>
    <n v="145"/>
    <n v="-408"/>
    <n v="-13.161300000000001"/>
    <n v="0"/>
    <n v="210"/>
    <n v="-320"/>
    <e v="#DIV/0!"/>
  </r>
  <r>
    <d v="2024-05-20T00:00:00"/>
    <n v="435"/>
    <x v="13"/>
    <s v="West"/>
    <s v="Small Market"/>
    <s v="Beans"/>
    <s v="Coffee"/>
    <s v="Colombian"/>
    <s v="Regular"/>
    <n v="380"/>
    <n v="17"/>
    <x v="37"/>
    <n v="53"/>
    <n v="44"/>
    <n v="27"/>
    <n v="0.2177"/>
    <n v="140"/>
    <n v="60"/>
    <n v="50"/>
    <n v="0.35709999999999997"/>
  </r>
  <r>
    <d v="2024-05-20T00:00:00"/>
    <n v="234"/>
    <x v="12"/>
    <s v="Central"/>
    <s v="Major Market"/>
    <s v="Leaves"/>
    <s v="Tea"/>
    <s v="Darjeeling"/>
    <s v="Regular"/>
    <n v="788"/>
    <n v="27"/>
    <x v="41"/>
    <n v="82"/>
    <n v="58"/>
    <n v="65"/>
    <n v="0.31709999999999999"/>
    <n v="140"/>
    <n v="50"/>
    <n v="60"/>
    <n v="0.42859999999999998"/>
  </r>
  <r>
    <d v="2024-05-21T00:00:00"/>
    <n v="603"/>
    <x v="15"/>
    <s v="East"/>
    <s v="Small Market"/>
    <s v="Beans"/>
    <s v="Coffee"/>
    <s v="Colombian"/>
    <s v="Regular"/>
    <n v="447"/>
    <n v="14"/>
    <x v="16"/>
    <n v="45"/>
    <n v="45"/>
    <n v="36"/>
    <n v="0.29749999999999999"/>
    <n v="90"/>
    <n v="30"/>
    <n v="50"/>
    <n v="0.55559999999999998"/>
  </r>
  <r>
    <d v="2024-05-21T00:00:00"/>
    <n v="323"/>
    <x v="7"/>
    <s v="West"/>
    <s v="Major Market"/>
    <s v="Leaves"/>
    <s v="Herbal Tea"/>
    <s v="Mint"/>
    <s v="Decaf"/>
    <n v="536"/>
    <n v="13"/>
    <x v="71"/>
    <n v="40"/>
    <n v="25"/>
    <n v="40"/>
    <n v="0.40820000000000001"/>
    <n v="80"/>
    <n v="30"/>
    <n v="30"/>
    <n v="0.375"/>
  </r>
  <r>
    <d v="2024-05-21T00:00:00"/>
    <n v="225"/>
    <x v="4"/>
    <s v="South"/>
    <s v="Small Market"/>
    <s v="Beans"/>
    <s v="Coffee"/>
    <s v="Decaf Irish Cream"/>
    <s v="Decaf"/>
    <n v="851"/>
    <n v="13"/>
    <x v="77"/>
    <n v="48"/>
    <n v="25"/>
    <n v="45"/>
    <n v="0.38140000000000002"/>
    <n v="160"/>
    <n v="70"/>
    <n v="80"/>
    <n v="0.5"/>
  </r>
  <r>
    <d v="2024-05-22T00:00:00"/>
    <n v="318"/>
    <x v="4"/>
    <s v="South"/>
    <s v="Small Market"/>
    <s v="Beans"/>
    <s v="Espresso"/>
    <s v="Caffe Mocha"/>
    <s v="Regular"/>
    <n v="321"/>
    <n v="16"/>
    <x v="182"/>
    <n v="53"/>
    <n v="39"/>
    <n v="73"/>
    <n v="0.48670000000000002"/>
    <n v="100"/>
    <n v="40"/>
    <n v="30"/>
    <n v="0.3"/>
  </r>
  <r>
    <d v="2024-05-22T00:00:00"/>
    <n v="360"/>
    <x v="5"/>
    <s v="West"/>
    <s v="Small Market"/>
    <s v="Leaves"/>
    <s v="Tea"/>
    <s v="Earl Grey"/>
    <s v="Regular"/>
    <n v="449"/>
    <n v="14"/>
    <x v="153"/>
    <n v="46"/>
    <n v="36"/>
    <n v="31"/>
    <n v="0.27429999999999999"/>
    <n v="50"/>
    <n v="20"/>
    <n v="30"/>
    <n v="0.6"/>
  </r>
  <r>
    <d v="2024-05-22T00:00:00"/>
    <n v="503"/>
    <x v="9"/>
    <s v="West"/>
    <s v="Small Market"/>
    <s v="Leaves"/>
    <s v="Herbal Tea"/>
    <s v="Chamomile"/>
    <s v="Decaf"/>
    <n v="823"/>
    <n v="7"/>
    <x v="184"/>
    <n v="25"/>
    <n v="19"/>
    <n v="19"/>
    <n v="0.30159999999999998"/>
    <n v="50"/>
    <n v="20"/>
    <n v="20"/>
    <n v="0.4"/>
  </r>
  <r>
    <d v="2024-05-22T00:00:00"/>
    <n v="650"/>
    <x v="7"/>
    <s v="West"/>
    <s v="Major Market"/>
    <s v="Leaves"/>
    <s v="Tea"/>
    <s v="Green Tea"/>
    <s v="Regular"/>
    <n v="659"/>
    <n v="24"/>
    <x v="62"/>
    <n v="75"/>
    <n v="55"/>
    <n v="59"/>
    <n v="0.31219999999999998"/>
    <n v="130"/>
    <n v="50"/>
    <n v="40"/>
    <n v="0.30769999999999997"/>
  </r>
  <r>
    <d v="2024-05-23T00:00:00"/>
    <n v="435"/>
    <x v="13"/>
    <s v="West"/>
    <s v="Small Market"/>
    <s v="Leaves"/>
    <s v="Herbal Tea"/>
    <s v="Chamomile"/>
    <s v="Decaf"/>
    <n v="316"/>
    <n v="14"/>
    <x v="40"/>
    <n v="46"/>
    <n v="37"/>
    <n v="45"/>
    <n v="0.375"/>
    <n v="100"/>
    <n v="40"/>
    <n v="30"/>
    <n v="0.3"/>
  </r>
  <r>
    <d v="2024-05-23T00:00:00"/>
    <n v="641"/>
    <x v="17"/>
    <s v="Central"/>
    <s v="Small Market"/>
    <s v="Beans"/>
    <s v="Coffee"/>
    <s v="Amaretto"/>
    <s v="Regular"/>
    <n v="851"/>
    <n v="4"/>
    <x v="70"/>
    <n v="16"/>
    <n v="15"/>
    <n v="10"/>
    <n v="0.24390000000000001"/>
    <n v="40"/>
    <n v="10"/>
    <n v="20"/>
    <n v="0.5"/>
  </r>
  <r>
    <d v="2024-05-24T00:00:00"/>
    <n v="325"/>
    <x v="10"/>
    <s v="South"/>
    <s v="Major Market"/>
    <s v="Leaves"/>
    <s v="Herbal Tea"/>
    <s v="Chamomile"/>
    <s v="Decaf"/>
    <n v="405"/>
    <n v="17"/>
    <x v="30"/>
    <n v="52"/>
    <n v="45"/>
    <n v="39"/>
    <n v="0.29770000000000002"/>
    <n v="110"/>
    <n v="30"/>
    <n v="70"/>
    <n v="0.63639999999999997"/>
  </r>
  <r>
    <d v="2024-05-24T00:00:00"/>
    <n v="608"/>
    <x v="0"/>
    <s v="Central"/>
    <s v="Small Market"/>
    <s v="Beans"/>
    <s v="Coffee"/>
    <s v="Colombian"/>
    <s v="Regular"/>
    <n v="694"/>
    <n v="85"/>
    <x v="142"/>
    <n v="94"/>
    <n v="114"/>
    <n v="24"/>
    <n v="0.1004"/>
    <n v="220"/>
    <n v="90"/>
    <n v="30"/>
    <n v="0.13639999999999999"/>
  </r>
  <r>
    <d v="2024-05-25T00:00:00"/>
    <n v="801"/>
    <x v="13"/>
    <s v="West"/>
    <s v="Small Market"/>
    <s v="Leaves"/>
    <s v="Herbal Tea"/>
    <s v="Chamomile"/>
    <s v="Decaf"/>
    <n v="310"/>
    <n v="15"/>
    <x v="40"/>
    <n v="49"/>
    <n v="38"/>
    <n v="33"/>
    <n v="0.27500000000000002"/>
    <n v="90"/>
    <n v="30"/>
    <n v="60"/>
    <n v="0.66669999999999996"/>
  </r>
  <r>
    <d v="2024-05-25T00:00:00"/>
    <n v="636"/>
    <x v="6"/>
    <s v="Central"/>
    <s v="Small Market"/>
    <s v="Leaves"/>
    <s v="Tea"/>
    <s v="Earl Grey"/>
    <s v="Regular"/>
    <n v="211"/>
    <n v="12"/>
    <x v="159"/>
    <n v="34"/>
    <n v="45"/>
    <n v="-3"/>
    <n v="-3.95E-2"/>
    <n v="60"/>
    <n v="20"/>
    <n v="0"/>
    <n v="0"/>
  </r>
  <r>
    <d v="2024-05-25T00:00:00"/>
    <n v="630"/>
    <x v="2"/>
    <s v="Central"/>
    <s v="Major Market"/>
    <s v="Leaves"/>
    <s v="Tea"/>
    <s v="Earl Grey"/>
    <s v="Regular"/>
    <n v="677"/>
    <n v="22"/>
    <x v="23"/>
    <n v="67"/>
    <n v="54"/>
    <n v="47"/>
    <n v="0.27979999999999999"/>
    <n v="130"/>
    <n v="50"/>
    <n v="40"/>
    <n v="0.30769999999999997"/>
  </r>
  <r>
    <d v="2024-05-25T00:00:00"/>
    <n v="813"/>
    <x v="16"/>
    <s v="East"/>
    <s v="Major Market"/>
    <s v="Beans"/>
    <s v="Espresso"/>
    <s v="Caffe Mocha"/>
    <s v="Regular"/>
    <n v="694"/>
    <n v="85"/>
    <x v="142"/>
    <n v="94"/>
    <n v="115"/>
    <n v="22"/>
    <n v="9.2100000000000001E-2"/>
    <n v="210"/>
    <n v="90"/>
    <n v="20"/>
    <n v="9.5200000000000007E-2"/>
  </r>
  <r>
    <d v="2024-05-26T00:00:00"/>
    <n v="405"/>
    <x v="19"/>
    <s v="South"/>
    <s v="Small Market"/>
    <s v="Beans"/>
    <s v="Coffee"/>
    <s v="Decaf Irish Cream"/>
    <s v="Decaf"/>
    <n v="859"/>
    <n v="7"/>
    <x v="154"/>
    <n v="27"/>
    <n v="18"/>
    <n v="31"/>
    <n v="0.44290000000000002"/>
    <n v="90"/>
    <n v="30"/>
    <n v="60"/>
    <n v="0.66669999999999996"/>
  </r>
  <r>
    <d v="2024-05-26T00:00:00"/>
    <n v="225"/>
    <x v="4"/>
    <s v="South"/>
    <s v="Small Market"/>
    <s v="Leaves"/>
    <s v="Herbal Tea"/>
    <s v="Chamomile"/>
    <s v="Decaf"/>
    <n v="564"/>
    <n v="33"/>
    <x v="78"/>
    <n v="103"/>
    <n v="46"/>
    <n v="87"/>
    <n v="0.36859999999999998"/>
    <n v="210"/>
    <n v="80"/>
    <n v="110"/>
    <n v="0.52380000000000004"/>
  </r>
  <r>
    <d v="2024-05-26T00:00:00"/>
    <n v="585"/>
    <x v="14"/>
    <s v="East"/>
    <s v="Major Market"/>
    <s v="Leaves"/>
    <s v="Herbal Tea"/>
    <s v="Lemon"/>
    <s v="Decaf"/>
    <n v="1704"/>
    <n v="93"/>
    <x v="136"/>
    <n v="245"/>
    <n v="127"/>
    <n v="303"/>
    <n v="0.49349999999999999"/>
    <n v="420"/>
    <n v="180"/>
    <n v="140"/>
    <n v="0.33329999999999999"/>
  </r>
  <r>
    <d v="2024-05-26T00:00:00"/>
    <n v="303"/>
    <x v="1"/>
    <s v="Central"/>
    <s v="Major Market"/>
    <s v="Beans"/>
    <s v="Espresso"/>
    <s v="Caffe Mocha"/>
    <s v="Regular"/>
    <n v="580"/>
    <n v="21"/>
    <x v="163"/>
    <n v="76"/>
    <n v="32"/>
    <n v="79"/>
    <n v="0.42249999999999999"/>
    <n v="280"/>
    <n v="100"/>
    <n v="170"/>
    <n v="0.60709999999999997"/>
  </r>
  <r>
    <d v="2024-05-26T00:00:00"/>
    <n v="641"/>
    <x v="17"/>
    <s v="Central"/>
    <s v="Small Market"/>
    <s v="Leaves"/>
    <s v="Tea"/>
    <s v="Darjeeling"/>
    <s v="Regular"/>
    <n v="1820"/>
    <n v="70"/>
    <x v="85"/>
    <n v="250"/>
    <n v="95"/>
    <n v="232"/>
    <n v="0.4345"/>
    <n v="410"/>
    <n v="210"/>
    <n v="120"/>
    <n v="0.29270000000000002"/>
  </r>
  <r>
    <d v="2024-05-26T00:00:00"/>
    <n v="951"/>
    <x v="7"/>
    <s v="West"/>
    <s v="Major Market"/>
    <s v="Beans"/>
    <s v="Coffee"/>
    <s v="Decaf Irish Cream"/>
    <s v="Decaf"/>
    <n v="3654"/>
    <n v="50"/>
    <x v="174"/>
    <n v="154"/>
    <n v="93"/>
    <n v="-117"/>
    <n v="-0.9"/>
    <n v="190"/>
    <n v="220"/>
    <n v="-100"/>
    <n v="-0.52629999999999999"/>
  </r>
  <r>
    <d v="2024-05-26T00:00:00"/>
    <n v="702"/>
    <x v="8"/>
    <s v="West"/>
    <s v="Small Market"/>
    <s v="Leaves"/>
    <s v="Tea"/>
    <s v="Darjeeling"/>
    <s v="Regular"/>
    <n v="1662"/>
    <n v="84"/>
    <x v="185"/>
    <n v="257"/>
    <n v="117"/>
    <n v="224"/>
    <n v="0.37459999999999999"/>
    <n v="290"/>
    <n v="110"/>
    <n v="130"/>
    <n v="0.44829999999999998"/>
  </r>
  <r>
    <d v="2024-05-27T00:00:00"/>
    <n v="206"/>
    <x v="5"/>
    <s v="West"/>
    <s v="Small Market"/>
    <s v="Leaves"/>
    <s v="Tea"/>
    <s v="Green Tea"/>
    <s v="Regular"/>
    <n v="613"/>
    <n v="55"/>
    <x v="14"/>
    <n v="61"/>
    <n v="85"/>
    <n v="1"/>
    <n v="6.7999999999999996E-3"/>
    <n v="100"/>
    <n v="40"/>
    <n v="0"/>
    <n v="0"/>
  </r>
  <r>
    <d v="2024-05-27T00:00:00"/>
    <n v="805"/>
    <x v="7"/>
    <s v="West"/>
    <s v="Major Market"/>
    <s v="Leaves"/>
    <s v="Herbal Tea"/>
    <s v="Mint"/>
    <s v="Decaf"/>
    <n v="531"/>
    <n v="14"/>
    <x v="73"/>
    <n v="43"/>
    <n v="27"/>
    <n v="29"/>
    <n v="0.29289999999999999"/>
    <n v="90"/>
    <n v="40"/>
    <n v="30"/>
    <n v="0.33329999999999999"/>
  </r>
  <r>
    <d v="2024-05-27T00:00:00"/>
    <n v="225"/>
    <x v="4"/>
    <s v="South"/>
    <s v="Small Market"/>
    <s v="Leaves"/>
    <s v="Herbal Tea"/>
    <s v="Chamomile"/>
    <s v="Decaf"/>
    <n v="540"/>
    <n v="31"/>
    <x v="186"/>
    <n v="94"/>
    <n v="43"/>
    <n v="77"/>
    <n v="0.35980000000000001"/>
    <n v="190"/>
    <n v="80"/>
    <n v="70"/>
    <n v="0.36840000000000001"/>
  </r>
  <r>
    <d v="2024-05-27T00:00:00"/>
    <n v="845"/>
    <x v="14"/>
    <s v="East"/>
    <s v="Major Market"/>
    <s v="Beans"/>
    <s v="Espresso"/>
    <s v="Caffe Mocha"/>
    <s v="Regular"/>
    <n v="3142"/>
    <n v="113"/>
    <x v="187"/>
    <n v="125"/>
    <n v="146"/>
    <n v="-202"/>
    <n v="-2.9275000000000002"/>
    <n v="50"/>
    <n v="110"/>
    <n v="-170"/>
    <n v="-3.4"/>
  </r>
  <r>
    <d v="2024-05-27T00:00:00"/>
    <n v="641"/>
    <x v="17"/>
    <s v="Central"/>
    <s v="Small Market"/>
    <s v="Leaves"/>
    <s v="Tea"/>
    <s v="Earl Grey"/>
    <s v="Regular"/>
    <n v="1784"/>
    <n v="93"/>
    <x v="188"/>
    <n v="245"/>
    <n v="127"/>
    <n v="257"/>
    <n v="0.44230000000000003"/>
    <n v="450"/>
    <n v="200"/>
    <n v="130"/>
    <n v="0.28889999999999999"/>
  </r>
  <r>
    <d v="2024-05-27T00:00:00"/>
    <n v="775"/>
    <x v="8"/>
    <s v="West"/>
    <s v="Small Market"/>
    <s v="Leaves"/>
    <s v="Herbal Tea"/>
    <s v="Mint"/>
    <s v="Decaf"/>
    <n v="789"/>
    <n v="39"/>
    <x v="38"/>
    <n v="122"/>
    <n v="62"/>
    <n v="169"/>
    <n v="0.53139999999999998"/>
    <n v="240"/>
    <n v="90"/>
    <n v="130"/>
    <n v="0.54169999999999996"/>
  </r>
  <r>
    <d v="2024-05-28T00:00:00"/>
    <n v="319"/>
    <x v="17"/>
    <s v="Central"/>
    <s v="Small Market"/>
    <s v="Leaves"/>
    <s v="Herbal Tea"/>
    <s v="Chamomile"/>
    <s v="Decaf"/>
    <n v="1662"/>
    <n v="84"/>
    <x v="91"/>
    <n v="257"/>
    <n v="117"/>
    <n v="332"/>
    <n v="0.5212"/>
    <n v="480"/>
    <n v="200"/>
    <n v="210"/>
    <n v="0.4375"/>
  </r>
  <r>
    <d v="2024-05-28T00:00:00"/>
    <n v="530"/>
    <x v="7"/>
    <s v="West"/>
    <s v="Major Market"/>
    <s v="Beans"/>
    <s v="Espresso"/>
    <s v="Caffe Mocha"/>
    <s v="Regular"/>
    <n v="940"/>
    <n v="122"/>
    <x v="63"/>
    <n v="135"/>
    <n v="156"/>
    <n v="46"/>
    <n v="0.1341"/>
    <n v="310"/>
    <n v="130"/>
    <n v="40"/>
    <n v="0.129"/>
  </r>
  <r>
    <d v="2024-06-01T00:00:00"/>
    <n v="430"/>
    <x v="10"/>
    <s v="South"/>
    <s v="Major Market"/>
    <s v="Leaves"/>
    <s v="Herbal Tea"/>
    <s v="Lemon"/>
    <s v="Decaf"/>
    <n v="435"/>
    <n v="13"/>
    <x v="189"/>
    <n v="41"/>
    <n v="36"/>
    <n v="36"/>
    <n v="0.33329999999999999"/>
    <n v="90"/>
    <n v="30"/>
    <n v="30"/>
    <n v="0.33329999999999999"/>
  </r>
  <r>
    <d v="2024-06-01T00:00:00"/>
    <n v="234"/>
    <x v="12"/>
    <s v="Central"/>
    <s v="Major Market"/>
    <s v="Beans"/>
    <s v="Coffee"/>
    <s v="Decaf Irish Cream"/>
    <s v="Decaf"/>
    <n v="503"/>
    <n v="46"/>
    <x v="174"/>
    <n v="51"/>
    <n v="76"/>
    <n v="-7"/>
    <n v="-5.3800000000000001E-2"/>
    <n v="110"/>
    <n v="40"/>
    <n v="30"/>
    <n v="0.2727"/>
  </r>
  <r>
    <d v="2024-06-02T00:00:00"/>
    <n v="213"/>
    <x v="7"/>
    <s v="West"/>
    <s v="Major Market"/>
    <s v="Leaves"/>
    <s v="Herbal Tea"/>
    <s v="Lemon"/>
    <s v="Decaf"/>
    <n v="1272"/>
    <n v="69"/>
    <x v="155"/>
    <n v="225"/>
    <n v="91"/>
    <n v="174"/>
    <n v="0.35510000000000003"/>
    <n v="450"/>
    <n v="210"/>
    <n v="160"/>
    <n v="0.35560000000000003"/>
  </r>
  <r>
    <d v="2024-06-03T00:00:00"/>
    <n v="505"/>
    <x v="3"/>
    <s v="South"/>
    <s v="Small Market"/>
    <s v="Beans"/>
    <s v="Coffee"/>
    <s v="Decaf Irish Cream"/>
    <s v="Decaf"/>
    <n v="1804"/>
    <n v="25"/>
    <x v="139"/>
    <n v="82"/>
    <n v="48"/>
    <n v="-8"/>
    <n v="-6.5600000000000006E-2"/>
    <n v="140"/>
    <n v="90"/>
    <n v="10"/>
    <n v="7.1400000000000005E-2"/>
  </r>
  <r>
    <d v="2024-06-03T00:00:00"/>
    <n v="505"/>
    <x v="3"/>
    <s v="South"/>
    <s v="Small Market"/>
    <s v="Beans"/>
    <s v="Espresso"/>
    <s v="Caffe Mocha"/>
    <s v="Regular"/>
    <n v="325"/>
    <n v="40"/>
    <x v="153"/>
    <n v="44"/>
    <n v="69"/>
    <n v="-10"/>
    <n v="-8.8499999999999995E-2"/>
    <n v="80"/>
    <n v="30"/>
    <n v="0"/>
    <n v="0"/>
  </r>
  <r>
    <d v="2024-06-03T00:00:00"/>
    <n v="281"/>
    <x v="10"/>
    <s v="South"/>
    <s v="Major Market"/>
    <s v="Beans"/>
    <s v="Coffee"/>
    <s v="Decaf Irish Cream"/>
    <s v="Decaf"/>
    <n v="541"/>
    <n v="12"/>
    <x v="157"/>
    <n v="39"/>
    <n v="25"/>
    <n v="39"/>
    <n v="0.40629999999999999"/>
    <n v="130"/>
    <n v="40"/>
    <n v="80"/>
    <n v="0.61539999999999995"/>
  </r>
  <r>
    <d v="2024-06-03T00:00:00"/>
    <n v="909"/>
    <x v="7"/>
    <s v="West"/>
    <s v="Major Market"/>
    <s v="Beans"/>
    <s v="Coffee"/>
    <s v="Amaretto"/>
    <s v="Regular"/>
    <n v="2555"/>
    <n v="39"/>
    <x v="44"/>
    <n v="122"/>
    <n v="61"/>
    <n v="-110"/>
    <n v="-0.94830000000000003"/>
    <n v="150"/>
    <n v="170"/>
    <n v="-60"/>
    <n v="-0.4"/>
  </r>
  <r>
    <d v="2024-06-03T00:00:00"/>
    <n v="702"/>
    <x v="8"/>
    <s v="West"/>
    <s v="Small Market"/>
    <s v="Leaves"/>
    <s v="Herbal Tea"/>
    <s v="Chamomile"/>
    <s v="Decaf"/>
    <n v="940"/>
    <n v="122"/>
    <x v="63"/>
    <n v="135"/>
    <n v="155"/>
    <n v="47"/>
    <n v="0.13700000000000001"/>
    <n v="290"/>
    <n v="120"/>
    <n v="30"/>
    <n v="0.10340000000000001"/>
  </r>
  <r>
    <d v="2024-06-04T00:00:00"/>
    <n v="603"/>
    <x v="15"/>
    <s v="East"/>
    <s v="Small Market"/>
    <s v="Leaves"/>
    <s v="Tea"/>
    <s v="Green Tea"/>
    <s v="Regular"/>
    <n v="430"/>
    <n v="0"/>
    <x v="190"/>
    <n v="0"/>
    <n v="11"/>
    <n v="47"/>
    <n v="1.0217000000000001"/>
    <n v="40"/>
    <n v="0"/>
    <n v="40"/>
    <n v="1"/>
  </r>
  <r>
    <d v="2024-06-04T00:00:00"/>
    <n v="405"/>
    <x v="19"/>
    <s v="South"/>
    <s v="Small Market"/>
    <s v="Beans"/>
    <s v="Espresso"/>
    <s v="Caffe Latte"/>
    <s v="Regular"/>
    <n v="-2003"/>
    <n v="31"/>
    <x v="81"/>
    <n v="102"/>
    <n v="54"/>
    <n v="132"/>
    <n v="0.50570000000000004"/>
    <n v="180"/>
    <n v="80"/>
    <n v="60"/>
    <n v="0.33329999999999999"/>
  </r>
  <r>
    <d v="2024-06-05T00:00:00"/>
    <n v="970"/>
    <x v="1"/>
    <s v="Central"/>
    <s v="Major Market"/>
    <s v="Leaves"/>
    <s v="Herbal Tea"/>
    <s v="Lemon"/>
    <s v="Decaf"/>
    <n v="509"/>
    <n v="47"/>
    <x v="2"/>
    <n v="52"/>
    <n v="77"/>
    <n v="-6"/>
    <n v="-4.5100000000000001E-2"/>
    <n v="110"/>
    <n v="40"/>
    <n v="10"/>
    <n v="9.0899999999999995E-2"/>
  </r>
  <r>
    <d v="2024-06-05T00:00:00"/>
    <n v="505"/>
    <x v="3"/>
    <s v="South"/>
    <s v="Small Market"/>
    <s v="Beans"/>
    <s v="Coffee"/>
    <s v="Colombian"/>
    <s v="Regular"/>
    <n v="462"/>
    <n v="15"/>
    <x v="174"/>
    <n v="48"/>
    <n v="47"/>
    <n v="40"/>
    <n v="0.30769999999999997"/>
    <n v="140"/>
    <n v="50"/>
    <n v="50"/>
    <n v="0.35709999999999997"/>
  </r>
  <r>
    <d v="2024-06-06T00:00:00"/>
    <n v="319"/>
    <x v="17"/>
    <s v="Central"/>
    <s v="Small Market"/>
    <s v="Beans"/>
    <s v="Espresso"/>
    <s v="Caffe Mocha"/>
    <s v="Regular"/>
    <n v="800"/>
    <n v="6"/>
    <x v="118"/>
    <n v="23"/>
    <n v="17"/>
    <n v="18"/>
    <n v="0.31030000000000002"/>
    <n v="70"/>
    <n v="20"/>
    <n v="50"/>
    <n v="0.71430000000000005"/>
  </r>
  <r>
    <d v="2024-06-06T00:00:00"/>
    <n v="603"/>
    <x v="15"/>
    <s v="East"/>
    <s v="Small Market"/>
    <s v="Beans"/>
    <s v="Espresso"/>
    <s v="Regular Espresso"/>
    <s v="Regular"/>
    <n v="209"/>
    <n v="9"/>
    <x v="166"/>
    <n v="25"/>
    <n v="43"/>
    <n v="-12"/>
    <n v="-0.21429999999999999"/>
    <n v="40"/>
    <n v="10"/>
    <n v="10"/>
    <n v="0.25"/>
  </r>
  <r>
    <d v="2024-06-06T00:00:00"/>
    <n v="405"/>
    <x v="19"/>
    <s v="South"/>
    <s v="Small Market"/>
    <s v="Beans"/>
    <s v="Espresso"/>
    <s v="Caffe Mocha"/>
    <s v="Regular"/>
    <n v="480"/>
    <n v="5"/>
    <x v="17"/>
    <n v="21"/>
    <n v="17"/>
    <n v="15"/>
    <n v="0.28299999999999997"/>
    <n v="30"/>
    <n v="0"/>
    <n v="30"/>
    <n v="1"/>
  </r>
  <r>
    <d v="2024-06-06T00:00:00"/>
    <n v="573"/>
    <x v="6"/>
    <s v="Central"/>
    <s v="Small Market"/>
    <s v="Beans"/>
    <s v="Coffee"/>
    <s v="Colombian"/>
    <s v="Regular"/>
    <n v="601"/>
    <n v="31"/>
    <x v="58"/>
    <n v="82"/>
    <n v="64"/>
    <n v="38"/>
    <n v="0.20649999999999999"/>
    <n v="180"/>
    <n v="80"/>
    <n v="40"/>
    <n v="0.22220000000000001"/>
  </r>
  <r>
    <d v="2024-06-07T00:00:00"/>
    <n v="475"/>
    <x v="18"/>
    <s v="East"/>
    <s v="Small Market"/>
    <s v="Beans"/>
    <s v="Espresso"/>
    <s v="Caffe Mocha"/>
    <s v="Regular"/>
    <n v="627"/>
    <n v="49"/>
    <x v="30"/>
    <n v="55"/>
    <n v="78"/>
    <n v="-2"/>
    <n v="-1.5299999999999999E-2"/>
    <n v="120"/>
    <n v="50"/>
    <n v="10"/>
    <n v="8.3299999999999999E-2"/>
  </r>
  <r>
    <d v="2024-06-07T00:00:00"/>
    <n v="435"/>
    <x v="13"/>
    <s v="West"/>
    <s v="Small Market"/>
    <s v="Leaves"/>
    <s v="Herbal Tea"/>
    <s v="Chamomile"/>
    <s v="Decaf"/>
    <n v="327"/>
    <n v="16"/>
    <x v="117"/>
    <n v="52"/>
    <n v="39"/>
    <n v="36"/>
    <n v="0.28349999999999997"/>
    <n v="110"/>
    <n v="40"/>
    <n v="40"/>
    <n v="0.36359999999999998"/>
  </r>
  <r>
    <d v="2024-06-07T00:00:00"/>
    <n v="775"/>
    <x v="8"/>
    <s v="West"/>
    <s v="Small Market"/>
    <s v="Beans"/>
    <s v="Espresso"/>
    <s v="Decaf Espresso"/>
    <s v="Decaf"/>
    <n v="802"/>
    <n v="6"/>
    <x v="166"/>
    <n v="22"/>
    <n v="17"/>
    <n v="17"/>
    <n v="0.30359999999999998"/>
    <n v="50"/>
    <n v="20"/>
    <n v="20"/>
    <n v="0.4"/>
  </r>
  <r>
    <d v="2024-06-07T00:00:00"/>
    <n v="702"/>
    <x v="8"/>
    <s v="West"/>
    <s v="Small Market"/>
    <s v="Leaves"/>
    <s v="Herbal Tea"/>
    <s v="Chamomile"/>
    <s v="Decaf"/>
    <n v="912"/>
    <n v="109"/>
    <x v="12"/>
    <n v="121"/>
    <n v="142"/>
    <n v="39"/>
    <n v="0.12659999999999999"/>
    <n v="260"/>
    <n v="110"/>
    <n v="20"/>
    <n v="7.6899999999999996E-2"/>
  </r>
  <r>
    <d v="2024-06-09T00:00:00"/>
    <n v="314"/>
    <x v="6"/>
    <s v="Central"/>
    <s v="Small Market"/>
    <s v="Leaves"/>
    <s v="Tea"/>
    <s v="Green Tea"/>
    <s v="Regular"/>
    <n v="243"/>
    <n v="12"/>
    <x v="171"/>
    <n v="33"/>
    <n v="45"/>
    <n v="-6"/>
    <n v="-7.5899999999999995E-2"/>
    <n v="60"/>
    <n v="20"/>
    <n v="0"/>
    <n v="0"/>
  </r>
  <r>
    <d v="2024-06-09T00:00:00"/>
    <n v="435"/>
    <x v="13"/>
    <s v="West"/>
    <s v="Small Market"/>
    <s v="Leaves"/>
    <s v="Herbal Tea"/>
    <s v="Lemon"/>
    <s v="Decaf"/>
    <n v="462"/>
    <n v="15"/>
    <x v="174"/>
    <n v="48"/>
    <n v="46"/>
    <n v="42"/>
    <n v="0.3231"/>
    <n v="110"/>
    <n v="40"/>
    <n v="40"/>
    <n v="0.36359999999999998"/>
  </r>
  <r>
    <d v="2024-06-10T00:00:00"/>
    <n v="203"/>
    <x v="18"/>
    <s v="East"/>
    <s v="Small Market"/>
    <s v="Leaves"/>
    <s v="Tea"/>
    <s v="Green Tea"/>
    <s v="Regular"/>
    <n v="809"/>
    <n v="10"/>
    <x v="162"/>
    <n v="36"/>
    <n v="21"/>
    <n v="33"/>
    <n v="0.36670000000000003"/>
    <n v="90"/>
    <n v="30"/>
    <n v="40"/>
    <n v="0.44440000000000002"/>
  </r>
  <r>
    <d v="2024-06-10T00:00:00"/>
    <n v="970"/>
    <x v="1"/>
    <s v="Central"/>
    <s v="Major Market"/>
    <s v="Leaves"/>
    <s v="Herbal Tea"/>
    <s v="Mint"/>
    <s v="Decaf"/>
    <n v="405"/>
    <n v="17"/>
    <x v="30"/>
    <n v="52"/>
    <n v="45"/>
    <n v="39"/>
    <n v="0.29770000000000002"/>
    <n v="90"/>
    <n v="30"/>
    <n v="50"/>
    <n v="0.55559999999999998"/>
  </r>
  <r>
    <d v="2024-06-10T00:00:00"/>
    <n v="775"/>
    <x v="8"/>
    <s v="West"/>
    <s v="Small Market"/>
    <s v="Beans"/>
    <s v="Coffee"/>
    <s v="Decaf Irish Cream"/>
    <s v="Decaf"/>
    <n v="1000"/>
    <n v="9"/>
    <x v="3"/>
    <n v="31"/>
    <n v="30"/>
    <n v="10"/>
    <n v="0.1389"/>
    <n v="90"/>
    <n v="30"/>
    <n v="50"/>
    <n v="0.55559999999999998"/>
  </r>
  <r>
    <d v="2024-06-10T00:00:00"/>
    <n v="641"/>
    <x v="17"/>
    <s v="Central"/>
    <s v="Small Market"/>
    <s v="Beans"/>
    <s v="Coffee"/>
    <s v="Colombian"/>
    <s v="Regular"/>
    <n v="1009"/>
    <n v="9"/>
    <x v="7"/>
    <n v="31"/>
    <n v="30"/>
    <n v="12"/>
    <n v="0.16220000000000001"/>
    <n v="60"/>
    <n v="30"/>
    <n v="10"/>
    <n v="0.16669999999999999"/>
  </r>
  <r>
    <d v="2024-06-10T00:00:00"/>
    <n v="580"/>
    <x v="19"/>
    <s v="South"/>
    <s v="Small Market"/>
    <s v="Beans"/>
    <s v="Coffee"/>
    <s v="Colombian"/>
    <s v="Regular"/>
    <n v="551"/>
    <n v="26"/>
    <x v="108"/>
    <n v="81"/>
    <n v="38"/>
    <n v="98"/>
    <n v="0.4975"/>
    <n v="220"/>
    <n v="90"/>
    <n v="100"/>
    <n v="0.45450000000000002"/>
  </r>
  <r>
    <d v="2024-06-11T00:00:00"/>
    <n v="617"/>
    <x v="11"/>
    <s v="East"/>
    <s v="Major Market"/>
    <s v="Leaves"/>
    <s v="Tea"/>
    <s v="Darjeeling"/>
    <s v="Regular"/>
    <n v="870"/>
    <n v="9"/>
    <x v="74"/>
    <n v="33"/>
    <n v="20"/>
    <n v="29"/>
    <n v="0.35370000000000001"/>
    <n v="80"/>
    <n v="30"/>
    <n v="40"/>
    <n v="0.5"/>
  </r>
  <r>
    <d v="2024-06-11T00:00:00"/>
    <n v="614"/>
    <x v="12"/>
    <s v="Central"/>
    <s v="Major Market"/>
    <s v="Beans"/>
    <s v="Coffee"/>
    <s v="Colombian"/>
    <s v="Regular"/>
    <n v="424"/>
    <n v="14"/>
    <x v="13"/>
    <n v="46"/>
    <n v="36"/>
    <n v="32"/>
    <n v="0.28070000000000001"/>
    <n v="110"/>
    <n v="40"/>
    <n v="40"/>
    <n v="0.36359999999999998"/>
  </r>
  <r>
    <d v="2024-06-11T00:00:00"/>
    <n v="503"/>
    <x v="9"/>
    <s v="West"/>
    <s v="Small Market"/>
    <s v="Beans"/>
    <s v="Coffee"/>
    <s v="Amaretto"/>
    <s v="Regular"/>
    <n v="521"/>
    <n v="42"/>
    <x v="22"/>
    <n v="47"/>
    <n v="72"/>
    <n v="-7"/>
    <n v="-6.25E-2"/>
    <n v="130"/>
    <n v="50"/>
    <n v="20"/>
    <n v="0.15379999999999999"/>
  </r>
  <r>
    <d v="2024-06-11T00:00:00"/>
    <n v="815"/>
    <x v="2"/>
    <s v="Central"/>
    <s v="Major Market"/>
    <s v="Leaves"/>
    <s v="Tea"/>
    <s v="Earl Grey"/>
    <s v="Regular"/>
    <n v="650"/>
    <n v="23"/>
    <x v="177"/>
    <n v="72"/>
    <n v="55"/>
    <n v="82"/>
    <n v="0.42270000000000002"/>
    <n v="130"/>
    <n v="50"/>
    <n v="50"/>
    <n v="0.3846"/>
  </r>
  <r>
    <d v="2024-06-11T00:00:00"/>
    <n v="716"/>
    <x v="14"/>
    <s v="East"/>
    <s v="Major Market"/>
    <s v="Leaves"/>
    <s v="Herbal Tea"/>
    <s v="Mint"/>
    <s v="Decaf"/>
    <n v="5121"/>
    <n v="74"/>
    <x v="164"/>
    <n v="241"/>
    <n v="96"/>
    <n v="-189"/>
    <n v="-1.2769999999999999"/>
    <n v="100"/>
    <n v="180"/>
    <n v="-150"/>
    <n v="-1.5"/>
  </r>
  <r>
    <d v="2024-06-11T00:00:00"/>
    <n v="209"/>
    <x v="7"/>
    <s v="West"/>
    <s v="Major Market"/>
    <s v="Beans"/>
    <s v="Espresso"/>
    <s v="Decaf Espresso"/>
    <s v="Decaf"/>
    <n v="1744"/>
    <n v="81"/>
    <x v="55"/>
    <n v="247"/>
    <n v="113"/>
    <n v="216"/>
    <n v="0.375"/>
    <n v="550"/>
    <n v="240"/>
    <n v="210"/>
    <n v="0.38179999999999997"/>
  </r>
  <r>
    <d v="2024-06-11T00:00:00"/>
    <n v="541"/>
    <x v="9"/>
    <s v="West"/>
    <s v="Small Market"/>
    <s v="Leaves"/>
    <s v="Herbal Tea"/>
    <s v="Lemon"/>
    <s v="Decaf"/>
    <n v="551"/>
    <n v="26"/>
    <x v="42"/>
    <n v="81"/>
    <n v="38"/>
    <n v="66"/>
    <n v="0.35680000000000001"/>
    <n v="170"/>
    <n v="70"/>
    <n v="70"/>
    <n v="0.4118"/>
  </r>
  <r>
    <d v="2024-06-12T00:00:00"/>
    <n v="360"/>
    <x v="5"/>
    <s v="West"/>
    <s v="Small Market"/>
    <s v="Leaves"/>
    <s v="Tea"/>
    <s v="Green Tea"/>
    <s v="Regular"/>
    <n v="627"/>
    <n v="49"/>
    <x v="30"/>
    <n v="55"/>
    <n v="79"/>
    <n v="-3"/>
    <n v="-2.29E-2"/>
    <n v="90"/>
    <n v="40"/>
    <n v="-10"/>
    <n v="-0.1111"/>
  </r>
  <r>
    <d v="2024-06-12T00:00:00"/>
    <n v="832"/>
    <x v="10"/>
    <s v="South"/>
    <s v="Major Market"/>
    <s v="Beans"/>
    <s v="Espresso"/>
    <s v="Caffe Latte"/>
    <s v="Regular"/>
    <n v="-868"/>
    <n v="23"/>
    <x v="68"/>
    <n v="72"/>
    <n v="55"/>
    <n v="55"/>
    <n v="0.30220000000000002"/>
    <n v="110"/>
    <n v="40"/>
    <n v="50"/>
    <n v="0.45450000000000002"/>
  </r>
  <r>
    <d v="2024-06-12T00:00:00"/>
    <n v="203"/>
    <x v="18"/>
    <s v="East"/>
    <s v="Small Market"/>
    <s v="Beans"/>
    <s v="Espresso"/>
    <s v="Caffe Mocha"/>
    <s v="Regular"/>
    <n v="627"/>
    <n v="49"/>
    <x v="4"/>
    <n v="55"/>
    <n v="78"/>
    <n v="-3"/>
    <n v="-2.1399999999999999E-2"/>
    <n v="120"/>
    <n v="50"/>
    <n v="10"/>
    <n v="8.3299999999999999E-2"/>
  </r>
  <r>
    <d v="2024-06-14T00:00:00"/>
    <n v="435"/>
    <x v="13"/>
    <s v="West"/>
    <s v="Small Market"/>
    <s v="Leaves"/>
    <s v="Herbal Tea"/>
    <s v="Mint"/>
    <s v="Decaf"/>
    <n v="1898"/>
    <n v="28"/>
    <x v="127"/>
    <n v="92"/>
    <n v="51"/>
    <n v="25"/>
    <n v="0.1462"/>
    <n v="140"/>
    <n v="80"/>
    <n v="20"/>
    <n v="0.1429"/>
  </r>
  <r>
    <d v="2024-06-14T00:00:00"/>
    <n v="573"/>
    <x v="6"/>
    <s v="Central"/>
    <s v="Small Market"/>
    <s v="Beans"/>
    <s v="Espresso"/>
    <s v="Caffe Mocha"/>
    <s v="Regular"/>
    <n v="881"/>
    <n v="11"/>
    <x v="110"/>
    <n v="40"/>
    <n v="23"/>
    <n v="53"/>
    <n v="0.5"/>
    <n v="140"/>
    <n v="50"/>
    <n v="90"/>
    <n v="0.64290000000000003"/>
  </r>
  <r>
    <d v="2024-06-14T00:00:00"/>
    <n v="714"/>
    <x v="7"/>
    <s v="West"/>
    <s v="Major Market"/>
    <s v="Beans"/>
    <s v="Espresso"/>
    <s v="Decaf Espresso"/>
    <s v="Decaf"/>
    <n v="1662"/>
    <n v="84"/>
    <x v="185"/>
    <n v="257"/>
    <n v="116"/>
    <n v="225"/>
    <n v="0.37630000000000002"/>
    <n v="550"/>
    <n v="230"/>
    <n v="240"/>
    <n v="0.43640000000000001"/>
  </r>
  <r>
    <d v="2024-06-15T00:00:00"/>
    <n v="339"/>
    <x v="11"/>
    <s v="East"/>
    <s v="Major Market"/>
    <s v="Beans"/>
    <s v="Espresso"/>
    <s v="Caffe Mocha"/>
    <s v="Regular"/>
    <n v="554"/>
    <n v="47"/>
    <x v="0"/>
    <n v="52"/>
    <n v="76"/>
    <n v="-12"/>
    <n v="-9.3799999999999994E-2"/>
    <n v="110"/>
    <n v="50"/>
    <n v="0"/>
    <n v="0"/>
  </r>
  <r>
    <d v="2024-06-15T00:00:00"/>
    <n v="262"/>
    <x v="0"/>
    <s v="Central"/>
    <s v="Small Market"/>
    <s v="Leaves"/>
    <s v="Herbal Tea"/>
    <s v="Chamomile"/>
    <s v="Decaf"/>
    <n v="321"/>
    <n v="16"/>
    <x v="182"/>
    <n v="53"/>
    <n v="40"/>
    <n v="71"/>
    <n v="0.4733"/>
    <n v="130"/>
    <n v="50"/>
    <n v="50"/>
    <n v="0.3846"/>
  </r>
  <r>
    <d v="2024-06-16T00:00:00"/>
    <n v="541"/>
    <x v="9"/>
    <s v="West"/>
    <s v="Small Market"/>
    <s v="Leaves"/>
    <s v="Tea"/>
    <s v="Darjeeling"/>
    <s v="Regular"/>
    <n v="482"/>
    <n v="8"/>
    <x v="21"/>
    <n v="32"/>
    <n v="20"/>
    <n v="28"/>
    <n v="0.35"/>
    <n v="50"/>
    <n v="20"/>
    <n v="30"/>
    <n v="0.6"/>
  </r>
  <r>
    <d v="2024-06-16T00:00:00"/>
    <n v="405"/>
    <x v="19"/>
    <s v="South"/>
    <s v="Small Market"/>
    <s v="Beans"/>
    <s v="Espresso"/>
    <s v="Decaf Espresso"/>
    <s v="Decaf"/>
    <n v="788"/>
    <n v="27"/>
    <x v="175"/>
    <n v="82"/>
    <n v="58"/>
    <n v="96"/>
    <n v="0.44040000000000001"/>
    <n v="130"/>
    <n v="50"/>
    <n v="60"/>
    <n v="0.46150000000000002"/>
  </r>
  <r>
    <d v="2024-06-17T00:00:00"/>
    <n v="603"/>
    <x v="15"/>
    <s v="East"/>
    <s v="Small Market"/>
    <s v="Beans"/>
    <s v="Espresso"/>
    <s v="Regular Espresso"/>
    <s v="Regular"/>
    <n v="211"/>
    <n v="12"/>
    <x v="159"/>
    <n v="34"/>
    <n v="45"/>
    <n v="-3"/>
    <n v="-3.95E-2"/>
    <n v="70"/>
    <n v="30"/>
    <n v="0"/>
    <n v="0"/>
  </r>
  <r>
    <d v="2024-06-18T00:00:00"/>
    <n v="254"/>
    <x v="10"/>
    <s v="South"/>
    <s v="Major Market"/>
    <s v="Beans"/>
    <s v="Espresso"/>
    <s v="Caffe Mocha"/>
    <s v="Regular"/>
    <n v="959"/>
    <n v="34"/>
    <x v="34"/>
    <n v="123"/>
    <n v="46"/>
    <n v="197"/>
    <n v="0.61180000000000001"/>
    <n v="230"/>
    <n v="90"/>
    <n v="110"/>
    <n v="0.4783"/>
  </r>
  <r>
    <d v="2024-06-18T00:00:00"/>
    <n v="716"/>
    <x v="14"/>
    <s v="East"/>
    <s v="Major Market"/>
    <s v="Beans"/>
    <s v="Coffee"/>
    <s v="Colombian"/>
    <s v="Regular"/>
    <n v="2548"/>
    <n v="91"/>
    <x v="191"/>
    <n v="260"/>
    <n v="143"/>
    <n v="367"/>
    <n v="0.52959999999999996"/>
    <n v="540"/>
    <n v="210"/>
    <n v="230"/>
    <n v="0.4259"/>
  </r>
  <r>
    <d v="2024-06-18T00:00:00"/>
    <n v="573"/>
    <x v="6"/>
    <s v="Central"/>
    <s v="Small Market"/>
    <s v="Beans"/>
    <s v="Coffee"/>
    <s v="Colombian"/>
    <s v="Regular"/>
    <n v="601"/>
    <n v="31"/>
    <x v="82"/>
    <n v="82"/>
    <n v="64"/>
    <n v="56"/>
    <n v="0.28570000000000001"/>
    <n v="180"/>
    <n v="80"/>
    <n v="40"/>
    <n v="0.22220000000000001"/>
  </r>
  <r>
    <d v="2024-06-19T00:00:00"/>
    <n v="435"/>
    <x v="13"/>
    <s v="West"/>
    <s v="Small Market"/>
    <s v="Leaves"/>
    <s v="Tea"/>
    <s v="Earl Grey"/>
    <s v="Regular"/>
    <n v="244"/>
    <n v="12"/>
    <x v="71"/>
    <n v="39"/>
    <n v="39"/>
    <n v="21"/>
    <n v="0.21429999999999999"/>
    <n v="40"/>
    <n v="10"/>
    <n v="20"/>
    <n v="0.5"/>
  </r>
  <r>
    <d v="2024-06-19T00:00:00"/>
    <n v="515"/>
    <x v="17"/>
    <s v="Central"/>
    <s v="Small Market"/>
    <s v="Leaves"/>
    <s v="Herbal Tea"/>
    <s v="Lemon"/>
    <s v="Decaf"/>
    <n v="830"/>
    <n v="40"/>
    <x v="192"/>
    <n v="127"/>
    <n v="62"/>
    <n v="183"/>
    <n v="0.55120000000000002"/>
    <n v="290"/>
    <n v="120"/>
    <n v="120"/>
    <n v="0.4138"/>
  </r>
  <r>
    <d v="2024-06-20T00:00:00"/>
    <n v="860"/>
    <x v="18"/>
    <s v="East"/>
    <s v="Small Market"/>
    <s v="Beans"/>
    <s v="Espresso"/>
    <s v="Decaf Espresso"/>
    <s v="Decaf"/>
    <n v="375"/>
    <n v="15"/>
    <x v="193"/>
    <n v="47"/>
    <n v="43"/>
    <n v="21"/>
    <n v="0.18920000000000001"/>
    <n v="90"/>
    <n v="30"/>
    <n v="50"/>
    <n v="0.55559999999999998"/>
  </r>
  <r>
    <d v="2024-06-20T00:00:00"/>
    <n v="860"/>
    <x v="18"/>
    <s v="East"/>
    <s v="Small Market"/>
    <s v="Leaves"/>
    <s v="Herbal Tea"/>
    <s v="Lemon"/>
    <s v="Decaf"/>
    <n v="601"/>
    <n v="31"/>
    <x v="58"/>
    <n v="82"/>
    <n v="64"/>
    <n v="38"/>
    <n v="0.20649999999999999"/>
    <n v="130"/>
    <n v="60"/>
    <n v="30"/>
    <n v="0.23080000000000001"/>
  </r>
  <r>
    <d v="2024-06-20T00:00:00"/>
    <n v="702"/>
    <x v="8"/>
    <s v="West"/>
    <s v="Small Market"/>
    <s v="Leaves"/>
    <s v="Herbal Tea"/>
    <s v="Lemon"/>
    <s v="Decaf"/>
    <n v="1150"/>
    <n v="57"/>
    <x v="194"/>
    <n v="173"/>
    <n v="101"/>
    <n v="138"/>
    <n v="0.33500000000000002"/>
    <n v="380"/>
    <n v="160"/>
    <n v="130"/>
    <n v="0.34210000000000002"/>
  </r>
  <r>
    <d v="2024-06-20T00:00:00"/>
    <n v="971"/>
    <x v="9"/>
    <s v="West"/>
    <s v="Small Market"/>
    <s v="Beans"/>
    <s v="Espresso"/>
    <s v="Decaf Espresso"/>
    <s v="Decaf"/>
    <n v="1319"/>
    <n v="42"/>
    <x v="109"/>
    <n v="153"/>
    <n v="66"/>
    <n v="129"/>
    <n v="0.3957"/>
    <n v="290"/>
    <n v="150"/>
    <n v="80"/>
    <n v="0.27589999999999998"/>
  </r>
  <r>
    <d v="2024-06-21T00:00:00"/>
    <n v="210"/>
    <x v="10"/>
    <s v="South"/>
    <s v="Major Market"/>
    <s v="Beans"/>
    <s v="Espresso"/>
    <s v="Decaf Espresso"/>
    <s v="Decaf"/>
    <n v="589"/>
    <n v="14"/>
    <x v="57"/>
    <n v="50"/>
    <n v="25"/>
    <n v="48"/>
    <n v="0.39019999999999999"/>
    <n v="90"/>
    <n v="30"/>
    <n v="40"/>
    <n v="0.44440000000000002"/>
  </r>
  <r>
    <d v="2024-06-21T00:00:00"/>
    <n v="303"/>
    <x v="1"/>
    <s v="Central"/>
    <s v="Major Market"/>
    <s v="Leaves"/>
    <s v="Tea"/>
    <s v="Darjeeling"/>
    <s v="Regular"/>
    <n v="422"/>
    <n v="17"/>
    <x v="18"/>
    <n v="46"/>
    <n v="51"/>
    <n v="6"/>
    <n v="5.8299999999999998E-2"/>
    <n v="80"/>
    <n v="30"/>
    <n v="10"/>
    <n v="0.125"/>
  </r>
  <r>
    <d v="2024-06-22T00:00:00"/>
    <n v="660"/>
    <x v="6"/>
    <s v="Central"/>
    <s v="Small Market"/>
    <s v="Beans"/>
    <s v="Coffee"/>
    <s v="Decaf Irish Cream"/>
    <s v="Decaf"/>
    <n v="1053"/>
    <n v="20"/>
    <x v="146"/>
    <n v="65"/>
    <n v="42"/>
    <n v="35"/>
    <n v="0.2465"/>
    <n v="130"/>
    <n v="50"/>
    <n v="70"/>
    <n v="0.53849999999999998"/>
  </r>
  <r>
    <d v="2024-06-22T00:00:00"/>
    <n v="712"/>
    <x v="17"/>
    <s v="Central"/>
    <s v="Small Market"/>
    <s v="Leaves"/>
    <s v="Herbal Tea"/>
    <s v="Chamomile"/>
    <s v="Decaf"/>
    <n v="1691"/>
    <n v="75"/>
    <x v="195"/>
    <n v="228"/>
    <n v="108"/>
    <n v="196"/>
    <n v="0.36840000000000001"/>
    <n v="490"/>
    <n v="210"/>
    <n v="180"/>
    <n v="0.36730000000000002"/>
  </r>
  <r>
    <d v="2024-06-23T00:00:00"/>
    <n v="435"/>
    <x v="13"/>
    <s v="West"/>
    <s v="Small Market"/>
    <s v="Beans"/>
    <s v="Espresso"/>
    <s v="Caffe Latte"/>
    <s v="Regular"/>
    <n v="833"/>
    <n v="8"/>
    <x v="180"/>
    <n v="32"/>
    <n v="19"/>
    <n v="42"/>
    <n v="0.5"/>
    <n v="60"/>
    <n v="20"/>
    <n v="40"/>
    <n v="0.66669999999999996"/>
  </r>
  <r>
    <d v="2024-06-23T00:00:00"/>
    <n v="914"/>
    <x v="14"/>
    <s v="East"/>
    <s v="Major Market"/>
    <s v="Beans"/>
    <s v="Espresso"/>
    <s v="Caffe Mocha"/>
    <s v="Regular"/>
    <n v="3142"/>
    <n v="113"/>
    <x v="7"/>
    <n v="125"/>
    <n v="146"/>
    <n v="-300"/>
    <n v="-4.0541"/>
    <n v="50"/>
    <n v="110"/>
    <n v="-170"/>
    <n v="-3.4"/>
  </r>
  <r>
    <d v="2024-06-23T00:00:00"/>
    <n v="530"/>
    <x v="7"/>
    <s v="West"/>
    <s v="Major Market"/>
    <s v="Beans"/>
    <s v="Espresso"/>
    <s v="Caffe Mocha"/>
    <s v="Regular"/>
    <n v="940"/>
    <n v="122"/>
    <x v="34"/>
    <n v="135"/>
    <n v="156"/>
    <n v="31"/>
    <n v="9.6299999999999997E-2"/>
    <n v="310"/>
    <n v="130"/>
    <n v="40"/>
    <n v="0.129"/>
  </r>
  <r>
    <d v="2024-06-23T00:00:00"/>
    <n v="503"/>
    <x v="9"/>
    <s v="West"/>
    <s v="Small Market"/>
    <s v="Beans"/>
    <s v="Espresso"/>
    <s v="Decaf Espresso"/>
    <s v="Decaf"/>
    <n v="1267"/>
    <n v="45"/>
    <x v="63"/>
    <n v="161"/>
    <n v="70"/>
    <n v="135"/>
    <n v="0.39360000000000001"/>
    <n v="290"/>
    <n v="140"/>
    <n v="110"/>
    <n v="0.37930000000000003"/>
  </r>
  <r>
    <d v="2024-06-24T00:00:00"/>
    <n v="712"/>
    <x v="17"/>
    <s v="Central"/>
    <s v="Small Market"/>
    <s v="Leaves"/>
    <s v="Herbal Tea"/>
    <s v="Chamomile"/>
    <s v="Decaf"/>
    <n v="1662"/>
    <n v="84"/>
    <x v="185"/>
    <n v="257"/>
    <n v="117"/>
    <n v="224"/>
    <n v="0.37459999999999999"/>
    <n v="480"/>
    <n v="200"/>
    <n v="210"/>
    <n v="0.4375"/>
  </r>
  <r>
    <d v="2024-06-24T00:00:00"/>
    <n v="775"/>
    <x v="8"/>
    <s v="West"/>
    <s v="Small Market"/>
    <s v="Leaves"/>
    <s v="Tea"/>
    <s v="Darjeeling"/>
    <s v="Regular"/>
    <n v="1662"/>
    <n v="84"/>
    <x v="91"/>
    <n v="257"/>
    <n v="117"/>
    <n v="332"/>
    <n v="0.5212"/>
    <n v="290"/>
    <n v="110"/>
    <n v="130"/>
    <n v="0.44829999999999998"/>
  </r>
  <r>
    <d v="2024-06-25T00:00:00"/>
    <n v="816"/>
    <x v="6"/>
    <s v="Central"/>
    <s v="Small Market"/>
    <s v="Beans"/>
    <s v="Coffee"/>
    <s v="Colombian"/>
    <s v="Regular"/>
    <n v="593"/>
    <n v="30"/>
    <x v="196"/>
    <n v="79"/>
    <n v="63"/>
    <n v="35"/>
    <n v="0.19769999999999999"/>
    <n v="170"/>
    <n v="70"/>
    <n v="70"/>
    <n v="0.4118"/>
  </r>
  <r>
    <d v="2024-06-26T00:00:00"/>
    <n v="708"/>
    <x v="2"/>
    <s v="Central"/>
    <s v="Major Market"/>
    <s v="Leaves"/>
    <s v="Herbal Tea"/>
    <s v="Chamomile"/>
    <s v="Decaf"/>
    <n v="915"/>
    <n v="34"/>
    <x v="34"/>
    <n v="123"/>
    <n v="46"/>
    <n v="197"/>
    <n v="0.61180000000000001"/>
    <n v="240"/>
    <n v="90"/>
    <n v="140"/>
    <n v="0.58330000000000004"/>
  </r>
  <r>
    <d v="2024-06-26T00:00:00"/>
    <n v="213"/>
    <x v="7"/>
    <s v="West"/>
    <s v="Major Market"/>
    <s v="Beans"/>
    <s v="Espresso"/>
    <s v="Decaf Espresso"/>
    <s v="Decaf"/>
    <n v="1691"/>
    <n v="75"/>
    <x v="103"/>
    <n v="228"/>
    <n v="107"/>
    <n v="292"/>
    <n v="0.51500000000000001"/>
    <n v="510"/>
    <n v="220"/>
    <n v="190"/>
    <n v="0.3725"/>
  </r>
  <r>
    <d v="2024-06-26T00:00:00"/>
    <n v="801"/>
    <x v="13"/>
    <s v="West"/>
    <s v="Small Market"/>
    <s v="Beans"/>
    <s v="Espresso"/>
    <s v="Caffe Mocha"/>
    <s v="Regular"/>
    <n v="552"/>
    <n v="33"/>
    <x v="45"/>
    <n v="101"/>
    <n v="45"/>
    <n v="126"/>
    <n v="0.51219999999999999"/>
    <n v="220"/>
    <n v="90"/>
    <n v="90"/>
    <n v="0.40910000000000002"/>
  </r>
  <r>
    <d v="2024-06-27T00:00:00"/>
    <n v="816"/>
    <x v="6"/>
    <s v="Central"/>
    <s v="Small Market"/>
    <s v="Beans"/>
    <s v="Espresso"/>
    <s v="Decaf Espresso"/>
    <s v="Decaf"/>
    <n v="844"/>
    <n v="8"/>
    <x v="74"/>
    <n v="31"/>
    <n v="19"/>
    <n v="40"/>
    <n v="0.48780000000000001"/>
    <n v="90"/>
    <n v="30"/>
    <n v="50"/>
    <n v="0.55559999999999998"/>
  </r>
  <r>
    <d v="2024-06-27T00:00:00"/>
    <n v="262"/>
    <x v="0"/>
    <s v="Central"/>
    <s v="Small Market"/>
    <s v="Leaves"/>
    <s v="Tea"/>
    <s v="Earl Grey"/>
    <s v="Regular"/>
    <n v="606"/>
    <n v="54"/>
    <x v="130"/>
    <n v="60"/>
    <n v="84"/>
    <n v="0"/>
    <n v="0"/>
    <n v="90"/>
    <n v="40"/>
    <n v="0"/>
    <n v="0"/>
  </r>
  <r>
    <d v="2024-06-27T00:00:00"/>
    <n v="641"/>
    <x v="17"/>
    <s v="Central"/>
    <s v="Small Market"/>
    <s v="Leaves"/>
    <s v="Herbal Tea"/>
    <s v="Chamomile"/>
    <s v="Decaf"/>
    <n v="1744"/>
    <n v="81"/>
    <x v="55"/>
    <n v="247"/>
    <n v="113"/>
    <n v="216"/>
    <n v="0.375"/>
    <n v="530"/>
    <n v="230"/>
    <n v="200"/>
    <n v="0.37740000000000001"/>
  </r>
  <r>
    <d v="2024-06-27T00:00:00"/>
    <n v="515"/>
    <x v="17"/>
    <s v="Central"/>
    <s v="Small Market"/>
    <s v="Leaves"/>
    <s v="Tea"/>
    <s v="Darjeeling"/>
    <s v="Regular"/>
    <n v="1755"/>
    <n v="66"/>
    <x v="133"/>
    <n v="239"/>
    <n v="90"/>
    <n v="221"/>
    <n v="0.43419999999999997"/>
    <n v="340"/>
    <n v="170"/>
    <n v="110"/>
    <n v="0.32350000000000001"/>
  </r>
  <r>
    <d v="2024-06-27T00:00:00"/>
    <n v="360"/>
    <x v="5"/>
    <s v="West"/>
    <s v="Small Market"/>
    <s v="Beans"/>
    <s v="Espresso"/>
    <s v="Decaf Espresso"/>
    <s v="Decaf"/>
    <n v="1055"/>
    <n v="24"/>
    <x v="42"/>
    <n v="80"/>
    <n v="46"/>
    <n v="71"/>
    <n v="0.38379999999999997"/>
    <n v="150"/>
    <n v="60"/>
    <n v="80"/>
    <n v="0.5333"/>
  </r>
  <r>
    <d v="2024-06-28T00:00:00"/>
    <n v="918"/>
    <x v="19"/>
    <s v="South"/>
    <s v="Small Market"/>
    <s v="Beans"/>
    <s v="Coffee"/>
    <s v="Decaf Irish Cream"/>
    <s v="Decaf"/>
    <n v="859"/>
    <n v="7"/>
    <x v="32"/>
    <n v="27"/>
    <n v="18"/>
    <n v="21"/>
    <n v="0.31819999999999998"/>
    <n v="90"/>
    <n v="30"/>
    <n v="60"/>
    <n v="0.66669999999999996"/>
  </r>
  <r>
    <d v="2024-06-28T00:00:00"/>
    <n v="508"/>
    <x v="11"/>
    <s v="East"/>
    <s v="Major Market"/>
    <s v="Leaves"/>
    <s v="Tea"/>
    <s v="Darjeeling"/>
    <s v="Regular"/>
    <n v="859"/>
    <n v="7"/>
    <x v="32"/>
    <n v="27"/>
    <n v="19"/>
    <n v="20"/>
    <n v="0.30299999999999999"/>
    <n v="70"/>
    <n v="20"/>
    <n v="50"/>
    <n v="0.71430000000000005"/>
  </r>
  <r>
    <d v="2024-06-28T00:00:00"/>
    <n v="352"/>
    <x v="16"/>
    <s v="East"/>
    <s v="Major Market"/>
    <s v="Leaves"/>
    <s v="Tea"/>
    <s v="Darjeeling"/>
    <s v="Regular"/>
    <n v="875"/>
    <n v="7"/>
    <x v="197"/>
    <n v="28"/>
    <n v="19"/>
    <n v="34"/>
    <n v="0.45329999999999998"/>
    <n v="70"/>
    <n v="20"/>
    <n v="40"/>
    <n v="0.57140000000000002"/>
  </r>
  <r>
    <d v="2024-06-28T00:00:00"/>
    <n v="970"/>
    <x v="1"/>
    <s v="Central"/>
    <s v="Major Market"/>
    <s v="Leaves"/>
    <s v="Herbal Tea"/>
    <s v="Chamomile"/>
    <s v="Decaf"/>
    <n v="1283"/>
    <n v="50"/>
    <x v="65"/>
    <n v="181"/>
    <n v="75"/>
    <n v="159"/>
    <n v="0.41089999999999999"/>
    <n v="330"/>
    <n v="170"/>
    <n v="100"/>
    <n v="0.30299999999999999"/>
  </r>
  <r>
    <d v="2024-06-28T00:00:00"/>
    <n v="206"/>
    <x v="5"/>
    <s v="West"/>
    <s v="Small Market"/>
    <s v="Leaves"/>
    <s v="Herbal Tea"/>
    <s v="Chamomile"/>
    <s v="Decaf"/>
    <n v="1134"/>
    <n v="42"/>
    <x v="98"/>
    <n v="130"/>
    <n v="73"/>
    <n v="181"/>
    <n v="0.52310000000000001"/>
    <n v="300"/>
    <n v="120"/>
    <n v="120"/>
    <n v="0.4"/>
  </r>
  <r>
    <d v="2024-06-28T00:00:00"/>
    <n v="209"/>
    <x v="7"/>
    <s v="West"/>
    <s v="Major Market"/>
    <s v="Beans"/>
    <s v="Coffee"/>
    <s v="Amaretto"/>
    <s v="Regular"/>
    <n v="2947"/>
    <n v="40"/>
    <x v="97"/>
    <n v="127"/>
    <n v="63"/>
    <n v="-131"/>
    <n v="-1.2018"/>
    <n v="120"/>
    <n v="150"/>
    <n v="-90"/>
    <n v="-0.75"/>
  </r>
  <r>
    <d v="2024-07-01T00:00:00"/>
    <n v="971"/>
    <x v="9"/>
    <s v="West"/>
    <s v="Small Market"/>
    <s v="Leaves"/>
    <s v="Herbal Tea"/>
    <s v="Lemon"/>
    <s v="Decaf"/>
    <n v="561"/>
    <n v="29"/>
    <x v="198"/>
    <n v="88"/>
    <n v="42"/>
    <n v="70"/>
    <n v="0.35"/>
    <n v="180"/>
    <n v="80"/>
    <n v="70"/>
    <n v="0.38890000000000002"/>
  </r>
  <r>
    <d v="2024-07-02T00:00:00"/>
    <n v="702"/>
    <x v="8"/>
    <s v="West"/>
    <s v="Small Market"/>
    <s v="Beans"/>
    <s v="Coffee"/>
    <s v="Decaf Irish Cream"/>
    <s v="Decaf"/>
    <n v="1009"/>
    <n v="9"/>
    <x v="187"/>
    <n v="31"/>
    <n v="30"/>
    <n v="8"/>
    <n v="0.1159"/>
    <n v="80"/>
    <n v="30"/>
    <n v="30"/>
    <n v="0.375"/>
  </r>
  <r>
    <d v="2024-07-02T00:00:00"/>
    <n v="775"/>
    <x v="8"/>
    <s v="West"/>
    <s v="Small Market"/>
    <s v="Leaves"/>
    <s v="Herbal Tea"/>
    <s v="Chamomile"/>
    <s v="Decaf"/>
    <n v="898"/>
    <n v="113"/>
    <x v="11"/>
    <n v="125"/>
    <n v="147"/>
    <n v="26"/>
    <n v="8.72E-2"/>
    <n v="240"/>
    <n v="90"/>
    <n v="60"/>
    <n v="0.25"/>
  </r>
  <r>
    <d v="2024-07-03T00:00:00"/>
    <n v="918"/>
    <x v="19"/>
    <s v="South"/>
    <s v="Small Market"/>
    <s v="Beans"/>
    <s v="Coffee"/>
    <s v="Decaf Irish Cream"/>
    <s v="Decaf"/>
    <n v="870"/>
    <n v="9"/>
    <x v="172"/>
    <n v="33"/>
    <n v="21"/>
    <n v="42"/>
    <n v="0.48280000000000001"/>
    <n v="90"/>
    <n v="30"/>
    <n v="50"/>
    <n v="0.55559999999999998"/>
  </r>
  <r>
    <d v="2024-07-03T00:00:00"/>
    <n v="505"/>
    <x v="3"/>
    <s v="South"/>
    <s v="Small Market"/>
    <s v="Beans"/>
    <s v="Espresso"/>
    <s v="Decaf Espresso"/>
    <s v="Decaf"/>
    <n v="256"/>
    <n v="12"/>
    <x v="75"/>
    <n v="38"/>
    <n v="39"/>
    <n v="18"/>
    <n v="0.1895"/>
    <n v="60"/>
    <n v="30"/>
    <n v="0"/>
    <n v="0"/>
  </r>
  <r>
    <d v="2024-07-03T00:00:00"/>
    <n v="801"/>
    <x v="13"/>
    <s v="West"/>
    <s v="Small Market"/>
    <s v="Beans"/>
    <s v="Espresso"/>
    <s v="Caffe Mocha"/>
    <s v="Regular"/>
    <n v="564"/>
    <n v="33"/>
    <x v="78"/>
    <n v="103"/>
    <n v="46"/>
    <n v="87"/>
    <n v="0.36859999999999998"/>
    <n v="210"/>
    <n v="80"/>
    <n v="110"/>
    <n v="0.52380000000000004"/>
  </r>
  <r>
    <d v="2024-07-04T00:00:00"/>
    <n v="510"/>
    <x v="7"/>
    <s v="West"/>
    <s v="Major Market"/>
    <s v="Leaves"/>
    <s v="Tea"/>
    <s v="Green Tea"/>
    <s v="Regular"/>
    <n v="650"/>
    <n v="23"/>
    <x v="177"/>
    <n v="72"/>
    <n v="54"/>
    <n v="83"/>
    <n v="0.42780000000000001"/>
    <n v="80"/>
    <n v="20"/>
    <n v="50"/>
    <n v="0.625"/>
  </r>
  <r>
    <d v="2024-07-04T00:00:00"/>
    <n v="959"/>
    <x v="18"/>
    <s v="East"/>
    <s v="Small Market"/>
    <s v="Leaves"/>
    <s v="Tea"/>
    <s v="Darjeeling"/>
    <s v="Regular"/>
    <n v="898"/>
    <n v="14"/>
    <x v="30"/>
    <n v="50"/>
    <n v="26"/>
    <n v="70"/>
    <n v="0.53439999999999999"/>
    <n v="120"/>
    <n v="50"/>
    <n v="50"/>
    <n v="0.41670000000000001"/>
  </r>
  <r>
    <d v="2024-07-04T00:00:00"/>
    <n v="419"/>
    <x v="12"/>
    <s v="Central"/>
    <s v="Major Market"/>
    <s v="Beans"/>
    <s v="Espresso"/>
    <s v="Decaf Espresso"/>
    <s v="Decaf"/>
    <n v="410"/>
    <n v="20"/>
    <x v="37"/>
    <n v="55"/>
    <n v="53"/>
    <n v="16"/>
    <n v="0.129"/>
    <n v="150"/>
    <n v="70"/>
    <n v="40"/>
    <n v="0.26669999999999999"/>
  </r>
  <r>
    <d v="2024-07-04T00:00:00"/>
    <n v="303"/>
    <x v="1"/>
    <s v="Central"/>
    <s v="Major Market"/>
    <s v="Beans"/>
    <s v="Espresso"/>
    <s v="Caffe Mocha"/>
    <s v="Regular"/>
    <n v="589"/>
    <n v="14"/>
    <x v="57"/>
    <n v="50"/>
    <n v="25"/>
    <n v="48"/>
    <n v="0.39019999999999999"/>
    <n v="150"/>
    <n v="60"/>
    <n v="70"/>
    <n v="0.4667"/>
  </r>
  <r>
    <d v="2024-07-04T00:00:00"/>
    <n v="712"/>
    <x v="17"/>
    <s v="Central"/>
    <s v="Small Market"/>
    <s v="Beans"/>
    <s v="Coffee"/>
    <s v="Decaf Irish Cream"/>
    <s v="Decaf"/>
    <n v="594"/>
    <n v="3"/>
    <x v="199"/>
    <n v="10"/>
    <n v="15"/>
    <n v="-1"/>
    <n v="-3.85E-2"/>
    <n v="20"/>
    <n v="0"/>
    <n v="10"/>
    <n v="0.5"/>
  </r>
  <r>
    <d v="2024-07-05T00:00:00"/>
    <n v="970"/>
    <x v="1"/>
    <s v="Central"/>
    <s v="Major Market"/>
    <s v="Beans"/>
    <s v="Espresso"/>
    <s v="Caffe Mocha"/>
    <s v="Regular"/>
    <n v="580"/>
    <n v="21"/>
    <x v="131"/>
    <n v="76"/>
    <n v="32"/>
    <n v="117"/>
    <n v="0.58789999999999998"/>
    <n v="280"/>
    <n v="100"/>
    <n v="170"/>
    <n v="0.60709999999999997"/>
  </r>
  <r>
    <d v="2024-07-06T00:00:00"/>
    <n v="435"/>
    <x v="13"/>
    <s v="West"/>
    <s v="Small Market"/>
    <s v="Leaves"/>
    <s v="Herbal Tea"/>
    <s v="Lemon"/>
    <s v="Decaf"/>
    <n v="447"/>
    <n v="14"/>
    <x v="16"/>
    <n v="45"/>
    <n v="46"/>
    <n v="34"/>
    <n v="0.28100000000000003"/>
    <n v="90"/>
    <n v="20"/>
    <n v="60"/>
    <n v="0.66669999999999996"/>
  </r>
  <r>
    <d v="2024-07-06T00:00:00"/>
    <n v="319"/>
    <x v="17"/>
    <s v="Central"/>
    <s v="Small Market"/>
    <s v="Beans"/>
    <s v="Coffee"/>
    <s v="Decaf Irish Cream"/>
    <s v="Decaf"/>
    <n v="596"/>
    <n v="3"/>
    <x v="173"/>
    <n v="10"/>
    <n v="16"/>
    <n v="-4"/>
    <n v="-0.16"/>
    <n v="20"/>
    <n v="0"/>
    <n v="10"/>
    <n v="0.5"/>
  </r>
  <r>
    <d v="2024-07-06T00:00:00"/>
    <n v="720"/>
    <x v="1"/>
    <s v="Central"/>
    <s v="Major Market"/>
    <s v="Beans"/>
    <s v="Espresso"/>
    <s v="Decaf Espresso"/>
    <s v="Decaf"/>
    <n v="677"/>
    <n v="22"/>
    <x v="99"/>
    <n v="67"/>
    <n v="54"/>
    <n v="70"/>
    <n v="0.3911"/>
    <n v="210"/>
    <n v="80"/>
    <n v="80"/>
    <n v="0.38100000000000001"/>
  </r>
  <r>
    <d v="2024-07-07T00:00:00"/>
    <n v="773"/>
    <x v="2"/>
    <s v="Central"/>
    <s v="Major Market"/>
    <s v="Leaves"/>
    <s v="Herbal Tea"/>
    <s v="Lemon"/>
    <s v="Decaf"/>
    <n v="531"/>
    <n v="14"/>
    <x v="73"/>
    <n v="43"/>
    <n v="27"/>
    <n v="29"/>
    <n v="0.29289999999999999"/>
    <n v="90"/>
    <n v="40"/>
    <n v="30"/>
    <n v="0.33329999999999999"/>
  </r>
  <r>
    <d v="2024-07-07T00:00:00"/>
    <n v="505"/>
    <x v="3"/>
    <s v="South"/>
    <s v="Small Market"/>
    <s v="Beans"/>
    <s v="Coffee"/>
    <s v="Colombian"/>
    <s v="Regular"/>
    <n v="447"/>
    <n v="14"/>
    <x v="13"/>
    <n v="45"/>
    <n v="46"/>
    <n v="23"/>
    <n v="0.20180000000000001"/>
    <n v="160"/>
    <n v="50"/>
    <n v="80"/>
    <n v="0.5"/>
  </r>
  <r>
    <d v="2024-07-07T00:00:00"/>
    <n v="815"/>
    <x v="2"/>
    <s v="Central"/>
    <s v="Major Market"/>
    <s v="Beans"/>
    <s v="Espresso"/>
    <s v="Caffe Mocha"/>
    <s v="Regular"/>
    <n v="1662"/>
    <n v="84"/>
    <x v="185"/>
    <n v="257"/>
    <n v="117"/>
    <n v="224"/>
    <n v="0.37459999999999999"/>
    <n v="890"/>
    <n v="370"/>
    <n v="420"/>
    <n v="0.47189999999999999"/>
  </r>
  <r>
    <d v="2024-07-07T00:00:00"/>
    <n v="712"/>
    <x v="17"/>
    <s v="Central"/>
    <s v="Small Market"/>
    <s v="Leaves"/>
    <s v="Tea"/>
    <s v="Darjeeling"/>
    <s v="Regular"/>
    <n v="1778"/>
    <n v="59"/>
    <x v="51"/>
    <n v="211"/>
    <n v="83"/>
    <n v="129"/>
    <n v="0.30499999999999999"/>
    <n v="350"/>
    <n v="170"/>
    <n v="110"/>
    <n v="0.31430000000000002"/>
  </r>
  <r>
    <d v="2024-07-07T00:00:00"/>
    <n v="435"/>
    <x v="13"/>
    <s v="West"/>
    <s v="Small Market"/>
    <s v="Beans"/>
    <s v="Coffee"/>
    <s v="Decaf Irish Cream"/>
    <s v="Decaf"/>
    <n v="593"/>
    <n v="30"/>
    <x v="62"/>
    <n v="79"/>
    <n v="64"/>
    <n v="50"/>
    <n v="0.2646"/>
    <n v="260"/>
    <n v="100"/>
    <n v="120"/>
    <n v="0.46150000000000002"/>
  </r>
  <r>
    <d v="2024-07-08T00:00:00"/>
    <n v="561"/>
    <x v="16"/>
    <s v="East"/>
    <s v="Major Market"/>
    <s v="Leaves"/>
    <s v="Tea"/>
    <s v="Darjeeling"/>
    <s v="Regular"/>
    <n v="871"/>
    <n v="10"/>
    <x v="200"/>
    <n v="38"/>
    <n v="21"/>
    <n v="52"/>
    <n v="0.52"/>
    <n v="100"/>
    <n v="40"/>
    <n v="50"/>
    <n v="0.5"/>
  </r>
  <r>
    <d v="2024-07-08T00:00:00"/>
    <n v="330"/>
    <x v="12"/>
    <s v="Central"/>
    <s v="Major Market"/>
    <s v="Leaves"/>
    <s v="Herbal Tea"/>
    <s v="Lemon"/>
    <s v="Decaf"/>
    <n v="870"/>
    <n v="9"/>
    <x v="74"/>
    <n v="33"/>
    <n v="20"/>
    <n v="29"/>
    <n v="0.35370000000000001"/>
    <n v="70"/>
    <n v="30"/>
    <n v="30"/>
    <n v="0.42859999999999998"/>
  </r>
  <r>
    <d v="2024-07-08T00:00:00"/>
    <n v="857"/>
    <x v="11"/>
    <s v="East"/>
    <s v="Major Market"/>
    <s v="Leaves"/>
    <s v="Tea"/>
    <s v="Green Tea"/>
    <s v="Regular"/>
    <n v="490"/>
    <n v="8"/>
    <x v="24"/>
    <n v="29"/>
    <n v="19"/>
    <n v="25"/>
    <n v="0.34250000000000003"/>
    <n v="70"/>
    <n v="30"/>
    <n v="30"/>
    <n v="0.42859999999999998"/>
  </r>
  <r>
    <d v="2024-07-08T00:00:00"/>
    <n v="505"/>
    <x v="3"/>
    <s v="South"/>
    <s v="Small Market"/>
    <s v="Leaves"/>
    <s v="Herbal Tea"/>
    <s v="Chamomile"/>
    <s v="Decaf"/>
    <n v="846"/>
    <n v="5"/>
    <x v="96"/>
    <n v="21"/>
    <n v="17"/>
    <n v="14"/>
    <n v="0.26919999999999999"/>
    <n v="40"/>
    <n v="10"/>
    <n v="30"/>
    <n v="0.75"/>
  </r>
  <r>
    <d v="2024-07-08T00:00:00"/>
    <n v="419"/>
    <x v="12"/>
    <s v="Central"/>
    <s v="Major Market"/>
    <s v="Leaves"/>
    <s v="Tea"/>
    <s v="Darjeeling"/>
    <s v="Regular"/>
    <n v="788"/>
    <n v="27"/>
    <x v="175"/>
    <n v="82"/>
    <n v="58"/>
    <n v="96"/>
    <n v="0.44040000000000001"/>
    <n v="140"/>
    <n v="50"/>
    <n v="60"/>
    <n v="0.42859999999999998"/>
  </r>
  <r>
    <d v="2024-07-08T00:00:00"/>
    <n v="971"/>
    <x v="9"/>
    <s v="West"/>
    <s v="Small Market"/>
    <s v="Beans"/>
    <s v="Coffee"/>
    <s v="Amaretto"/>
    <s v="Regular"/>
    <n v="503"/>
    <n v="46"/>
    <x v="139"/>
    <n v="51"/>
    <n v="76"/>
    <n v="-5"/>
    <n v="-4.1000000000000002E-2"/>
    <n v="170"/>
    <n v="70"/>
    <n v="50"/>
    <n v="0.29409999999999997"/>
  </r>
  <r>
    <d v="2024-07-09T00:00:00"/>
    <n v="408"/>
    <x v="7"/>
    <s v="West"/>
    <s v="Major Market"/>
    <s v="Leaves"/>
    <s v="Tea"/>
    <s v="Earl Grey"/>
    <s v="Regular"/>
    <n v="601"/>
    <n v="15"/>
    <x v="146"/>
    <n v="54"/>
    <n v="26"/>
    <n v="79"/>
    <n v="0.55630000000000002"/>
    <n v="90"/>
    <n v="30"/>
    <n v="50"/>
    <n v="0.55559999999999998"/>
  </r>
  <r>
    <d v="2024-07-09T00:00:00"/>
    <n v="904"/>
    <x v="16"/>
    <s v="East"/>
    <s v="Major Market"/>
    <s v="Leaves"/>
    <s v="Herbal Tea"/>
    <s v="Chamomile"/>
    <s v="Decaf"/>
    <n v="567"/>
    <n v="7"/>
    <x v="26"/>
    <n v="24"/>
    <n v="20"/>
    <n v="18"/>
    <n v="0.3"/>
    <n v="40"/>
    <n v="10"/>
    <n v="20"/>
    <n v="0.5"/>
  </r>
  <r>
    <d v="2024-07-09T00:00:00"/>
    <n v="319"/>
    <x v="17"/>
    <s v="Central"/>
    <s v="Small Market"/>
    <s v="Leaves"/>
    <s v="Herbal Tea"/>
    <s v="Lemon"/>
    <s v="Decaf"/>
    <n v="830"/>
    <n v="40"/>
    <x v="36"/>
    <n v="127"/>
    <n v="62"/>
    <n v="123"/>
    <n v="0.39419999999999999"/>
    <n v="290"/>
    <n v="120"/>
    <n v="120"/>
    <n v="0.4138"/>
  </r>
  <r>
    <d v="2024-07-10T00:00:00"/>
    <n v="985"/>
    <x v="4"/>
    <s v="South"/>
    <s v="Small Market"/>
    <s v="Beans"/>
    <s v="Espresso"/>
    <s v="Caffe Mocha"/>
    <s v="Regular"/>
    <n v="329"/>
    <n v="18"/>
    <x v="201"/>
    <n v="60"/>
    <n v="41"/>
    <n v="58"/>
    <n v="0.36480000000000001"/>
    <n v="100"/>
    <n v="30"/>
    <n v="70"/>
    <n v="0.7"/>
  </r>
  <r>
    <d v="2024-07-10T00:00:00"/>
    <n v="505"/>
    <x v="3"/>
    <s v="South"/>
    <s v="Small Market"/>
    <s v="Beans"/>
    <s v="Coffee"/>
    <s v="Decaf Irish Cream"/>
    <s v="Decaf"/>
    <n v="1898"/>
    <n v="28"/>
    <x v="127"/>
    <n v="92"/>
    <n v="52"/>
    <n v="24"/>
    <n v="0.1404"/>
    <n v="190"/>
    <n v="100"/>
    <n v="40"/>
    <n v="0.21049999999999999"/>
  </r>
  <r>
    <d v="2024-07-10T00:00:00"/>
    <n v="614"/>
    <x v="12"/>
    <s v="Central"/>
    <s v="Major Market"/>
    <s v="Beans"/>
    <s v="Espresso"/>
    <s v="Decaf Espresso"/>
    <s v="Decaf"/>
    <n v="404"/>
    <n v="20"/>
    <x v="40"/>
    <n v="54"/>
    <n v="54"/>
    <n v="12"/>
    <n v="0.1"/>
    <n v="170"/>
    <n v="70"/>
    <n v="70"/>
    <n v="0.4118"/>
  </r>
  <r>
    <d v="2024-07-11T00:00:00"/>
    <n v="603"/>
    <x v="15"/>
    <s v="East"/>
    <s v="Small Market"/>
    <s v="Beans"/>
    <s v="Espresso"/>
    <s v="Regular Espresso"/>
    <s v="Regular"/>
    <n v="218"/>
    <n v="7"/>
    <x v="129"/>
    <n v="20"/>
    <n v="41"/>
    <n v="-16"/>
    <n v="-0.35560000000000003"/>
    <n v="40"/>
    <n v="10"/>
    <n v="0"/>
    <n v="0"/>
  </r>
  <r>
    <d v="2024-07-13T00:00:00"/>
    <n v="314"/>
    <x v="6"/>
    <s v="Central"/>
    <s v="Small Market"/>
    <s v="Leaves"/>
    <s v="Tea"/>
    <s v="Darjeeling"/>
    <s v="Regular"/>
    <n v="244"/>
    <n v="12"/>
    <x v="71"/>
    <n v="39"/>
    <n v="40"/>
    <n v="19"/>
    <n v="0.19389999999999999"/>
    <n v="60"/>
    <n v="20"/>
    <n v="30"/>
    <n v="0.5"/>
  </r>
  <r>
    <d v="2024-07-13T00:00:00"/>
    <n v="312"/>
    <x v="2"/>
    <s v="Central"/>
    <s v="Major Market"/>
    <s v="Beans"/>
    <s v="Coffee"/>
    <s v="Decaf Irish Cream"/>
    <s v="Decaf"/>
    <n v="830"/>
    <n v="40"/>
    <x v="192"/>
    <n v="127"/>
    <n v="63"/>
    <n v="181"/>
    <n v="0.54520000000000002"/>
    <n v="300"/>
    <n v="120"/>
    <n v="130"/>
    <n v="0.43330000000000002"/>
  </r>
  <r>
    <d v="2024-07-13T00:00:00"/>
    <n v="312"/>
    <x v="2"/>
    <s v="Central"/>
    <s v="Major Market"/>
    <s v="Beans"/>
    <s v="Coffee"/>
    <s v="Colombian"/>
    <s v="Regular"/>
    <n v="1191"/>
    <n v="73"/>
    <x v="176"/>
    <n v="224"/>
    <n v="116"/>
    <n v="288"/>
    <n v="0.50619999999999998"/>
    <n v="520"/>
    <n v="220"/>
    <n v="190"/>
    <n v="0.3654"/>
  </r>
  <r>
    <d v="2024-07-14T00:00:00"/>
    <n v="505"/>
    <x v="3"/>
    <s v="South"/>
    <s v="Small Market"/>
    <s v="Leaves"/>
    <s v="Herbal Tea"/>
    <s v="Lemon"/>
    <s v="Decaf"/>
    <n v="1009"/>
    <n v="9"/>
    <x v="187"/>
    <n v="31"/>
    <n v="31"/>
    <n v="7"/>
    <n v="0.1014"/>
    <n v="60"/>
    <n v="20"/>
    <n v="20"/>
    <n v="0.33329999999999999"/>
  </r>
  <r>
    <d v="2024-07-14T00:00:00"/>
    <n v="435"/>
    <x v="13"/>
    <s v="West"/>
    <s v="Small Market"/>
    <s v="Leaves"/>
    <s v="Tea"/>
    <s v="Darjeeling"/>
    <s v="Regular"/>
    <n v="320"/>
    <n v="41"/>
    <x v="44"/>
    <n v="45"/>
    <n v="70"/>
    <n v="-9"/>
    <n v="-7.7600000000000002E-2"/>
    <n v="50"/>
    <n v="10"/>
    <n v="20"/>
    <n v="0.4"/>
  </r>
  <r>
    <d v="2024-07-14T00:00:00"/>
    <n v="440"/>
    <x v="12"/>
    <s v="Central"/>
    <s v="Major Market"/>
    <s v="Leaves"/>
    <s v="Herbal Tea"/>
    <s v="Lemon"/>
    <s v="Decaf"/>
    <n v="870"/>
    <n v="9"/>
    <x v="172"/>
    <n v="33"/>
    <n v="20"/>
    <n v="43"/>
    <n v="0.49430000000000002"/>
    <n v="70"/>
    <n v="30"/>
    <n v="30"/>
    <n v="0.42859999999999998"/>
  </r>
  <r>
    <d v="2024-07-14T00:00:00"/>
    <n v="561"/>
    <x v="16"/>
    <s v="East"/>
    <s v="Major Market"/>
    <s v="Beans"/>
    <s v="Coffee"/>
    <s v="Decaf Irish Cream"/>
    <s v="Decaf"/>
    <n v="656"/>
    <n v="28"/>
    <x v="175"/>
    <n v="91"/>
    <n v="51"/>
    <n v="76"/>
    <n v="0.34860000000000002"/>
    <n v="180"/>
    <n v="70"/>
    <n v="90"/>
    <n v="0.5"/>
  </r>
  <r>
    <d v="2024-07-15T00:00:00"/>
    <n v="435"/>
    <x v="13"/>
    <s v="West"/>
    <s v="Small Market"/>
    <s v="Beans"/>
    <s v="Espresso"/>
    <s v="Decaf Espresso"/>
    <s v="Decaf"/>
    <n v="881"/>
    <n v="11"/>
    <x v="110"/>
    <n v="40"/>
    <n v="22"/>
    <n v="55"/>
    <n v="0.51890000000000003"/>
    <n v="80"/>
    <n v="20"/>
    <n v="60"/>
    <n v="0.75"/>
  </r>
  <r>
    <d v="2024-07-15T00:00:00"/>
    <n v="541"/>
    <x v="9"/>
    <s v="West"/>
    <s v="Small Market"/>
    <s v="Leaves"/>
    <s v="Tea"/>
    <s v="Green Tea"/>
    <s v="Regular"/>
    <n v="656"/>
    <n v="28"/>
    <x v="48"/>
    <n v="91"/>
    <n v="51"/>
    <n v="113"/>
    <n v="0.48709999999999998"/>
    <n v="100"/>
    <n v="40"/>
    <n v="50"/>
    <n v="0.5"/>
  </r>
  <r>
    <d v="2024-07-15T00:00:00"/>
    <n v="225"/>
    <x v="4"/>
    <s v="South"/>
    <s v="Small Market"/>
    <s v="Beans"/>
    <s v="Coffee"/>
    <s v="Colombian"/>
    <s v="Regular"/>
    <n v="829"/>
    <n v="13"/>
    <x v="124"/>
    <n v="48"/>
    <n v="24"/>
    <n v="47"/>
    <n v="0.39500000000000002"/>
    <n v="160"/>
    <n v="70"/>
    <n v="80"/>
    <n v="0.5"/>
  </r>
  <r>
    <d v="2024-07-15T00:00:00"/>
    <n v="775"/>
    <x v="8"/>
    <s v="West"/>
    <s v="Small Market"/>
    <s v="Leaves"/>
    <s v="Herbal Tea"/>
    <s v="Chamomile"/>
    <s v="Decaf"/>
    <n v="912"/>
    <n v="109"/>
    <x v="100"/>
    <n v="121"/>
    <n v="142"/>
    <n v="26"/>
    <n v="0.09"/>
    <n v="260"/>
    <n v="110"/>
    <n v="20"/>
    <n v="7.6899999999999996E-2"/>
  </r>
  <r>
    <d v="2024-07-16T00:00:00"/>
    <n v="707"/>
    <x v="7"/>
    <s v="West"/>
    <s v="Major Market"/>
    <s v="Leaves"/>
    <s v="Herbal Tea"/>
    <s v="Mint"/>
    <s v="Decaf"/>
    <n v="536"/>
    <n v="13"/>
    <x v="132"/>
    <n v="40"/>
    <n v="25"/>
    <n v="27"/>
    <n v="0.29349999999999998"/>
    <n v="80"/>
    <n v="30"/>
    <n v="30"/>
    <n v="0.375"/>
  </r>
  <r>
    <d v="2024-07-16T00:00:00"/>
    <n v="435"/>
    <x v="13"/>
    <s v="West"/>
    <s v="Small Market"/>
    <s v="Leaves"/>
    <s v="Herbal Tea"/>
    <s v="Lemon"/>
    <s v="Decaf"/>
    <n v="447"/>
    <n v="14"/>
    <x v="13"/>
    <n v="45"/>
    <n v="46"/>
    <n v="23"/>
    <n v="0.20180000000000001"/>
    <n v="90"/>
    <n v="20"/>
    <n v="60"/>
    <n v="0.66669999999999996"/>
  </r>
  <r>
    <d v="2024-07-16T00:00:00"/>
    <n v="503"/>
    <x v="9"/>
    <s v="West"/>
    <s v="Small Market"/>
    <s v="Beans"/>
    <s v="Coffee"/>
    <s v="Colombian"/>
    <s v="Regular"/>
    <n v="482"/>
    <n v="13"/>
    <x v="71"/>
    <n v="41"/>
    <n v="56"/>
    <n v="1"/>
    <n v="1.0200000000000001E-2"/>
    <n v="110"/>
    <n v="40"/>
    <n v="20"/>
    <n v="0.18179999999999999"/>
  </r>
  <r>
    <d v="2024-07-16T00:00:00"/>
    <n v="505"/>
    <x v="3"/>
    <s v="South"/>
    <s v="Small Market"/>
    <s v="Beans"/>
    <s v="Espresso"/>
    <s v="Decaf Espresso"/>
    <s v="Decaf"/>
    <n v="256"/>
    <n v="12"/>
    <x v="43"/>
    <n v="38"/>
    <n v="39"/>
    <n v="12"/>
    <n v="0.1348"/>
    <n v="60"/>
    <n v="30"/>
    <n v="0"/>
    <n v="0"/>
  </r>
  <r>
    <d v="2024-07-17T00:00:00"/>
    <n v="504"/>
    <x v="4"/>
    <s v="South"/>
    <s v="Small Market"/>
    <s v="Beans"/>
    <s v="Coffee"/>
    <s v="Decaf Irish Cream"/>
    <s v="Decaf"/>
    <n v="856"/>
    <n v="8"/>
    <x v="116"/>
    <n v="31"/>
    <n v="19"/>
    <n v="42"/>
    <n v="0.50600000000000001"/>
    <n v="90"/>
    <n v="30"/>
    <n v="50"/>
    <n v="0.55559999999999998"/>
  </r>
  <r>
    <d v="2024-07-18T00:00:00"/>
    <n v="503"/>
    <x v="9"/>
    <s v="West"/>
    <s v="Small Market"/>
    <s v="Leaves"/>
    <s v="Tea"/>
    <s v="Earl Grey"/>
    <s v="Regular"/>
    <n v="788"/>
    <n v="27"/>
    <x v="175"/>
    <n v="82"/>
    <n v="59"/>
    <n v="95"/>
    <n v="0.43580000000000002"/>
    <n v="90"/>
    <n v="30"/>
    <n v="50"/>
    <n v="0.55559999999999998"/>
  </r>
  <r>
    <d v="2024-07-18T00:00:00"/>
    <n v="719"/>
    <x v="1"/>
    <s v="Central"/>
    <s v="Major Market"/>
    <s v="Leaves"/>
    <s v="Herbal Tea"/>
    <s v="Lemon"/>
    <s v="Decaf"/>
    <n v="521"/>
    <n v="42"/>
    <x v="124"/>
    <n v="47"/>
    <n v="71"/>
    <n v="-9"/>
    <n v="-7.5600000000000001E-2"/>
    <n v="100"/>
    <n v="40"/>
    <n v="0"/>
    <n v="0"/>
  </r>
  <r>
    <d v="2024-07-18T00:00:00"/>
    <n v="774"/>
    <x v="11"/>
    <s v="East"/>
    <s v="Major Market"/>
    <s v="Beans"/>
    <s v="Espresso"/>
    <s v="Caffe Mocha"/>
    <s v="Regular"/>
    <n v="542"/>
    <n v="46"/>
    <x v="44"/>
    <n v="51"/>
    <n v="76"/>
    <n v="-11"/>
    <n v="-9.4799999999999995E-2"/>
    <n v="100"/>
    <n v="30"/>
    <n v="30"/>
    <n v="0.3"/>
  </r>
  <r>
    <d v="2024-07-18T00:00:00"/>
    <n v="772"/>
    <x v="16"/>
    <s v="East"/>
    <s v="Major Market"/>
    <s v="Leaves"/>
    <s v="Herbal Tea"/>
    <s v="Chamomile"/>
    <s v="Decaf"/>
    <n v="567"/>
    <n v="7"/>
    <x v="166"/>
    <n v="24"/>
    <n v="20"/>
    <n v="12"/>
    <n v="0.21429999999999999"/>
    <n v="40"/>
    <n v="10"/>
    <n v="20"/>
    <n v="0.5"/>
  </r>
  <r>
    <d v="2024-07-18T00:00:00"/>
    <n v="719"/>
    <x v="1"/>
    <s v="Central"/>
    <s v="Major Market"/>
    <s v="Leaves"/>
    <s v="Herbal Tea"/>
    <s v="Chamomile"/>
    <s v="Decaf"/>
    <n v="1267"/>
    <n v="45"/>
    <x v="34"/>
    <n v="161"/>
    <n v="69"/>
    <n v="92"/>
    <n v="0.28570000000000001"/>
    <n v="260"/>
    <n v="120"/>
    <n v="110"/>
    <n v="0.42309999999999998"/>
  </r>
  <r>
    <d v="2024-07-18T00:00:00"/>
    <n v="419"/>
    <x v="12"/>
    <s v="Central"/>
    <s v="Major Market"/>
    <s v="Leaves"/>
    <s v="Tea"/>
    <s v="Earl Grey"/>
    <s v="Regular"/>
    <n v="656"/>
    <n v="28"/>
    <x v="48"/>
    <n v="91"/>
    <n v="51"/>
    <n v="113"/>
    <n v="0.48709999999999998"/>
    <n v="150"/>
    <n v="50"/>
    <n v="80"/>
    <n v="0.5333"/>
  </r>
  <r>
    <d v="2024-07-19T00:00:00"/>
    <n v="603"/>
    <x v="15"/>
    <s v="East"/>
    <s v="Small Market"/>
    <s v="Leaves"/>
    <s v="Herbal Tea"/>
    <s v="Lemon"/>
    <s v="Decaf"/>
    <n v="250"/>
    <n v="14"/>
    <x v="202"/>
    <n v="39"/>
    <n v="47"/>
    <n v="2"/>
    <n v="2.2700000000000001E-2"/>
    <n v="60"/>
    <n v="20"/>
    <n v="10"/>
    <n v="0.16669999999999999"/>
  </r>
  <r>
    <d v="2024-07-19T00:00:00"/>
    <n v="318"/>
    <x v="4"/>
    <s v="South"/>
    <s v="Small Market"/>
    <s v="Beans"/>
    <s v="Coffee"/>
    <s v="Colombian"/>
    <s v="Regular"/>
    <n v="834"/>
    <n v="13"/>
    <x v="57"/>
    <n v="47"/>
    <n v="24"/>
    <n v="65"/>
    <n v="0.52849999999999997"/>
    <n v="130"/>
    <n v="50"/>
    <n v="60"/>
    <n v="0.46150000000000002"/>
  </r>
  <r>
    <d v="2024-07-20T00:00:00"/>
    <n v="959"/>
    <x v="18"/>
    <s v="East"/>
    <s v="Small Market"/>
    <s v="Leaves"/>
    <s v="Herbal Tea"/>
    <s v="Lemon"/>
    <s v="Decaf"/>
    <n v="593"/>
    <n v="30"/>
    <x v="196"/>
    <n v="79"/>
    <n v="64"/>
    <n v="34"/>
    <n v="0.19209999999999999"/>
    <n v="90"/>
    <n v="40"/>
    <n v="30"/>
    <n v="0.33329999999999999"/>
  </r>
  <r>
    <d v="2024-07-20T00:00:00"/>
    <n v="971"/>
    <x v="9"/>
    <s v="West"/>
    <s v="Small Market"/>
    <s v="Beans"/>
    <s v="Coffee"/>
    <s v="Amaretto"/>
    <s v="Regular"/>
    <n v="509"/>
    <n v="47"/>
    <x v="2"/>
    <n v="52"/>
    <n v="77"/>
    <n v="-6"/>
    <n v="-4.5100000000000001E-2"/>
    <n v="140"/>
    <n v="60"/>
    <n v="10"/>
    <n v="7.1400000000000005E-2"/>
  </r>
  <r>
    <d v="2024-07-20T00:00:00"/>
    <n v="806"/>
    <x v="10"/>
    <s v="South"/>
    <s v="Major Market"/>
    <s v="Beans"/>
    <s v="Espresso"/>
    <s v="Caffe Latte"/>
    <s v="Regular"/>
    <n v="-1050"/>
    <n v="24"/>
    <x v="9"/>
    <n v="75"/>
    <n v="55"/>
    <n v="88"/>
    <n v="0.43780000000000002"/>
    <n v="140"/>
    <n v="50"/>
    <n v="40"/>
    <n v="0.28570000000000001"/>
  </r>
  <r>
    <d v="2024-07-21T00:00:00"/>
    <n v="505"/>
    <x v="3"/>
    <s v="South"/>
    <s v="Small Market"/>
    <s v="Leaves"/>
    <s v="Herbal Tea"/>
    <s v="Lemon"/>
    <s v="Decaf"/>
    <n v="1003"/>
    <n v="8"/>
    <x v="137"/>
    <n v="29"/>
    <n v="30"/>
    <n v="7"/>
    <n v="0.10290000000000001"/>
    <n v="50"/>
    <n v="20"/>
    <n v="10"/>
    <n v="0.2"/>
  </r>
  <r>
    <d v="2024-07-21T00:00:00"/>
    <n v="718"/>
    <x v="14"/>
    <s v="East"/>
    <s v="Major Market"/>
    <s v="Beans"/>
    <s v="Espresso"/>
    <s v="Regular Espresso"/>
    <s v="Regular"/>
    <n v="723"/>
    <n v="70"/>
    <x v="203"/>
    <n v="250"/>
    <n v="95"/>
    <n v="312"/>
    <n v="0.47489999999999999"/>
    <n v="640"/>
    <n v="240"/>
    <n v="320"/>
    <n v="0.5"/>
  </r>
  <r>
    <d v="2024-07-21T00:00:00"/>
    <n v="727"/>
    <x v="16"/>
    <s v="East"/>
    <s v="Major Market"/>
    <s v="Beans"/>
    <s v="Espresso"/>
    <s v="Caffe Mocha"/>
    <s v="Regular"/>
    <n v="683"/>
    <n v="87"/>
    <x v="152"/>
    <n v="96"/>
    <n v="116"/>
    <n v="27"/>
    <n v="0.11020000000000001"/>
    <n v="210"/>
    <n v="80"/>
    <n v="50"/>
    <n v="0.23810000000000001"/>
  </r>
  <r>
    <d v="2024-07-21T00:00:00"/>
    <n v="719"/>
    <x v="1"/>
    <s v="Central"/>
    <s v="Major Market"/>
    <s v="Beans"/>
    <s v="Coffee"/>
    <s v="Decaf Irish Cream"/>
    <s v="Decaf"/>
    <n v="971"/>
    <n v="30"/>
    <x v="79"/>
    <n v="108"/>
    <n v="41"/>
    <n v="172"/>
    <n v="0.6099"/>
    <n v="260"/>
    <n v="100"/>
    <n v="150"/>
    <n v="0.57689999999999997"/>
  </r>
  <r>
    <d v="2024-07-22T00:00:00"/>
    <n v="971"/>
    <x v="9"/>
    <s v="West"/>
    <s v="Small Market"/>
    <s v="Leaves"/>
    <s v="Tea"/>
    <s v="Earl Grey"/>
    <s v="Regular"/>
    <n v="788"/>
    <n v="27"/>
    <x v="41"/>
    <n v="82"/>
    <n v="59"/>
    <n v="64"/>
    <n v="0.31219999999999998"/>
    <n v="90"/>
    <n v="30"/>
    <n v="50"/>
    <n v="0.55559999999999998"/>
  </r>
  <r>
    <d v="2024-07-22T00:00:00"/>
    <n v="971"/>
    <x v="9"/>
    <s v="West"/>
    <s v="Small Market"/>
    <s v="Beans"/>
    <s v="Espresso"/>
    <s v="Caffe Latte"/>
    <s v="Regular"/>
    <n v="422"/>
    <n v="17"/>
    <x v="204"/>
    <n v="46"/>
    <n v="51"/>
    <n v="9"/>
    <n v="8.1799999999999998E-2"/>
    <n v="90"/>
    <n v="40"/>
    <n v="10"/>
    <n v="0.1111"/>
  </r>
  <r>
    <d v="2024-07-22T00:00:00"/>
    <n v="505"/>
    <x v="3"/>
    <s v="South"/>
    <s v="Small Market"/>
    <s v="Beans"/>
    <s v="Espresso"/>
    <s v="Caffe Mocha"/>
    <s v="Regular"/>
    <n v="320"/>
    <n v="41"/>
    <x v="97"/>
    <n v="45"/>
    <n v="70"/>
    <n v="-6"/>
    <n v="-5.5E-2"/>
    <n v="60"/>
    <n v="20"/>
    <n v="10"/>
    <n v="0.16669999999999999"/>
  </r>
  <r>
    <d v="2024-07-22T00:00:00"/>
    <n v="850"/>
    <x v="16"/>
    <s v="East"/>
    <s v="Major Market"/>
    <s v="Leaves"/>
    <s v="Herbal Tea"/>
    <s v="Lemon"/>
    <s v="Decaf"/>
    <n v="385"/>
    <n v="21"/>
    <x v="29"/>
    <n v="56"/>
    <n v="54"/>
    <n v="16"/>
    <n v="0.127"/>
    <n v="60"/>
    <n v="30"/>
    <n v="20"/>
    <n v="0.33329999999999999"/>
  </r>
  <r>
    <d v="2024-07-22T00:00:00"/>
    <n v="425"/>
    <x v="5"/>
    <s v="West"/>
    <s v="Small Market"/>
    <s v="Beans"/>
    <s v="Espresso"/>
    <s v="Decaf Espresso"/>
    <s v="Decaf"/>
    <n v="1063"/>
    <n v="23"/>
    <x v="179"/>
    <n v="75"/>
    <n v="44"/>
    <n v="67"/>
    <n v="0.38290000000000002"/>
    <n v="150"/>
    <n v="70"/>
    <n v="40"/>
    <n v="0.26669999999999999"/>
  </r>
  <r>
    <d v="2024-07-22T00:00:00"/>
    <n v="563"/>
    <x v="17"/>
    <s v="Central"/>
    <s v="Small Market"/>
    <s v="Leaves"/>
    <s v="Tea"/>
    <s v="Earl Grey"/>
    <s v="Regular"/>
    <n v="1756"/>
    <n v="96"/>
    <x v="103"/>
    <n v="255"/>
    <n v="129"/>
    <n v="183"/>
    <n v="0.32279999999999998"/>
    <n v="400"/>
    <n v="170"/>
    <n v="130"/>
    <n v="0.32500000000000001"/>
  </r>
  <r>
    <d v="2024-07-23T00:00:00"/>
    <n v="206"/>
    <x v="5"/>
    <s v="West"/>
    <s v="Small Market"/>
    <s v="Leaves"/>
    <s v="Tea"/>
    <s v="Darjeeling"/>
    <s v="Regular"/>
    <n v="329"/>
    <n v="18"/>
    <x v="201"/>
    <n v="60"/>
    <n v="42"/>
    <n v="57"/>
    <n v="0.35849999999999999"/>
    <n v="70"/>
    <n v="20"/>
    <n v="40"/>
    <n v="0.57140000000000002"/>
  </r>
  <r>
    <d v="2024-07-24T00:00:00"/>
    <n v="561"/>
    <x v="16"/>
    <s v="East"/>
    <s v="Major Market"/>
    <s v="Leaves"/>
    <s v="Herbal Tea"/>
    <s v="Mint"/>
    <s v="Decaf"/>
    <n v="1079"/>
    <n v="24"/>
    <x v="144"/>
    <n v="80"/>
    <n v="46"/>
    <n v="50"/>
    <n v="0.28410000000000002"/>
    <n v="120"/>
    <n v="60"/>
    <n v="30"/>
    <n v="0.25"/>
  </r>
  <r>
    <d v="2024-07-24T00:00:00"/>
    <n v="754"/>
    <x v="16"/>
    <s v="East"/>
    <s v="Major Market"/>
    <s v="Beans"/>
    <s v="Espresso"/>
    <s v="Caffe Mocha"/>
    <s v="Regular"/>
    <n v="694"/>
    <n v="85"/>
    <x v="92"/>
    <n v="94"/>
    <n v="115"/>
    <n v="15"/>
    <n v="6.7000000000000004E-2"/>
    <n v="210"/>
    <n v="90"/>
    <n v="20"/>
    <n v="9.5200000000000007E-2"/>
  </r>
  <r>
    <d v="2024-07-26T00:00:00"/>
    <n v="425"/>
    <x v="5"/>
    <s v="West"/>
    <s v="Small Market"/>
    <s v="Leaves"/>
    <s v="Tea"/>
    <s v="Darjeeling"/>
    <s v="Regular"/>
    <n v="329"/>
    <n v="18"/>
    <x v="205"/>
    <n v="60"/>
    <n v="42"/>
    <n v="85"/>
    <n v="0.503"/>
    <n v="70"/>
    <n v="20"/>
    <n v="40"/>
    <n v="0.57140000000000002"/>
  </r>
  <r>
    <d v="2024-07-26T00:00:00"/>
    <n v="631"/>
    <x v="14"/>
    <s v="East"/>
    <s v="Major Market"/>
    <s v="Leaves"/>
    <s v="Herbal Tea"/>
    <s v="Mint"/>
    <s v="Decaf"/>
    <n v="4360"/>
    <n v="74"/>
    <x v="179"/>
    <n v="239"/>
    <n v="95"/>
    <n v="-252"/>
    <n v="-1.44"/>
    <n v="80"/>
    <n v="130"/>
    <n v="-100"/>
    <n v="-1.25"/>
  </r>
  <r>
    <d v="2024-07-26T00:00:00"/>
    <n v="253"/>
    <x v="5"/>
    <s v="West"/>
    <s v="Small Market"/>
    <s v="Beans"/>
    <s v="Coffee"/>
    <s v="Colombian"/>
    <s v="Regular"/>
    <n v="461"/>
    <n v="23"/>
    <x v="144"/>
    <n v="72"/>
    <n v="46"/>
    <n v="58"/>
    <n v="0.32950000000000002"/>
    <n v="200"/>
    <n v="80"/>
    <n v="80"/>
    <n v="0.4"/>
  </r>
  <r>
    <d v="2024-07-26T00:00:00"/>
    <n v="541"/>
    <x v="9"/>
    <s v="West"/>
    <s v="Small Market"/>
    <s v="Leaves"/>
    <s v="Herbal Tea"/>
    <s v="Lemon"/>
    <s v="Decaf"/>
    <n v="561"/>
    <n v="29"/>
    <x v="206"/>
    <n v="88"/>
    <n v="42"/>
    <n v="104"/>
    <n v="0.48830000000000001"/>
    <n v="180"/>
    <n v="80"/>
    <n v="70"/>
    <n v="0.38890000000000002"/>
  </r>
  <r>
    <d v="2024-07-27T00:00:00"/>
    <n v="781"/>
    <x v="11"/>
    <s v="East"/>
    <s v="Major Market"/>
    <s v="Leaves"/>
    <s v="Tea"/>
    <s v="Green Tea"/>
    <s v="Regular"/>
    <n v="480"/>
    <n v="5"/>
    <x v="166"/>
    <n v="21"/>
    <n v="17"/>
    <n v="22"/>
    <n v="0.39290000000000003"/>
    <n v="50"/>
    <n v="20"/>
    <n v="30"/>
    <n v="0.6"/>
  </r>
  <r>
    <d v="2024-07-27T00:00:00"/>
    <n v="715"/>
    <x v="0"/>
    <s v="Central"/>
    <s v="Small Market"/>
    <s v="Beans"/>
    <s v="Espresso"/>
    <s v="Caffe Mocha"/>
    <s v="Regular"/>
    <n v="1063"/>
    <n v="23"/>
    <x v="179"/>
    <n v="75"/>
    <n v="44"/>
    <n v="67"/>
    <n v="0.38290000000000002"/>
    <n v="200"/>
    <n v="90"/>
    <n v="70"/>
    <n v="0.35"/>
  </r>
  <r>
    <d v="2024-07-27T00:00:00"/>
    <n v="262"/>
    <x v="0"/>
    <s v="Central"/>
    <s v="Small Market"/>
    <s v="Beans"/>
    <s v="Coffee"/>
    <s v="Colombian"/>
    <s v="Regular"/>
    <n v="716"/>
    <n v="95"/>
    <x v="128"/>
    <n v="105"/>
    <n v="125"/>
    <n v="30"/>
    <n v="0.1128"/>
    <n v="240"/>
    <n v="100"/>
    <n v="30"/>
    <n v="0.125"/>
  </r>
  <r>
    <d v="2024-07-28T00:00:00"/>
    <n v="435"/>
    <x v="13"/>
    <s v="West"/>
    <s v="Small Market"/>
    <s v="Leaves"/>
    <s v="Herbal Tea"/>
    <s v="Lemon"/>
    <s v="Decaf"/>
    <n v="452"/>
    <n v="14"/>
    <x v="97"/>
    <n v="43"/>
    <n v="46"/>
    <n v="20"/>
    <n v="0.1835"/>
    <n v="100"/>
    <n v="40"/>
    <n v="30"/>
    <n v="0.3"/>
  </r>
  <r>
    <d v="2024-07-28T00:00:00"/>
    <n v="314"/>
    <x v="6"/>
    <s v="Central"/>
    <s v="Small Market"/>
    <s v="Leaves"/>
    <s v="Herbal Tea"/>
    <s v="Chamomile"/>
    <s v="Decaf"/>
    <n v="335"/>
    <n v="44"/>
    <x v="29"/>
    <n v="49"/>
    <n v="74"/>
    <n v="-7"/>
    <n v="-5.5599999999999997E-2"/>
    <n v="100"/>
    <n v="40"/>
    <n v="0"/>
    <n v="0"/>
  </r>
  <r>
    <d v="2024-07-28T00:00:00"/>
    <n v="505"/>
    <x v="3"/>
    <s v="South"/>
    <s v="Small Market"/>
    <s v="Beans"/>
    <s v="Coffee"/>
    <s v="Colombian"/>
    <s v="Regular"/>
    <n v="452"/>
    <n v="14"/>
    <x v="97"/>
    <n v="43"/>
    <n v="46"/>
    <n v="20"/>
    <n v="0.1835"/>
    <n v="120"/>
    <n v="50"/>
    <n v="30"/>
    <n v="0.25"/>
  </r>
  <r>
    <d v="2024-07-28T00:00:00"/>
    <n v="563"/>
    <x v="17"/>
    <s v="Central"/>
    <s v="Small Market"/>
    <s v="Beans"/>
    <s v="Coffee"/>
    <s v="Colombian"/>
    <s v="Regular"/>
    <n v="1009"/>
    <n v="9"/>
    <x v="187"/>
    <n v="31"/>
    <n v="30"/>
    <n v="8"/>
    <n v="0.1159"/>
    <n v="60"/>
    <n v="30"/>
    <n v="10"/>
    <n v="0.16669999999999999"/>
  </r>
  <r>
    <d v="2024-07-28T00:00:00"/>
    <n v="702"/>
    <x v="8"/>
    <s v="West"/>
    <s v="Small Market"/>
    <s v="Leaves"/>
    <s v="Tea"/>
    <s v="Earl Grey"/>
    <s v="Regular"/>
    <n v="1778"/>
    <n v="59"/>
    <x v="178"/>
    <n v="211"/>
    <n v="84"/>
    <n v="190"/>
    <n v="0.42130000000000001"/>
    <n v="300"/>
    <n v="150"/>
    <n v="80"/>
    <n v="0.26669999999999999"/>
  </r>
  <r>
    <d v="2024-07-28T00:00:00"/>
    <n v="253"/>
    <x v="5"/>
    <s v="West"/>
    <s v="Small Market"/>
    <s v="Leaves"/>
    <s v="Herbal Tea"/>
    <s v="Chamomile"/>
    <s v="Decaf"/>
    <n v="1166"/>
    <n v="37"/>
    <x v="12"/>
    <n v="115"/>
    <n v="69"/>
    <n v="156"/>
    <n v="0.50649999999999995"/>
    <n v="260"/>
    <n v="100"/>
    <n v="110"/>
    <n v="0.42309999999999998"/>
  </r>
  <r>
    <d v="2024-08-01T00:00:00"/>
    <n v="214"/>
    <x v="10"/>
    <s v="South"/>
    <s v="Major Market"/>
    <s v="Beans"/>
    <s v="Coffee"/>
    <s v="Decaf Irish Cream"/>
    <s v="Decaf"/>
    <n v="541"/>
    <n v="12"/>
    <x v="162"/>
    <n v="39"/>
    <n v="25"/>
    <n v="26"/>
    <n v="0.28889999999999999"/>
    <n v="130"/>
    <n v="40"/>
    <n v="80"/>
    <n v="0.61539999999999995"/>
  </r>
  <r>
    <d v="2024-08-02T00:00:00"/>
    <n v="330"/>
    <x v="12"/>
    <s v="Central"/>
    <s v="Major Market"/>
    <s v="Beans"/>
    <s v="Coffee"/>
    <s v="Colombian"/>
    <s v="Regular"/>
    <n v="435"/>
    <n v="13"/>
    <x v="189"/>
    <n v="41"/>
    <n v="36"/>
    <n v="36"/>
    <n v="0.33329999999999999"/>
    <n v="90"/>
    <n v="40"/>
    <n v="20"/>
    <n v="0.22220000000000001"/>
  </r>
  <r>
    <d v="2024-08-02T00:00:00"/>
    <n v="435"/>
    <x v="13"/>
    <s v="West"/>
    <s v="Small Market"/>
    <s v="Beans"/>
    <s v="Coffee"/>
    <s v="Decaf Irish Cream"/>
    <s v="Decaf"/>
    <n v="593"/>
    <n v="30"/>
    <x v="196"/>
    <n v="79"/>
    <n v="64"/>
    <n v="34"/>
    <n v="0.19209999999999999"/>
    <n v="260"/>
    <n v="100"/>
    <n v="120"/>
    <n v="0.46150000000000002"/>
  </r>
  <r>
    <d v="2024-08-03T00:00:00"/>
    <n v="435"/>
    <x v="13"/>
    <s v="West"/>
    <s v="Small Market"/>
    <s v="Beans"/>
    <s v="Coffee"/>
    <s v="Colombian"/>
    <s v="Regular"/>
    <n v="380"/>
    <n v="17"/>
    <x v="50"/>
    <n v="53"/>
    <n v="44"/>
    <n v="40"/>
    <n v="0.30299999999999999"/>
    <n v="140"/>
    <n v="60"/>
    <n v="50"/>
    <n v="0.35709999999999997"/>
  </r>
  <r>
    <d v="2024-08-04T00:00:00"/>
    <n v="417"/>
    <x v="6"/>
    <s v="Central"/>
    <s v="Small Market"/>
    <s v="Leaves"/>
    <s v="Tea"/>
    <s v="Darjeeling"/>
    <s v="Regular"/>
    <n v="248"/>
    <n v="11"/>
    <x v="74"/>
    <n v="35"/>
    <n v="38"/>
    <n v="9"/>
    <n v="0.10979999999999999"/>
    <n v="60"/>
    <n v="20"/>
    <n v="10"/>
    <n v="0.16669999999999999"/>
  </r>
  <r>
    <d v="2024-08-04T00:00:00"/>
    <n v="503"/>
    <x v="9"/>
    <s v="West"/>
    <s v="Small Market"/>
    <s v="Beans"/>
    <s v="Espresso"/>
    <s v="Caffe Mocha"/>
    <s v="Regular"/>
    <n v="424"/>
    <n v="17"/>
    <x v="39"/>
    <n v="54"/>
    <n v="45"/>
    <n v="42"/>
    <n v="0.31109999999999999"/>
    <n v="120"/>
    <n v="50"/>
    <n v="40"/>
    <n v="0.33329999999999999"/>
  </r>
  <r>
    <d v="2024-08-04T00:00:00"/>
    <n v="305"/>
    <x v="16"/>
    <s v="East"/>
    <s v="Major Market"/>
    <s v="Beans"/>
    <s v="Espresso"/>
    <s v="Caffe Mocha"/>
    <s v="Regular"/>
    <n v="716"/>
    <n v="95"/>
    <x v="128"/>
    <n v="105"/>
    <n v="124"/>
    <n v="31"/>
    <n v="0.11650000000000001"/>
    <n v="240"/>
    <n v="100"/>
    <n v="30"/>
    <n v="0.125"/>
  </r>
  <r>
    <d v="2024-08-04T00:00:00"/>
    <n v="573"/>
    <x v="6"/>
    <s v="Central"/>
    <s v="Small Market"/>
    <s v="Beans"/>
    <s v="Coffee"/>
    <s v="Colombian"/>
    <s v="Regular"/>
    <n v="593"/>
    <n v="30"/>
    <x v="62"/>
    <n v="79"/>
    <n v="63"/>
    <n v="52"/>
    <n v="0.27510000000000001"/>
    <n v="170"/>
    <n v="70"/>
    <n v="70"/>
    <n v="0.4118"/>
  </r>
  <r>
    <d v="2024-08-04T00:00:00"/>
    <n v="618"/>
    <x v="2"/>
    <s v="Central"/>
    <s v="Major Market"/>
    <s v="Leaves"/>
    <s v="Herbal Tea"/>
    <s v="Chamomile"/>
    <s v="Decaf"/>
    <n v="959"/>
    <n v="34"/>
    <x v="34"/>
    <n v="123"/>
    <n v="46"/>
    <n v="197"/>
    <n v="0.61180000000000001"/>
    <n v="280"/>
    <n v="110"/>
    <n v="130"/>
    <n v="0.46429999999999999"/>
  </r>
  <r>
    <d v="2024-08-04T00:00:00"/>
    <n v="702"/>
    <x v="8"/>
    <s v="West"/>
    <s v="Small Market"/>
    <s v="Leaves"/>
    <s v="Tea"/>
    <s v="Green Tea"/>
    <s v="Regular"/>
    <n v="7653"/>
    <n v="93"/>
    <x v="207"/>
    <n v="245"/>
    <n v="127"/>
    <n v="-340"/>
    <n v="-10.625"/>
    <n v="0"/>
    <n v="180"/>
    <n v="-280"/>
    <e v="#DIV/0!"/>
  </r>
  <r>
    <d v="2024-08-05T00:00:00"/>
    <n v="636"/>
    <x v="6"/>
    <s v="Central"/>
    <s v="Small Market"/>
    <s v="Beans"/>
    <s v="Espresso"/>
    <s v="Decaf Espresso"/>
    <s v="Decaf"/>
    <n v="836"/>
    <n v="9"/>
    <x v="208"/>
    <n v="33"/>
    <n v="21"/>
    <n v="40"/>
    <n v="0.46510000000000001"/>
    <n v="100"/>
    <n v="40"/>
    <n v="50"/>
    <n v="0.5"/>
  </r>
  <r>
    <d v="2024-08-05T00:00:00"/>
    <n v="503"/>
    <x v="9"/>
    <s v="West"/>
    <s v="Small Market"/>
    <s v="Beans"/>
    <s v="Espresso"/>
    <s v="Caffe Mocha"/>
    <s v="Regular"/>
    <n v="424"/>
    <n v="17"/>
    <x v="117"/>
    <n v="54"/>
    <n v="45"/>
    <n v="28"/>
    <n v="0.2205"/>
    <n v="120"/>
    <n v="50"/>
    <n v="40"/>
    <n v="0.33329999999999999"/>
  </r>
  <r>
    <d v="2024-08-05T00:00:00"/>
    <n v="720"/>
    <x v="1"/>
    <s v="Central"/>
    <s v="Major Market"/>
    <s v="Beans"/>
    <s v="Coffee"/>
    <s v="Decaf Irish Cream"/>
    <s v="Decaf"/>
    <n v="1003"/>
    <n v="24"/>
    <x v="169"/>
    <n v="86"/>
    <n v="36"/>
    <n v="88"/>
    <n v="0.41899999999999998"/>
    <n v="200"/>
    <n v="80"/>
    <n v="90"/>
    <n v="0.45"/>
  </r>
  <r>
    <d v="2024-08-07T00:00:00"/>
    <n v="918"/>
    <x v="19"/>
    <s v="South"/>
    <s v="Small Market"/>
    <s v="Beans"/>
    <s v="Espresso"/>
    <s v="Caffe Mocha"/>
    <s v="Regular"/>
    <n v="482"/>
    <n v="8"/>
    <x v="21"/>
    <n v="32"/>
    <n v="19"/>
    <n v="29"/>
    <n v="0.36249999999999999"/>
    <n v="60"/>
    <n v="20"/>
    <n v="30"/>
    <n v="0.5"/>
  </r>
  <r>
    <d v="2024-08-07T00:00:00"/>
    <n v="860"/>
    <x v="18"/>
    <s v="East"/>
    <s v="Small Market"/>
    <s v="Leaves"/>
    <s v="Tea"/>
    <s v="Darjeeling"/>
    <s v="Regular"/>
    <n v="885"/>
    <n v="15"/>
    <x v="19"/>
    <n v="54"/>
    <n v="27"/>
    <n v="76"/>
    <n v="0.53900000000000003"/>
    <n v="130"/>
    <n v="50"/>
    <n v="60"/>
    <n v="0.46150000000000002"/>
  </r>
  <r>
    <d v="2024-08-08T00:00:00"/>
    <n v="203"/>
    <x v="18"/>
    <s v="East"/>
    <s v="Small Market"/>
    <s v="Beans"/>
    <s v="Espresso"/>
    <s v="Decaf Espresso"/>
    <s v="Decaf"/>
    <n v="375"/>
    <n v="15"/>
    <x v="77"/>
    <n v="47"/>
    <n v="43"/>
    <n v="31"/>
    <n v="0.26269999999999999"/>
    <n v="90"/>
    <n v="30"/>
    <n v="50"/>
    <n v="0.55559999999999998"/>
  </r>
  <r>
    <d v="2024-08-08T00:00:00"/>
    <n v="603"/>
    <x v="15"/>
    <s v="East"/>
    <s v="Small Market"/>
    <s v="Beans"/>
    <s v="Espresso"/>
    <s v="Caffe Mocha"/>
    <s v="Regular"/>
    <n v="320"/>
    <n v="41"/>
    <x v="44"/>
    <n v="45"/>
    <n v="71"/>
    <n v="-10"/>
    <n v="-8.6199999999999999E-2"/>
    <n v="90"/>
    <n v="30"/>
    <n v="30"/>
    <n v="0.33329999999999999"/>
  </r>
  <r>
    <d v="2024-08-08T00:00:00"/>
    <n v="315"/>
    <x v="14"/>
    <s v="East"/>
    <s v="Major Market"/>
    <s v="Beans"/>
    <s v="Coffee"/>
    <s v="Colombian"/>
    <s v="Regular"/>
    <n v="2642"/>
    <n v="97"/>
    <x v="52"/>
    <n v="279"/>
    <n v="149"/>
    <n v="402"/>
    <n v="0.53959999999999997"/>
    <n v="620"/>
    <n v="250"/>
    <n v="250"/>
    <n v="0.4032"/>
  </r>
  <r>
    <d v="2024-08-08T00:00:00"/>
    <n v="702"/>
    <x v="8"/>
    <s v="West"/>
    <s v="Small Market"/>
    <s v="Leaves"/>
    <s v="Tea"/>
    <s v="Green Tea"/>
    <s v="Regular"/>
    <n v="7058"/>
    <n v="96"/>
    <x v="209"/>
    <n v="255"/>
    <n v="129"/>
    <n v="-539"/>
    <n v="-24.5"/>
    <n v="0"/>
    <n v="110"/>
    <n v="-170"/>
    <e v="#DIV/0!"/>
  </r>
  <r>
    <d v="2024-08-09T00:00:00"/>
    <n v="234"/>
    <x v="12"/>
    <s v="Central"/>
    <s v="Major Market"/>
    <s v="Beans"/>
    <s v="Coffee"/>
    <s v="Amaretto"/>
    <s v="Regular"/>
    <n v="411"/>
    <n v="19"/>
    <x v="14"/>
    <n v="59"/>
    <n v="46"/>
    <n v="49"/>
    <n v="0.33329999999999999"/>
    <n v="130"/>
    <n v="50"/>
    <n v="50"/>
    <n v="0.3846"/>
  </r>
  <r>
    <d v="2024-08-09T00:00:00"/>
    <n v="405"/>
    <x v="19"/>
    <s v="South"/>
    <s v="Small Market"/>
    <s v="Beans"/>
    <s v="Espresso"/>
    <s v="Decaf Espresso"/>
    <s v="Decaf"/>
    <n v="817"/>
    <n v="29"/>
    <x v="149"/>
    <n v="88"/>
    <n v="61"/>
    <n v="72"/>
    <n v="0.32579999999999998"/>
    <n v="170"/>
    <n v="60"/>
    <n v="60"/>
    <n v="0.35289999999999999"/>
  </r>
  <r>
    <d v="2024-08-10T00:00:00"/>
    <n v="435"/>
    <x v="13"/>
    <s v="West"/>
    <s v="Small Market"/>
    <s v="Beans"/>
    <s v="Espresso"/>
    <s v="Decaf Espresso"/>
    <s v="Decaf"/>
    <n v="881"/>
    <n v="11"/>
    <x v="73"/>
    <n v="40"/>
    <n v="22"/>
    <n v="37"/>
    <n v="0.37369999999999998"/>
    <n v="80"/>
    <n v="20"/>
    <n v="60"/>
    <n v="0.75"/>
  </r>
  <r>
    <d v="2024-08-10T00:00:00"/>
    <n v="630"/>
    <x v="2"/>
    <s v="Central"/>
    <s v="Major Market"/>
    <s v="Beans"/>
    <s v="Espresso"/>
    <s v="Decaf Espresso"/>
    <s v="Decaf"/>
    <n v="1820"/>
    <n v="70"/>
    <x v="72"/>
    <n v="250"/>
    <n v="94"/>
    <n v="157"/>
    <n v="0.31340000000000001"/>
    <n v="640"/>
    <n v="320"/>
    <n v="240"/>
    <n v="0.375"/>
  </r>
  <r>
    <d v="2024-08-11T00:00:00"/>
    <n v="775"/>
    <x v="8"/>
    <s v="West"/>
    <s v="Small Market"/>
    <s v="Beans"/>
    <s v="Coffee"/>
    <s v="Colombian"/>
    <s v="Regular"/>
    <n v="243"/>
    <n v="12"/>
    <x v="171"/>
    <n v="33"/>
    <n v="45"/>
    <n v="-6"/>
    <n v="-7.5899999999999995E-2"/>
    <n v="80"/>
    <n v="30"/>
    <n v="10"/>
    <n v="0.125"/>
  </r>
  <r>
    <d v="2024-08-11T00:00:00"/>
    <n v="505"/>
    <x v="3"/>
    <s v="South"/>
    <s v="Small Market"/>
    <s v="Beans"/>
    <s v="Coffee"/>
    <s v="Colombian"/>
    <s v="Regular"/>
    <n v="447"/>
    <n v="14"/>
    <x v="16"/>
    <n v="45"/>
    <n v="46"/>
    <n v="34"/>
    <n v="0.28100000000000003"/>
    <n v="160"/>
    <n v="50"/>
    <n v="80"/>
    <n v="0.5"/>
  </r>
  <r>
    <d v="2024-08-11T00:00:00"/>
    <n v="818"/>
    <x v="7"/>
    <s v="West"/>
    <s v="Major Market"/>
    <s v="Beans"/>
    <s v="Espresso"/>
    <s v="Caffe Mocha"/>
    <s v="Regular"/>
    <n v="912"/>
    <n v="109"/>
    <x v="100"/>
    <n v="121"/>
    <n v="142"/>
    <n v="26"/>
    <n v="0.09"/>
    <n v="280"/>
    <n v="110"/>
    <n v="40"/>
    <n v="0.1429"/>
  </r>
  <r>
    <d v="2024-08-12T00:00:00"/>
    <n v="509"/>
    <x v="5"/>
    <s v="West"/>
    <s v="Small Market"/>
    <s v="Leaves"/>
    <s v="Herbal Tea"/>
    <s v="Lemon"/>
    <s v="Decaf"/>
    <n v="829"/>
    <n v="13"/>
    <x v="117"/>
    <n v="48"/>
    <n v="24"/>
    <n v="70"/>
    <n v="0.55120000000000002"/>
    <n v="90"/>
    <n v="30"/>
    <n v="60"/>
    <n v="0.66669999999999996"/>
  </r>
  <r>
    <d v="2024-08-12T00:00:00"/>
    <n v="206"/>
    <x v="5"/>
    <s v="West"/>
    <s v="Small Market"/>
    <s v="Leaves"/>
    <s v="Tea"/>
    <s v="Earl Grey"/>
    <s v="Regular"/>
    <n v="454"/>
    <n v="15"/>
    <x v="40"/>
    <n v="49"/>
    <n v="37"/>
    <n v="34"/>
    <n v="0.2833"/>
    <n v="80"/>
    <n v="30"/>
    <n v="30"/>
    <n v="0.375"/>
  </r>
  <r>
    <d v="2024-08-12T00:00:00"/>
    <n v="754"/>
    <x v="16"/>
    <s v="East"/>
    <s v="Major Market"/>
    <s v="Beans"/>
    <s v="Coffee"/>
    <s v="Colombian"/>
    <s v="Regular"/>
    <n v="798"/>
    <n v="25"/>
    <x v="108"/>
    <n v="78"/>
    <n v="56"/>
    <n v="63"/>
    <n v="0.31979999999999997"/>
    <n v="170"/>
    <n v="70"/>
    <n v="60"/>
    <n v="0.35289999999999999"/>
  </r>
  <r>
    <d v="2024-08-12T00:00:00"/>
    <n v="904"/>
    <x v="16"/>
    <s v="East"/>
    <s v="Major Market"/>
    <s v="Leaves"/>
    <s v="Herbal Tea"/>
    <s v="Chamomile"/>
    <s v="Decaf"/>
    <n v="573"/>
    <n v="7"/>
    <x v="170"/>
    <n v="22"/>
    <n v="19"/>
    <n v="15"/>
    <n v="0.27779999999999999"/>
    <n v="20"/>
    <n v="0"/>
    <n v="20"/>
    <n v="1"/>
  </r>
  <r>
    <d v="2024-08-12T00:00:00"/>
    <n v="775"/>
    <x v="8"/>
    <s v="West"/>
    <s v="Small Market"/>
    <s v="Leaves"/>
    <s v="Herbal Tea"/>
    <s v="Mint"/>
    <s v="Decaf"/>
    <n v="803"/>
    <n v="36"/>
    <x v="210"/>
    <n v="113"/>
    <n v="58"/>
    <n v="159"/>
    <n v="0.53720000000000001"/>
    <n v="250"/>
    <n v="100"/>
    <n v="100"/>
    <n v="0.4"/>
  </r>
  <r>
    <d v="2024-08-13T00:00:00"/>
    <n v="959"/>
    <x v="18"/>
    <s v="East"/>
    <s v="Small Market"/>
    <s v="Leaves"/>
    <s v="Tea"/>
    <s v="Green Tea"/>
    <s v="Regular"/>
    <n v="818"/>
    <n v="9"/>
    <x v="74"/>
    <n v="33"/>
    <n v="21"/>
    <n v="28"/>
    <n v="0.34150000000000003"/>
    <n v="80"/>
    <n v="30"/>
    <n v="40"/>
    <n v="0.5"/>
  </r>
  <r>
    <d v="2024-08-13T00:00:00"/>
    <n v="234"/>
    <x v="12"/>
    <s v="Central"/>
    <s v="Major Market"/>
    <s v="Beans"/>
    <s v="Coffee"/>
    <s v="Colombian"/>
    <s v="Regular"/>
    <n v="424"/>
    <n v="14"/>
    <x v="16"/>
    <n v="46"/>
    <n v="36"/>
    <n v="47"/>
    <n v="0.38840000000000002"/>
    <n v="110"/>
    <n v="40"/>
    <n v="40"/>
    <n v="0.36359999999999998"/>
  </r>
  <r>
    <d v="2024-08-13T00:00:00"/>
    <n v="786"/>
    <x v="16"/>
    <s v="East"/>
    <s v="Major Market"/>
    <s v="Leaves"/>
    <s v="Herbal Tea"/>
    <s v="Lemon"/>
    <s v="Decaf"/>
    <n v="385"/>
    <n v="21"/>
    <x v="168"/>
    <n v="56"/>
    <n v="54"/>
    <n v="24"/>
    <n v="0.17910000000000001"/>
    <n v="60"/>
    <n v="30"/>
    <n v="20"/>
    <n v="0.33329999999999999"/>
  </r>
  <r>
    <d v="2024-08-13T00:00:00"/>
    <n v="715"/>
    <x v="0"/>
    <s v="Central"/>
    <s v="Small Market"/>
    <s v="Leaves"/>
    <s v="Herbal Tea"/>
    <s v="Chamomile"/>
    <s v="Decaf"/>
    <n v="329"/>
    <n v="18"/>
    <x v="205"/>
    <n v="60"/>
    <n v="42"/>
    <n v="85"/>
    <n v="0.503"/>
    <n v="120"/>
    <n v="40"/>
    <n v="80"/>
    <n v="0.66669999999999996"/>
  </r>
  <r>
    <d v="2024-08-14T00:00:00"/>
    <n v="970"/>
    <x v="1"/>
    <s v="Central"/>
    <s v="Major Market"/>
    <s v="Beans"/>
    <s v="Coffee"/>
    <s v="Colombian"/>
    <s v="Regular"/>
    <n v="531"/>
    <n v="14"/>
    <x v="110"/>
    <n v="43"/>
    <n v="27"/>
    <n v="43"/>
    <n v="0.40570000000000001"/>
    <n v="90"/>
    <n v="40"/>
    <n v="30"/>
    <n v="0.33329999999999999"/>
  </r>
  <r>
    <d v="2024-08-14T00:00:00"/>
    <n v="253"/>
    <x v="5"/>
    <s v="West"/>
    <s v="Small Market"/>
    <s v="Leaves"/>
    <s v="Tea"/>
    <s v="Earl Grey"/>
    <s v="Regular"/>
    <n v="466"/>
    <n v="13"/>
    <x v="153"/>
    <n v="43"/>
    <n v="35"/>
    <n v="42"/>
    <n v="0.37169999999999997"/>
    <n v="70"/>
    <n v="30"/>
    <n v="20"/>
    <n v="0.28570000000000001"/>
  </r>
  <r>
    <d v="2024-08-14T00:00:00"/>
    <n v="541"/>
    <x v="9"/>
    <s v="West"/>
    <s v="Small Market"/>
    <s v="Beans"/>
    <s v="Coffee"/>
    <s v="Colombian"/>
    <s v="Regular"/>
    <n v="482"/>
    <n v="13"/>
    <x v="211"/>
    <n v="41"/>
    <n v="56"/>
    <n v="1"/>
    <n v="9.5999999999999992E-3"/>
    <n v="110"/>
    <n v="40"/>
    <n v="20"/>
    <n v="0.18179999999999999"/>
  </r>
  <r>
    <d v="2024-08-14T00:00:00"/>
    <n v="580"/>
    <x v="19"/>
    <s v="South"/>
    <s v="Small Market"/>
    <s v="Beans"/>
    <s v="Espresso"/>
    <s v="Caffe Mocha"/>
    <s v="Regular"/>
    <n v="490"/>
    <n v="8"/>
    <x v="24"/>
    <n v="29"/>
    <n v="20"/>
    <n v="24"/>
    <n v="0.32879999999999998"/>
    <n v="50"/>
    <n v="20"/>
    <n v="20"/>
    <n v="0.4"/>
  </r>
  <r>
    <d v="2024-08-14T00:00:00"/>
    <n v="414"/>
    <x v="0"/>
    <s v="Central"/>
    <s v="Small Market"/>
    <s v="Leaves"/>
    <s v="Herbal Tea"/>
    <s v="Chamomile"/>
    <s v="Decaf"/>
    <n v="329"/>
    <n v="18"/>
    <x v="201"/>
    <n v="60"/>
    <n v="42"/>
    <n v="57"/>
    <n v="0.35849999999999999"/>
    <n v="120"/>
    <n v="40"/>
    <n v="80"/>
    <n v="0.66669999999999996"/>
  </r>
  <r>
    <d v="2024-08-14T00:00:00"/>
    <n v="641"/>
    <x v="17"/>
    <s v="Central"/>
    <s v="Small Market"/>
    <s v="Leaves"/>
    <s v="Herbal Tea"/>
    <s v="Lemon"/>
    <s v="Decaf"/>
    <n v="803"/>
    <n v="36"/>
    <x v="210"/>
    <n v="113"/>
    <n v="58"/>
    <n v="159"/>
    <n v="0.53720000000000001"/>
    <n v="250"/>
    <n v="100"/>
    <n v="100"/>
    <n v="0.4"/>
  </r>
  <r>
    <d v="2024-08-14T00:00:00"/>
    <n v="303"/>
    <x v="1"/>
    <s v="Central"/>
    <s v="Major Market"/>
    <s v="Beans"/>
    <s v="Coffee"/>
    <s v="Amaretto"/>
    <s v="Regular"/>
    <n v="959"/>
    <n v="34"/>
    <x v="34"/>
    <n v="123"/>
    <n v="45"/>
    <n v="199"/>
    <n v="0.61799999999999999"/>
    <n v="290"/>
    <n v="120"/>
    <n v="130"/>
    <n v="0.44829999999999998"/>
  </r>
  <r>
    <d v="2024-08-15T00:00:00"/>
    <n v="585"/>
    <x v="14"/>
    <s v="East"/>
    <s v="Major Market"/>
    <s v="Leaves"/>
    <s v="Herbal Tea"/>
    <s v="Lemon"/>
    <s v="Decaf"/>
    <n v="1622"/>
    <n v="96"/>
    <x v="212"/>
    <n v="255"/>
    <n v="129"/>
    <n v="191"/>
    <n v="0.34920000000000001"/>
    <n v="290"/>
    <n v="140"/>
    <n v="70"/>
    <n v="0.2414"/>
  </r>
  <r>
    <d v="2024-08-15T00:00:00"/>
    <n v="970"/>
    <x v="1"/>
    <s v="Central"/>
    <s v="Major Market"/>
    <s v="Beans"/>
    <s v="Coffee"/>
    <s v="Amaretto"/>
    <s v="Regular"/>
    <n v="915"/>
    <n v="34"/>
    <x v="1"/>
    <n v="123"/>
    <n v="46"/>
    <n v="133"/>
    <n v="0.44040000000000001"/>
    <n v="300"/>
    <n v="120"/>
    <n v="160"/>
    <n v="0.5333"/>
  </r>
  <r>
    <d v="2024-08-15T00:00:00"/>
    <n v="312"/>
    <x v="2"/>
    <s v="Central"/>
    <s v="Major Market"/>
    <s v="Leaves"/>
    <s v="Herbal Tea"/>
    <s v="Chamomile"/>
    <s v="Decaf"/>
    <n v="930"/>
    <n v="33"/>
    <x v="10"/>
    <n v="118"/>
    <n v="45"/>
    <n v="127"/>
    <n v="0.43790000000000001"/>
    <n v="260"/>
    <n v="110"/>
    <n v="110"/>
    <n v="0.42309999999999998"/>
  </r>
  <r>
    <d v="2024-08-16T00:00:00"/>
    <n v="775"/>
    <x v="8"/>
    <s v="West"/>
    <s v="Small Market"/>
    <s v="Beans"/>
    <s v="Coffee"/>
    <s v="Colombian"/>
    <s v="Regular"/>
    <n v="240"/>
    <n v="12"/>
    <x v="125"/>
    <n v="34"/>
    <n v="45"/>
    <n v="-2"/>
    <n v="-2.5999999999999999E-2"/>
    <n v="100"/>
    <n v="40"/>
    <n v="30"/>
    <n v="0.3"/>
  </r>
  <r>
    <d v="2024-08-19T00:00:00"/>
    <n v="603"/>
    <x v="15"/>
    <s v="East"/>
    <s v="Small Market"/>
    <s v="Beans"/>
    <s v="Coffee"/>
    <s v="Colombian"/>
    <s v="Regular"/>
    <n v="447"/>
    <n v="14"/>
    <x v="13"/>
    <n v="45"/>
    <n v="45"/>
    <n v="24"/>
    <n v="0.21049999999999999"/>
    <n v="90"/>
    <n v="30"/>
    <n v="50"/>
    <n v="0.55559999999999998"/>
  </r>
  <r>
    <d v="2024-08-19T00:00:00"/>
    <n v="209"/>
    <x v="7"/>
    <s v="West"/>
    <s v="Major Market"/>
    <s v="Leaves"/>
    <s v="Tea"/>
    <s v="Earl Grey"/>
    <s v="Regular"/>
    <n v="580"/>
    <n v="21"/>
    <x v="163"/>
    <n v="76"/>
    <n v="32"/>
    <n v="79"/>
    <n v="0.42249999999999999"/>
    <n v="80"/>
    <n v="30"/>
    <n v="50"/>
    <n v="0.625"/>
  </r>
  <r>
    <d v="2024-08-19T00:00:00"/>
    <n v="206"/>
    <x v="5"/>
    <s v="West"/>
    <s v="Small Market"/>
    <s v="Beans"/>
    <s v="Espresso"/>
    <s v="Caffe Latte"/>
    <s v="Regular"/>
    <n v="567"/>
    <n v="7"/>
    <x v="26"/>
    <n v="24"/>
    <n v="19"/>
    <n v="19"/>
    <n v="0.31669999999999998"/>
    <n v="50"/>
    <n v="20"/>
    <n v="20"/>
    <n v="0.4"/>
  </r>
  <r>
    <d v="2024-08-19T00:00:00"/>
    <n v="801"/>
    <x v="13"/>
    <s v="West"/>
    <s v="Small Market"/>
    <s v="Beans"/>
    <s v="Coffee"/>
    <s v="Colombian"/>
    <s v="Regular"/>
    <n v="392"/>
    <n v="16"/>
    <x v="13"/>
    <n v="49"/>
    <n v="44"/>
    <n v="21"/>
    <n v="0.1842"/>
    <n v="130"/>
    <n v="50"/>
    <n v="50"/>
    <n v="0.3846"/>
  </r>
  <r>
    <d v="2024-08-20T00:00:00"/>
    <n v="626"/>
    <x v="7"/>
    <s v="West"/>
    <s v="Major Market"/>
    <s v="Leaves"/>
    <s v="Tea"/>
    <s v="Earl Grey"/>
    <s v="Regular"/>
    <n v="580"/>
    <n v="21"/>
    <x v="131"/>
    <n v="76"/>
    <n v="32"/>
    <n v="117"/>
    <n v="0.58789999999999998"/>
    <n v="80"/>
    <n v="30"/>
    <n v="50"/>
    <n v="0.625"/>
  </r>
  <r>
    <d v="2024-08-20T00:00:00"/>
    <n v="845"/>
    <x v="14"/>
    <s v="East"/>
    <s v="Major Market"/>
    <s v="Beans"/>
    <s v="Coffee"/>
    <s v="Colombian"/>
    <s v="Regular"/>
    <n v="2642"/>
    <n v="97"/>
    <x v="213"/>
    <n v="279"/>
    <n v="149"/>
    <n v="271"/>
    <n v="0.38769999999999999"/>
    <n v="620"/>
    <n v="250"/>
    <n v="250"/>
    <n v="0.4032"/>
  </r>
  <r>
    <d v="2024-08-21T00:00:00"/>
    <n v="603"/>
    <x v="15"/>
    <s v="East"/>
    <s v="Small Market"/>
    <s v="Leaves"/>
    <s v="Tea"/>
    <s v="Green Tea"/>
    <s v="Regular"/>
    <n v="387"/>
    <n v="0"/>
    <x v="190"/>
    <n v="0"/>
    <n v="11"/>
    <n v="47"/>
    <n v="1.0217000000000001"/>
    <n v="40"/>
    <n v="0"/>
    <n v="30"/>
    <n v="0.75"/>
  </r>
  <r>
    <d v="2024-08-21T00:00:00"/>
    <n v="321"/>
    <x v="16"/>
    <s v="East"/>
    <s v="Major Market"/>
    <s v="Leaves"/>
    <s v="Tea"/>
    <s v="Darjeeling"/>
    <s v="Regular"/>
    <n v="882"/>
    <n v="8"/>
    <x v="21"/>
    <n v="30"/>
    <n v="19"/>
    <n v="39"/>
    <n v="0.48749999999999999"/>
    <n v="70"/>
    <n v="30"/>
    <n v="30"/>
    <n v="0.42859999999999998"/>
  </r>
  <r>
    <d v="2024-08-22T00:00:00"/>
    <n v="970"/>
    <x v="1"/>
    <s v="Central"/>
    <s v="Major Market"/>
    <s v="Beans"/>
    <s v="Coffee"/>
    <s v="Colombian"/>
    <s v="Regular"/>
    <n v="531"/>
    <n v="14"/>
    <x v="73"/>
    <n v="43"/>
    <n v="27"/>
    <n v="29"/>
    <n v="0.29289999999999999"/>
    <n v="90"/>
    <n v="40"/>
    <n v="30"/>
    <n v="0.33329999999999999"/>
  </r>
  <r>
    <d v="2024-08-22T00:00:00"/>
    <n v="775"/>
    <x v="8"/>
    <s v="West"/>
    <s v="Small Market"/>
    <s v="Beans"/>
    <s v="Espresso"/>
    <s v="Caffe Latte"/>
    <s v="Regular"/>
    <n v="344"/>
    <n v="0"/>
    <x v="190"/>
    <n v="0"/>
    <n v="12"/>
    <n v="46"/>
    <n v="1"/>
    <n v="40"/>
    <n v="0"/>
    <n v="30"/>
    <n v="0.75"/>
  </r>
  <r>
    <d v="2024-08-22T00:00:00"/>
    <n v="314"/>
    <x v="6"/>
    <s v="Central"/>
    <s v="Small Market"/>
    <s v="Beans"/>
    <s v="Coffee"/>
    <s v="Decaf Irish Cream"/>
    <s v="Decaf"/>
    <n v="1060"/>
    <n v="21"/>
    <x v="182"/>
    <n v="69"/>
    <n v="43"/>
    <n v="38"/>
    <n v="0.25330000000000003"/>
    <n v="140"/>
    <n v="60"/>
    <n v="40"/>
    <n v="0.28570000000000001"/>
  </r>
  <r>
    <d v="2024-08-22T00:00:00"/>
    <n v="815"/>
    <x v="2"/>
    <s v="Central"/>
    <s v="Major Market"/>
    <s v="Beans"/>
    <s v="Coffee"/>
    <s v="Colombian"/>
    <s v="Regular"/>
    <n v="1150"/>
    <n v="57"/>
    <x v="194"/>
    <n v="173"/>
    <n v="100"/>
    <n v="139"/>
    <n v="0.33739999999999998"/>
    <n v="400"/>
    <n v="170"/>
    <n v="140"/>
    <n v="0.35"/>
  </r>
  <r>
    <d v="2024-08-22T00:00:00"/>
    <n v="775"/>
    <x v="8"/>
    <s v="West"/>
    <s v="Small Market"/>
    <s v="Leaves"/>
    <s v="Tea"/>
    <s v="Earl Grey"/>
    <s v="Regular"/>
    <n v="1820"/>
    <n v="70"/>
    <x v="85"/>
    <n v="250"/>
    <n v="94"/>
    <n v="233"/>
    <n v="0.43630000000000002"/>
    <n v="360"/>
    <n v="180"/>
    <n v="100"/>
    <n v="0.27779999999999999"/>
  </r>
  <r>
    <d v="2024-08-23T00:00:00"/>
    <n v="970"/>
    <x v="1"/>
    <s v="Central"/>
    <s v="Major Market"/>
    <s v="Leaves"/>
    <s v="Herbal Tea"/>
    <s v="Lemon"/>
    <s v="Decaf"/>
    <n v="521"/>
    <n v="42"/>
    <x v="22"/>
    <n v="47"/>
    <n v="71"/>
    <n v="-6"/>
    <n v="-5.3600000000000002E-2"/>
    <n v="100"/>
    <n v="40"/>
    <n v="0"/>
    <n v="0"/>
  </r>
  <r>
    <d v="2024-08-23T00:00:00"/>
    <n v="435"/>
    <x v="13"/>
    <s v="West"/>
    <s v="Small Market"/>
    <s v="Beans"/>
    <s v="Espresso"/>
    <s v="Caffe Latte"/>
    <s v="Regular"/>
    <n v="836"/>
    <n v="9"/>
    <x v="208"/>
    <n v="33"/>
    <n v="21"/>
    <n v="40"/>
    <n v="0.46510000000000001"/>
    <n v="70"/>
    <n v="30"/>
    <n v="30"/>
    <n v="0.42859999999999998"/>
  </r>
  <r>
    <d v="2024-08-23T00:00:00"/>
    <n v="505"/>
    <x v="3"/>
    <s v="South"/>
    <s v="Small Market"/>
    <s v="Beans"/>
    <s v="Espresso"/>
    <s v="Caffe Latte"/>
    <s v="Regular"/>
    <n v="-466"/>
    <n v="9"/>
    <x v="166"/>
    <n v="25"/>
    <n v="43"/>
    <n v="-12"/>
    <n v="-0.21429999999999999"/>
    <n v="30"/>
    <n v="10"/>
    <n v="10"/>
    <n v="0.33329999999999999"/>
  </r>
  <r>
    <d v="2024-08-23T00:00:00"/>
    <n v="646"/>
    <x v="14"/>
    <s v="East"/>
    <s v="Major Market"/>
    <s v="Beans"/>
    <s v="Espresso"/>
    <s v="Regular Espresso"/>
    <s v="Regular"/>
    <n v="933"/>
    <n v="59"/>
    <x v="214"/>
    <n v="211"/>
    <n v="83"/>
    <n v="381"/>
    <n v="0.56440000000000001"/>
    <n v="660"/>
    <n v="200"/>
    <n v="390"/>
    <n v="0.59089999999999998"/>
  </r>
  <r>
    <d v="2024-08-23T00:00:00"/>
    <n v="573"/>
    <x v="6"/>
    <s v="Central"/>
    <s v="Small Market"/>
    <s v="Beans"/>
    <s v="Espresso"/>
    <s v="Caffe Mocha"/>
    <s v="Regular"/>
    <n v="898"/>
    <n v="14"/>
    <x v="30"/>
    <n v="50"/>
    <n v="25"/>
    <n v="71"/>
    <n v="0.54200000000000004"/>
    <n v="150"/>
    <n v="60"/>
    <n v="70"/>
    <n v="0.4667"/>
  </r>
  <r>
    <d v="2024-08-24T00:00:00"/>
    <n v="956"/>
    <x v="10"/>
    <s v="South"/>
    <s v="Major Market"/>
    <s v="Beans"/>
    <s v="Coffee"/>
    <s v="Decaf Irish Cream"/>
    <s v="Decaf"/>
    <n v="531"/>
    <n v="14"/>
    <x v="110"/>
    <n v="43"/>
    <n v="26"/>
    <n v="45"/>
    <n v="0.42449999999999999"/>
    <n v="110"/>
    <n v="50"/>
    <n v="40"/>
    <n v="0.36359999999999998"/>
  </r>
  <r>
    <d v="2024-08-24T00:00:00"/>
    <n v="206"/>
    <x v="5"/>
    <s v="West"/>
    <s v="Small Market"/>
    <s v="Leaves"/>
    <s v="Tea"/>
    <s v="Earl Grey"/>
    <s v="Regular"/>
    <n v="454"/>
    <n v="15"/>
    <x v="0"/>
    <n v="49"/>
    <n v="37"/>
    <n v="50"/>
    <n v="0.3906"/>
    <n v="80"/>
    <n v="30"/>
    <n v="30"/>
    <n v="0.375"/>
  </r>
  <r>
    <d v="2024-08-24T00:00:00"/>
    <n v="513"/>
    <x v="12"/>
    <s v="Central"/>
    <s v="Major Market"/>
    <s v="Leaves"/>
    <s v="Herbal Tea"/>
    <s v="Lemon"/>
    <s v="Decaf"/>
    <n v="859"/>
    <n v="7"/>
    <x v="32"/>
    <n v="27"/>
    <n v="19"/>
    <n v="20"/>
    <n v="0.30299999999999999"/>
    <n v="40"/>
    <n v="10"/>
    <n v="30"/>
    <n v="0.75"/>
  </r>
  <r>
    <d v="2024-08-24T00:00:00"/>
    <n v="407"/>
    <x v="16"/>
    <s v="East"/>
    <s v="Major Market"/>
    <s v="Beans"/>
    <s v="Coffee"/>
    <s v="Colombian"/>
    <s v="Regular"/>
    <n v="817"/>
    <n v="29"/>
    <x v="78"/>
    <n v="88"/>
    <n v="60"/>
    <n v="108"/>
    <n v="0.45760000000000001"/>
    <n v="190"/>
    <n v="70"/>
    <n v="80"/>
    <n v="0.42109999999999997"/>
  </r>
  <r>
    <d v="2024-08-24T00:00:00"/>
    <n v="303"/>
    <x v="1"/>
    <s v="Central"/>
    <s v="Major Market"/>
    <s v="Beans"/>
    <s v="Espresso"/>
    <s v="Caffe Mocha"/>
    <s v="Regular"/>
    <n v="589"/>
    <n v="14"/>
    <x v="30"/>
    <n v="50"/>
    <n v="25"/>
    <n v="71"/>
    <n v="0.54200000000000004"/>
    <n v="150"/>
    <n v="60"/>
    <n v="70"/>
    <n v="0.4667"/>
  </r>
  <r>
    <d v="2024-08-25T00:00:00"/>
    <n v="305"/>
    <x v="16"/>
    <s v="East"/>
    <s v="Major Market"/>
    <s v="Leaves"/>
    <s v="Herbal Tea"/>
    <s v="Mint"/>
    <s v="Decaf"/>
    <n v="1055"/>
    <n v="24"/>
    <x v="147"/>
    <n v="80"/>
    <n v="46"/>
    <n v="48"/>
    <n v="0.27589999999999998"/>
    <n v="90"/>
    <n v="40"/>
    <n v="40"/>
    <n v="0.44440000000000002"/>
  </r>
  <r>
    <d v="2024-08-25T00:00:00"/>
    <n v="530"/>
    <x v="7"/>
    <s v="West"/>
    <s v="Major Market"/>
    <s v="Leaves"/>
    <s v="Herbal Tea"/>
    <s v="Mint"/>
    <s v="Decaf"/>
    <n v="541"/>
    <n v="12"/>
    <x v="157"/>
    <n v="39"/>
    <n v="25"/>
    <n v="39"/>
    <n v="0.40629999999999999"/>
    <n v="60"/>
    <n v="20"/>
    <n v="40"/>
    <n v="0.66669999999999996"/>
  </r>
  <r>
    <d v="2024-08-25T00:00:00"/>
    <n v="607"/>
    <x v="14"/>
    <s v="East"/>
    <s v="Major Market"/>
    <s v="Beans"/>
    <s v="Coffee"/>
    <s v="Colombian"/>
    <s v="Regular"/>
    <n v="2580"/>
    <n v="87"/>
    <x v="215"/>
    <n v="249"/>
    <n v="138"/>
    <n v="350"/>
    <n v="0.52710000000000001"/>
    <n v="560"/>
    <n v="220"/>
    <n v="230"/>
    <n v="0.41070000000000001"/>
  </r>
  <r>
    <d v="2024-08-25T00:00:00"/>
    <n v="702"/>
    <x v="8"/>
    <s v="West"/>
    <s v="Small Market"/>
    <s v="Leaves"/>
    <s v="Tea"/>
    <s v="Darjeeling"/>
    <s v="Regular"/>
    <n v="1744"/>
    <n v="81"/>
    <x v="55"/>
    <n v="247"/>
    <n v="114"/>
    <n v="215"/>
    <n v="0.37330000000000002"/>
    <n v="420"/>
    <n v="180"/>
    <n v="150"/>
    <n v="0.35709999999999997"/>
  </r>
  <r>
    <d v="2024-08-25T00:00:00"/>
    <n v="360"/>
    <x v="5"/>
    <s v="West"/>
    <s v="Small Market"/>
    <s v="Beans"/>
    <s v="Coffee"/>
    <s v="Colombian"/>
    <s v="Regular"/>
    <n v="438"/>
    <n v="21"/>
    <x v="216"/>
    <n v="68"/>
    <n v="43"/>
    <n v="83"/>
    <n v="0.46629999999999999"/>
    <n v="230"/>
    <n v="90"/>
    <n v="110"/>
    <n v="0.4783"/>
  </r>
  <r>
    <d v="2024-08-26T00:00:00"/>
    <n v="715"/>
    <x v="0"/>
    <s v="Central"/>
    <s v="Small Market"/>
    <s v="Leaves"/>
    <s v="Tea"/>
    <s v="Earl Grey"/>
    <s v="Regular"/>
    <n v="613"/>
    <n v="55"/>
    <x v="14"/>
    <n v="61"/>
    <n v="84"/>
    <n v="2"/>
    <n v="1.3599999999999999E-2"/>
    <n v="120"/>
    <n v="50"/>
    <n v="0"/>
    <n v="0"/>
  </r>
  <r>
    <d v="2024-08-26T00:00:00"/>
    <n v="405"/>
    <x v="19"/>
    <s v="South"/>
    <s v="Small Market"/>
    <s v="Beans"/>
    <s v="Espresso"/>
    <s v="Caffe Latte"/>
    <s v="Regular"/>
    <n v="-1785"/>
    <n v="28"/>
    <x v="48"/>
    <n v="91"/>
    <n v="51"/>
    <n v="113"/>
    <n v="0.48709999999999998"/>
    <n v="130"/>
    <n v="50"/>
    <n v="70"/>
    <n v="0.53849999999999998"/>
  </r>
  <r>
    <d v="2024-08-26T00:00:00"/>
    <n v="951"/>
    <x v="7"/>
    <s v="West"/>
    <s v="Major Market"/>
    <s v="Beans"/>
    <s v="Espresso"/>
    <s v="Caffe Latte"/>
    <s v="Regular"/>
    <n v="1778"/>
    <n v="59"/>
    <x v="178"/>
    <n v="211"/>
    <n v="83"/>
    <n v="191"/>
    <n v="0.42349999999999999"/>
    <n v="410"/>
    <n v="200"/>
    <n v="140"/>
    <n v="0.34150000000000003"/>
  </r>
  <r>
    <d v="2024-08-27T00:00:00"/>
    <n v="580"/>
    <x v="19"/>
    <s v="South"/>
    <s v="Small Market"/>
    <s v="Beans"/>
    <s v="Espresso"/>
    <s v="Caffe Mocha"/>
    <s v="Regular"/>
    <n v="480"/>
    <n v="5"/>
    <x v="166"/>
    <n v="21"/>
    <n v="17"/>
    <n v="22"/>
    <n v="0.39290000000000003"/>
    <n v="30"/>
    <n v="0"/>
    <n v="30"/>
    <n v="1"/>
  </r>
  <r>
    <d v="2024-08-28T00:00:00"/>
    <n v="603"/>
    <x v="15"/>
    <s v="East"/>
    <s v="Small Market"/>
    <s v="Beans"/>
    <s v="Coffee"/>
    <s v="Colombian"/>
    <s v="Regular"/>
    <n v="452"/>
    <n v="14"/>
    <x v="44"/>
    <n v="43"/>
    <n v="46"/>
    <n v="30"/>
    <n v="0.2586"/>
    <n v="90"/>
    <n v="30"/>
    <n v="30"/>
    <n v="0.33329999999999999"/>
  </r>
  <r>
    <d v="2024-08-28T00:00:00"/>
    <n v="518"/>
    <x v="14"/>
    <s v="East"/>
    <s v="Major Market"/>
    <s v="Leaves"/>
    <s v="Tea"/>
    <s v="Darjeeling"/>
    <s v="Regular"/>
    <n v="984"/>
    <n v="22"/>
    <x v="88"/>
    <n v="81"/>
    <n v="33"/>
    <n v="84"/>
    <n v="0.42420000000000002"/>
    <n v="200"/>
    <n v="80"/>
    <n v="90"/>
    <n v="0.45"/>
  </r>
  <r>
    <d v="2024-08-28T00:00:00"/>
    <n v="760"/>
    <x v="7"/>
    <s v="West"/>
    <s v="Major Market"/>
    <s v="Leaves"/>
    <s v="Herbal Tea"/>
    <s v="Chamomile"/>
    <s v="Decaf"/>
    <n v="984"/>
    <n v="22"/>
    <x v="217"/>
    <n v="81"/>
    <n v="33"/>
    <n v="125"/>
    <n v="0.59240000000000004"/>
    <n v="180"/>
    <n v="70"/>
    <n v="80"/>
    <n v="0.44440000000000002"/>
  </r>
  <r>
    <d v="2024-09-01T00:00:00"/>
    <n v="425"/>
    <x v="5"/>
    <s v="West"/>
    <s v="Small Market"/>
    <s v="Beans"/>
    <s v="Espresso"/>
    <s v="Caffe Mocha"/>
    <s v="Regular"/>
    <n v="391"/>
    <n v="20"/>
    <x v="16"/>
    <n v="54"/>
    <n v="54"/>
    <n v="13"/>
    <n v="0.1074"/>
    <n v="110"/>
    <n v="50"/>
    <n v="20"/>
    <n v="0.18179999999999999"/>
  </r>
  <r>
    <d v="2024-09-01T00:00:00"/>
    <n v="959"/>
    <x v="18"/>
    <s v="East"/>
    <s v="Small Market"/>
    <s v="Leaves"/>
    <s v="Tea"/>
    <s v="Darjeeling"/>
    <s v="Regular"/>
    <n v="885"/>
    <n v="15"/>
    <x v="50"/>
    <n v="54"/>
    <n v="27"/>
    <n v="51"/>
    <n v="0.38640000000000002"/>
    <n v="130"/>
    <n v="50"/>
    <n v="60"/>
    <n v="0.46150000000000002"/>
  </r>
  <r>
    <d v="2024-09-01T00:00:00"/>
    <n v="435"/>
    <x v="13"/>
    <s v="West"/>
    <s v="Small Market"/>
    <s v="Beans"/>
    <s v="Coffee"/>
    <s v="Amaretto"/>
    <s v="Regular"/>
    <n v="1075"/>
    <n v="19"/>
    <x v="76"/>
    <n v="63"/>
    <n v="40"/>
    <n v="36"/>
    <n v="0.25900000000000001"/>
    <n v="160"/>
    <n v="70"/>
    <n v="50"/>
    <n v="0.3125"/>
  </r>
  <r>
    <d v="2024-09-01T00:00:00"/>
    <n v="435"/>
    <x v="13"/>
    <s v="West"/>
    <s v="Small Market"/>
    <s v="Leaves"/>
    <s v="Herbal Tea"/>
    <s v="Mint"/>
    <s v="Decaf"/>
    <n v="1698"/>
    <n v="26"/>
    <x v="44"/>
    <n v="86"/>
    <n v="50"/>
    <n v="-40"/>
    <n v="-0.3448"/>
    <n v="80"/>
    <n v="60"/>
    <n v="0"/>
    <n v="0"/>
  </r>
  <r>
    <d v="2024-09-02T00:00:00"/>
    <n v="920"/>
    <x v="0"/>
    <s v="Central"/>
    <s v="Small Market"/>
    <s v="Leaves"/>
    <s v="Herbal Tea"/>
    <s v="Chamomile"/>
    <s v="Decaf"/>
    <n v="320"/>
    <n v="12"/>
    <x v="60"/>
    <n v="41"/>
    <n v="36"/>
    <n v="30"/>
    <n v="0.28039999999999998"/>
    <n v="90"/>
    <n v="30"/>
    <n v="30"/>
    <n v="0.33329999999999999"/>
  </r>
  <r>
    <d v="2024-09-02T00:00:00"/>
    <n v="773"/>
    <x v="2"/>
    <s v="Central"/>
    <s v="Major Market"/>
    <s v="Leaves"/>
    <s v="Herbal Tea"/>
    <s v="Lemon"/>
    <s v="Decaf"/>
    <n v="536"/>
    <n v="13"/>
    <x v="132"/>
    <n v="40"/>
    <n v="25"/>
    <n v="27"/>
    <n v="0.29349999999999998"/>
    <n v="80"/>
    <n v="30"/>
    <n v="30"/>
    <n v="0.375"/>
  </r>
  <r>
    <d v="2024-09-02T00:00:00"/>
    <n v="971"/>
    <x v="9"/>
    <s v="West"/>
    <s v="Small Market"/>
    <s v="Beans"/>
    <s v="Espresso"/>
    <s v="Caffe Latte"/>
    <s v="Regular"/>
    <n v="422"/>
    <n v="17"/>
    <x v="18"/>
    <n v="46"/>
    <n v="51"/>
    <n v="6"/>
    <n v="5.8299999999999998E-2"/>
    <n v="90"/>
    <n v="40"/>
    <n v="10"/>
    <n v="0.1111"/>
  </r>
  <r>
    <d v="2024-09-02T00:00:00"/>
    <n v="323"/>
    <x v="7"/>
    <s v="West"/>
    <s v="Major Market"/>
    <s v="Leaves"/>
    <s v="Herbal Tea"/>
    <s v="Mint"/>
    <s v="Decaf"/>
    <n v="531"/>
    <n v="14"/>
    <x v="110"/>
    <n v="43"/>
    <n v="27"/>
    <n v="43"/>
    <n v="0.40570000000000001"/>
    <n v="90"/>
    <n v="40"/>
    <n v="30"/>
    <n v="0.33329999999999999"/>
  </r>
  <r>
    <d v="2024-09-02T00:00:00"/>
    <n v="914"/>
    <x v="14"/>
    <s v="East"/>
    <s v="Major Market"/>
    <s v="Beans"/>
    <s v="Espresso"/>
    <s v="Caffe Mocha"/>
    <s v="Regular"/>
    <n v="3385"/>
    <n v="109"/>
    <x v="218"/>
    <n v="121"/>
    <n v="142"/>
    <n v="-300"/>
    <n v="-4.6154000000000002"/>
    <n v="50"/>
    <n v="110"/>
    <n v="-190"/>
    <n v="-3.8"/>
  </r>
  <r>
    <d v="2024-09-02T00:00:00"/>
    <n v="206"/>
    <x v="5"/>
    <s v="West"/>
    <s v="Small Market"/>
    <s v="Beans"/>
    <s v="Espresso"/>
    <s v="Caffe Latte"/>
    <s v="Regular"/>
    <n v="573"/>
    <n v="7"/>
    <x v="6"/>
    <n v="22"/>
    <n v="19"/>
    <n v="10"/>
    <n v="0.1961"/>
    <n v="30"/>
    <n v="10"/>
    <n v="20"/>
    <n v="0.66669999999999996"/>
  </r>
  <r>
    <d v="2024-09-03T00:00:00"/>
    <n v="713"/>
    <x v="10"/>
    <s v="South"/>
    <s v="Major Market"/>
    <s v="Leaves"/>
    <s v="Herbal Tea"/>
    <s v="Chamomile"/>
    <s v="Decaf"/>
    <n v="411"/>
    <n v="19"/>
    <x v="87"/>
    <n v="59"/>
    <n v="47"/>
    <n v="32"/>
    <n v="0.2319"/>
    <n v="120"/>
    <n v="50"/>
    <n v="40"/>
    <n v="0.33329999999999999"/>
  </r>
  <r>
    <d v="2024-09-03T00:00:00"/>
    <n v="971"/>
    <x v="9"/>
    <s v="West"/>
    <s v="Small Market"/>
    <s v="Leaves"/>
    <s v="Tea"/>
    <s v="Darjeeling"/>
    <s v="Regular"/>
    <n v="480"/>
    <n v="5"/>
    <x v="166"/>
    <n v="21"/>
    <n v="16"/>
    <n v="24"/>
    <n v="0.42859999999999998"/>
    <n v="20"/>
    <n v="0"/>
    <n v="20"/>
    <n v="1"/>
  </r>
  <r>
    <d v="2024-09-04T00:00:00"/>
    <n v="970"/>
    <x v="1"/>
    <s v="Central"/>
    <s v="Major Market"/>
    <s v="Leaves"/>
    <s v="Tea"/>
    <s v="Earl Grey"/>
    <s v="Regular"/>
    <n v="1037"/>
    <n v="16"/>
    <x v="29"/>
    <n v="54"/>
    <n v="37"/>
    <n v="40"/>
    <n v="0.3175"/>
    <n v="80"/>
    <n v="30"/>
    <n v="40"/>
    <n v="0.5"/>
  </r>
  <r>
    <d v="2024-09-04T00:00:00"/>
    <n v="603"/>
    <x v="15"/>
    <s v="East"/>
    <s v="Small Market"/>
    <s v="Leaves"/>
    <s v="Herbal Tea"/>
    <s v="Lemon"/>
    <s v="Decaf"/>
    <n v="240"/>
    <n v="12"/>
    <x v="74"/>
    <n v="34"/>
    <n v="46"/>
    <n v="-4"/>
    <n v="-4.8800000000000003E-2"/>
    <n v="40"/>
    <n v="10"/>
    <n v="20"/>
    <n v="0.5"/>
  </r>
  <r>
    <d v="2024-09-04T00:00:00"/>
    <n v="337"/>
    <x v="4"/>
    <s v="South"/>
    <s v="Small Market"/>
    <s v="Leaves"/>
    <s v="Herbal Tea"/>
    <s v="Chamomile"/>
    <s v="Decaf"/>
    <n v="552"/>
    <n v="33"/>
    <x v="219"/>
    <n v="101"/>
    <n v="45"/>
    <n v="85"/>
    <n v="0.36799999999999999"/>
    <n v="210"/>
    <n v="90"/>
    <n v="80"/>
    <n v="0.38100000000000001"/>
  </r>
  <r>
    <d v="2024-09-05T00:00:00"/>
    <n v="718"/>
    <x v="14"/>
    <s v="East"/>
    <s v="Major Market"/>
    <s v="Leaves"/>
    <s v="Tea"/>
    <s v="Earl Grey"/>
    <s v="Regular"/>
    <n v="959"/>
    <n v="34"/>
    <x v="1"/>
    <n v="123"/>
    <n v="46"/>
    <n v="133"/>
    <n v="0.44040000000000001"/>
    <n v="310"/>
    <n v="120"/>
    <n v="150"/>
    <n v="0.4839"/>
  </r>
  <r>
    <d v="2024-09-05T00:00:00"/>
    <n v="562"/>
    <x v="7"/>
    <s v="West"/>
    <s v="Major Market"/>
    <s v="Beans"/>
    <s v="Espresso"/>
    <s v="Caffe Mocha"/>
    <s v="Regular"/>
    <n v="898"/>
    <n v="113"/>
    <x v="11"/>
    <n v="125"/>
    <n v="146"/>
    <n v="27"/>
    <n v="9.06E-2"/>
    <n v="270"/>
    <n v="110"/>
    <n v="50"/>
    <n v="0.1852"/>
  </r>
  <r>
    <d v="2024-09-05T00:00:00"/>
    <n v="503"/>
    <x v="9"/>
    <s v="West"/>
    <s v="Small Market"/>
    <s v="Beans"/>
    <s v="Coffee"/>
    <s v="Colombian"/>
    <s v="Regular"/>
    <n v="463"/>
    <n v="19"/>
    <x v="130"/>
    <n v="60"/>
    <n v="63"/>
    <n v="31"/>
    <n v="0.2026"/>
    <n v="210"/>
    <n v="80"/>
    <n v="90"/>
    <n v="0.42859999999999998"/>
  </r>
  <r>
    <d v="2024-09-06T00:00:00"/>
    <n v="425"/>
    <x v="5"/>
    <s v="West"/>
    <s v="Small Market"/>
    <s v="Leaves"/>
    <s v="Herbal Tea"/>
    <s v="Lemon"/>
    <s v="Decaf"/>
    <n v="845"/>
    <n v="13"/>
    <x v="40"/>
    <n v="49"/>
    <n v="25"/>
    <n v="46"/>
    <n v="0.38329999999999997"/>
    <n v="110"/>
    <n v="40"/>
    <n v="50"/>
    <n v="0.45450000000000002"/>
  </r>
  <r>
    <d v="2024-09-06T00:00:00"/>
    <n v="580"/>
    <x v="19"/>
    <s v="South"/>
    <s v="Small Market"/>
    <s v="Leaves"/>
    <s v="Herbal Tea"/>
    <s v="Lemon"/>
    <s v="Decaf"/>
    <n v="716"/>
    <n v="95"/>
    <x v="128"/>
    <n v="105"/>
    <n v="125"/>
    <n v="30"/>
    <n v="0.1128"/>
    <n v="230"/>
    <n v="90"/>
    <n v="30"/>
    <n v="0.13039999999999999"/>
  </r>
  <r>
    <d v="2024-09-06T00:00:00"/>
    <n v="417"/>
    <x v="6"/>
    <s v="Central"/>
    <s v="Small Market"/>
    <s v="Leaves"/>
    <s v="Tea"/>
    <s v="Earl Grey"/>
    <s v="Regular"/>
    <n v="209"/>
    <n v="9"/>
    <x v="166"/>
    <n v="25"/>
    <n v="42"/>
    <n v="-11"/>
    <n v="-0.19639999999999999"/>
    <n v="30"/>
    <n v="10"/>
    <n v="0"/>
    <n v="0"/>
  </r>
  <r>
    <d v="2024-09-06T00:00:00"/>
    <n v="573"/>
    <x v="6"/>
    <s v="Central"/>
    <s v="Small Market"/>
    <s v="Leaves"/>
    <s v="Tea"/>
    <s v="Earl Grey"/>
    <s v="Regular"/>
    <n v="218"/>
    <n v="7"/>
    <x v="129"/>
    <n v="20"/>
    <n v="41"/>
    <n v="-16"/>
    <n v="-0.35560000000000003"/>
    <n v="30"/>
    <n v="10"/>
    <n v="-10"/>
    <n v="-0.33329999999999999"/>
  </r>
  <r>
    <d v="2024-09-06T00:00:00"/>
    <n v="971"/>
    <x v="9"/>
    <s v="West"/>
    <s v="Small Market"/>
    <s v="Leaves"/>
    <s v="Tea"/>
    <s v="Green Tea"/>
    <s v="Regular"/>
    <n v="666"/>
    <n v="31"/>
    <x v="152"/>
    <n v="102"/>
    <n v="54"/>
    <n v="89"/>
    <n v="0.36330000000000001"/>
    <n v="170"/>
    <n v="70"/>
    <n v="70"/>
    <n v="0.4118"/>
  </r>
  <r>
    <d v="2024-09-07T00:00:00"/>
    <n v="715"/>
    <x v="0"/>
    <s v="Central"/>
    <s v="Small Market"/>
    <s v="Leaves"/>
    <s v="Tea"/>
    <s v="Earl Grey"/>
    <s v="Regular"/>
    <n v="606"/>
    <n v="54"/>
    <x v="114"/>
    <n v="60"/>
    <n v="84"/>
    <n v="0"/>
    <n v="0"/>
    <n v="90"/>
    <n v="40"/>
    <n v="0"/>
    <n v="0"/>
  </r>
  <r>
    <d v="2024-09-07T00:00:00"/>
    <n v="702"/>
    <x v="8"/>
    <s v="West"/>
    <s v="Small Market"/>
    <s v="Beans"/>
    <s v="Espresso"/>
    <s v="Decaf Espresso"/>
    <s v="Decaf"/>
    <n v="807"/>
    <n v="6"/>
    <x v="118"/>
    <n v="23"/>
    <n v="18"/>
    <n v="17"/>
    <n v="0.29310000000000003"/>
    <n v="50"/>
    <n v="20"/>
    <n v="20"/>
    <n v="0.4"/>
  </r>
  <r>
    <d v="2024-09-08T00:00:00"/>
    <n v="603"/>
    <x v="15"/>
    <s v="East"/>
    <s v="Small Market"/>
    <s v="Beans"/>
    <s v="Espresso"/>
    <s v="Caffe Mocha"/>
    <s v="Regular"/>
    <n v="325"/>
    <n v="40"/>
    <x v="110"/>
    <n v="44"/>
    <n v="70"/>
    <n v="-8"/>
    <n v="-7.5499999999999998E-2"/>
    <n v="100"/>
    <n v="40"/>
    <n v="10"/>
    <n v="0.1"/>
  </r>
  <r>
    <d v="2024-09-08T00:00:00"/>
    <n v="515"/>
    <x v="17"/>
    <s v="Central"/>
    <s v="Small Market"/>
    <s v="Beans"/>
    <s v="Espresso"/>
    <s v="Caffe Mocha"/>
    <s v="Regular"/>
    <n v="802"/>
    <n v="6"/>
    <x v="166"/>
    <n v="22"/>
    <n v="18"/>
    <n v="16"/>
    <n v="0.28570000000000001"/>
    <n v="70"/>
    <n v="20"/>
    <n v="40"/>
    <n v="0.57140000000000002"/>
  </r>
  <r>
    <d v="2024-09-08T00:00:00"/>
    <n v="813"/>
    <x v="16"/>
    <s v="East"/>
    <s v="Major Market"/>
    <s v="Leaves"/>
    <s v="Tea"/>
    <s v="Darjeeling"/>
    <s v="Regular"/>
    <n v="882"/>
    <n v="8"/>
    <x v="197"/>
    <n v="30"/>
    <n v="19"/>
    <n v="26"/>
    <n v="0.34670000000000001"/>
    <n v="70"/>
    <n v="30"/>
    <n v="30"/>
    <n v="0.42859999999999998"/>
  </r>
  <r>
    <d v="2024-09-08T00:00:00"/>
    <n v="727"/>
    <x v="16"/>
    <s v="East"/>
    <s v="Major Market"/>
    <s v="Leaves"/>
    <s v="Herbal Tea"/>
    <s v="Chamomile"/>
    <s v="Decaf"/>
    <n v="570"/>
    <n v="7"/>
    <x v="27"/>
    <n v="22"/>
    <n v="19"/>
    <n v="16"/>
    <n v="0.29089999999999999"/>
    <n v="30"/>
    <n v="10"/>
    <n v="10"/>
    <n v="0.33329999999999999"/>
  </r>
  <r>
    <d v="2024-09-09T00:00:00"/>
    <n v="774"/>
    <x v="11"/>
    <s v="East"/>
    <s v="Major Market"/>
    <s v="Beans"/>
    <s v="Espresso"/>
    <s v="Caffe Mocha"/>
    <s v="Regular"/>
    <n v="554"/>
    <n v="47"/>
    <x v="40"/>
    <n v="52"/>
    <n v="76"/>
    <n v="-8"/>
    <n v="-6.6699999999999995E-2"/>
    <n v="110"/>
    <n v="50"/>
    <n v="0"/>
    <n v="0"/>
  </r>
  <r>
    <d v="2024-09-09T00:00:00"/>
    <n v="603"/>
    <x v="15"/>
    <s v="East"/>
    <s v="Small Market"/>
    <s v="Beans"/>
    <s v="Coffee"/>
    <s v="Amaretto"/>
    <s v="Regular"/>
    <n v="316"/>
    <n v="14"/>
    <x v="153"/>
    <n v="46"/>
    <n v="37"/>
    <n v="30"/>
    <n v="0.26550000000000001"/>
    <n v="100"/>
    <n v="40"/>
    <n v="40"/>
    <n v="0.4"/>
  </r>
  <r>
    <d v="2024-09-09T00:00:00"/>
    <n v="682"/>
    <x v="10"/>
    <s v="South"/>
    <s v="Major Market"/>
    <s v="Beans"/>
    <s v="Coffee"/>
    <s v="Decaf Irish Cream"/>
    <s v="Decaf"/>
    <n v="531"/>
    <n v="14"/>
    <x v="73"/>
    <n v="43"/>
    <n v="26"/>
    <n v="30"/>
    <n v="0.30299999999999999"/>
    <n v="110"/>
    <n v="50"/>
    <n v="40"/>
    <n v="0.36359999999999998"/>
  </r>
  <r>
    <d v="2024-09-09T00:00:00"/>
    <n v="563"/>
    <x v="17"/>
    <s v="Central"/>
    <s v="Small Market"/>
    <s v="Beans"/>
    <s v="Espresso"/>
    <s v="Decaf Espresso"/>
    <s v="Decaf"/>
    <n v="430"/>
    <n v="0"/>
    <x v="190"/>
    <n v="0"/>
    <n v="12"/>
    <n v="46"/>
    <n v="1"/>
    <n v="60"/>
    <n v="0"/>
    <n v="60"/>
    <n v="1"/>
  </r>
  <r>
    <d v="2024-09-10T00:00:00"/>
    <n v="641"/>
    <x v="17"/>
    <s v="Central"/>
    <s v="Small Market"/>
    <s v="Beans"/>
    <s v="Espresso"/>
    <s v="Decaf Espresso"/>
    <s v="Decaf"/>
    <n v="344"/>
    <n v="0"/>
    <x v="101"/>
    <n v="0"/>
    <n v="11"/>
    <n v="32"/>
    <n v="0.74419999999999997"/>
    <n v="50"/>
    <n v="0"/>
    <n v="40"/>
    <n v="0.8"/>
  </r>
  <r>
    <d v="2024-09-10T00:00:00"/>
    <n v="860"/>
    <x v="18"/>
    <s v="East"/>
    <s v="Small Market"/>
    <s v="Beans"/>
    <s v="Coffee"/>
    <s v="Colombian"/>
    <s v="Regular"/>
    <n v="1119"/>
    <n v="41"/>
    <x v="113"/>
    <n v="125"/>
    <n v="73"/>
    <n v="115"/>
    <n v="0.3674"/>
    <n v="260"/>
    <n v="100"/>
    <n v="130"/>
    <n v="0.5"/>
  </r>
  <r>
    <d v="2024-09-11T00:00:00"/>
    <n v="435"/>
    <x v="13"/>
    <s v="West"/>
    <s v="Small Market"/>
    <s v="Beans"/>
    <s v="Espresso"/>
    <s v="Decaf Espresso"/>
    <s v="Decaf"/>
    <n v="898"/>
    <n v="14"/>
    <x v="57"/>
    <n v="50"/>
    <n v="26"/>
    <n v="47"/>
    <n v="0.3821"/>
    <n v="110"/>
    <n v="40"/>
    <n v="50"/>
    <n v="0.45450000000000002"/>
  </r>
  <r>
    <d v="2024-09-11T00:00:00"/>
    <n v="954"/>
    <x v="16"/>
    <s v="East"/>
    <s v="Major Market"/>
    <s v="Beans"/>
    <s v="Coffee"/>
    <s v="Colombian"/>
    <s v="Regular"/>
    <n v="788"/>
    <n v="27"/>
    <x v="175"/>
    <n v="82"/>
    <n v="59"/>
    <n v="95"/>
    <n v="0.43580000000000002"/>
    <n v="170"/>
    <n v="60"/>
    <n v="90"/>
    <n v="0.52939999999999998"/>
  </r>
  <r>
    <d v="2024-09-12T00:00:00"/>
    <n v="314"/>
    <x v="6"/>
    <s v="Central"/>
    <s v="Small Market"/>
    <s v="Beans"/>
    <s v="Espresso"/>
    <s v="Decaf Espresso"/>
    <s v="Decaf"/>
    <n v="844"/>
    <n v="8"/>
    <x v="125"/>
    <n v="31"/>
    <n v="19"/>
    <n v="27"/>
    <n v="0.35060000000000002"/>
    <n v="90"/>
    <n v="30"/>
    <n v="50"/>
    <n v="0.55559999999999998"/>
  </r>
  <r>
    <d v="2024-09-12T00:00:00"/>
    <n v="970"/>
    <x v="1"/>
    <s v="Central"/>
    <s v="Major Market"/>
    <s v="Leaves"/>
    <s v="Herbal Tea"/>
    <s v="Mint"/>
    <s v="Decaf"/>
    <n v="424"/>
    <n v="17"/>
    <x v="39"/>
    <n v="54"/>
    <n v="44"/>
    <n v="43"/>
    <n v="0.31850000000000001"/>
    <n v="110"/>
    <n v="50"/>
    <n v="30"/>
    <n v="0.2727"/>
  </r>
  <r>
    <d v="2024-09-12T00:00:00"/>
    <n v="603"/>
    <x v="15"/>
    <s v="East"/>
    <s v="Small Market"/>
    <s v="Beans"/>
    <s v="Espresso"/>
    <s v="Caffe Mocha"/>
    <s v="Regular"/>
    <n v="335"/>
    <n v="44"/>
    <x v="29"/>
    <n v="49"/>
    <n v="73"/>
    <n v="-6"/>
    <n v="-4.7600000000000003E-2"/>
    <n v="110"/>
    <n v="40"/>
    <n v="10"/>
    <n v="9.0899999999999995E-2"/>
  </r>
  <r>
    <d v="2024-09-12T00:00:00"/>
    <n v="781"/>
    <x v="11"/>
    <s v="East"/>
    <s v="Major Market"/>
    <s v="Leaves"/>
    <s v="Herbal Tea"/>
    <s v="Lemon"/>
    <s v="Decaf"/>
    <n v="404"/>
    <n v="20"/>
    <x v="40"/>
    <n v="54"/>
    <n v="53"/>
    <n v="13"/>
    <n v="0.10829999999999999"/>
    <n v="60"/>
    <n v="30"/>
    <n v="20"/>
    <n v="0.33329999999999999"/>
  </r>
  <r>
    <d v="2024-09-12T00:00:00"/>
    <n v="509"/>
    <x v="5"/>
    <s v="West"/>
    <s v="Small Market"/>
    <s v="Beans"/>
    <s v="Espresso"/>
    <s v="Caffe Mocha"/>
    <s v="Regular"/>
    <n v="403"/>
    <n v="24"/>
    <x v="47"/>
    <n v="65"/>
    <n v="57"/>
    <n v="34"/>
    <n v="0.21940000000000001"/>
    <n v="140"/>
    <n v="60"/>
    <n v="30"/>
    <n v="0.21429999999999999"/>
  </r>
  <r>
    <d v="2024-09-13T00:00:00"/>
    <n v="303"/>
    <x v="1"/>
    <s v="Central"/>
    <s v="Major Market"/>
    <s v="Leaves"/>
    <s v="Tea"/>
    <s v="Earl Grey"/>
    <s v="Regular"/>
    <n v="1037"/>
    <n v="16"/>
    <x v="77"/>
    <n v="54"/>
    <n v="37"/>
    <n v="27"/>
    <n v="0.2288"/>
    <n v="80"/>
    <n v="30"/>
    <n v="40"/>
    <n v="0.5"/>
  </r>
  <r>
    <d v="2024-09-13T00:00:00"/>
    <n v="580"/>
    <x v="19"/>
    <s v="South"/>
    <s v="Small Market"/>
    <s v="Beans"/>
    <s v="Espresso"/>
    <s v="Decaf Espresso"/>
    <s v="Decaf"/>
    <n v="798"/>
    <n v="25"/>
    <x v="169"/>
    <n v="78"/>
    <n v="57"/>
    <n v="92"/>
    <n v="0.43809999999999999"/>
    <n v="150"/>
    <n v="60"/>
    <n v="40"/>
    <n v="0.26669999999999999"/>
  </r>
  <r>
    <d v="2024-09-13T00:00:00"/>
    <n v="918"/>
    <x v="19"/>
    <s v="South"/>
    <s v="Small Market"/>
    <s v="Beans"/>
    <s v="Coffee"/>
    <s v="Colombian"/>
    <s v="Regular"/>
    <n v="561"/>
    <n v="29"/>
    <x v="206"/>
    <n v="88"/>
    <n v="41"/>
    <n v="105"/>
    <n v="0.49299999999999999"/>
    <n v="230"/>
    <n v="100"/>
    <n v="90"/>
    <n v="0.39129999999999998"/>
  </r>
  <r>
    <d v="2024-09-13T00:00:00"/>
    <n v="716"/>
    <x v="14"/>
    <s v="East"/>
    <s v="Major Market"/>
    <s v="Leaves"/>
    <s v="Herbal Tea"/>
    <s v="Mint"/>
    <s v="Decaf"/>
    <n v="5121"/>
    <n v="74"/>
    <x v="220"/>
    <n v="241"/>
    <n v="96"/>
    <n v="-280"/>
    <n v="-1.7722"/>
    <n v="100"/>
    <n v="180"/>
    <n v="-150"/>
    <n v="-1.5"/>
  </r>
  <r>
    <d v="2024-09-13T00:00:00"/>
    <n v="253"/>
    <x v="5"/>
    <s v="West"/>
    <s v="Small Market"/>
    <s v="Beans"/>
    <s v="Espresso"/>
    <s v="Decaf Espresso"/>
    <s v="Decaf"/>
    <n v="1079"/>
    <n v="24"/>
    <x v="144"/>
    <n v="80"/>
    <n v="45"/>
    <n v="51"/>
    <n v="0.2898"/>
    <n v="170"/>
    <n v="70"/>
    <n v="60"/>
    <n v="0.35289999999999999"/>
  </r>
  <r>
    <d v="2024-09-13T00:00:00"/>
    <n v="206"/>
    <x v="5"/>
    <s v="West"/>
    <s v="Small Market"/>
    <s v="Beans"/>
    <s v="Coffee"/>
    <s v="Decaf Irish Cream"/>
    <s v="Decaf"/>
    <n v="683"/>
    <n v="87"/>
    <x v="152"/>
    <n v="96"/>
    <n v="117"/>
    <n v="25"/>
    <n v="0.10199999999999999"/>
    <n v="330"/>
    <n v="140"/>
    <n v="100"/>
    <n v="0.30299999999999999"/>
  </r>
  <r>
    <d v="2024-09-13T00:00:00"/>
    <n v="435"/>
    <x v="13"/>
    <s v="West"/>
    <s v="Small Market"/>
    <s v="Leaves"/>
    <s v="Tea"/>
    <s v="Green Tea"/>
    <s v="Regular"/>
    <n v="209"/>
    <n v="9"/>
    <x v="26"/>
    <n v="25"/>
    <n v="43"/>
    <n v="-18"/>
    <n v="-0.3"/>
    <n v="20"/>
    <n v="0"/>
    <n v="10"/>
    <n v="0.5"/>
  </r>
  <r>
    <d v="2024-09-14T00:00:00"/>
    <n v="203"/>
    <x v="18"/>
    <s v="East"/>
    <s v="Small Market"/>
    <s v="Leaves"/>
    <s v="Herbal Tea"/>
    <s v="Mint"/>
    <s v="Decaf"/>
    <n v="1075"/>
    <n v="19"/>
    <x v="164"/>
    <n v="63"/>
    <n v="40"/>
    <n v="53"/>
    <n v="0.35809999999999997"/>
    <n v="100"/>
    <n v="40"/>
    <n v="40"/>
    <n v="0.4"/>
  </r>
  <r>
    <d v="2024-09-14T00:00:00"/>
    <n v="318"/>
    <x v="4"/>
    <s v="South"/>
    <s v="Small Market"/>
    <s v="Beans"/>
    <s v="Espresso"/>
    <s v="Decaf Espresso"/>
    <s v="Decaf"/>
    <n v="466"/>
    <n v="13"/>
    <x v="153"/>
    <n v="43"/>
    <n v="36"/>
    <n v="40"/>
    <n v="0.35399999999999998"/>
    <n v="80"/>
    <n v="30"/>
    <n v="20"/>
    <n v="0.25"/>
  </r>
  <r>
    <d v="2024-09-14T00:00:00"/>
    <n v="702"/>
    <x v="8"/>
    <s v="West"/>
    <s v="Small Market"/>
    <s v="Beans"/>
    <s v="Coffee"/>
    <s v="Decaf Irish Cream"/>
    <s v="Decaf"/>
    <n v="1003"/>
    <n v="8"/>
    <x v="137"/>
    <n v="29"/>
    <n v="30"/>
    <n v="7"/>
    <n v="0.10290000000000001"/>
    <n v="70"/>
    <n v="30"/>
    <n v="20"/>
    <n v="0.28570000000000001"/>
  </r>
  <r>
    <d v="2024-09-15T00:00:00"/>
    <n v="314"/>
    <x v="6"/>
    <s v="Central"/>
    <s v="Small Market"/>
    <s v="Leaves"/>
    <s v="Tea"/>
    <s v="Green Tea"/>
    <s v="Regular"/>
    <n v="240"/>
    <n v="12"/>
    <x v="74"/>
    <n v="34"/>
    <n v="46"/>
    <n v="-4"/>
    <n v="-4.8800000000000003E-2"/>
    <n v="40"/>
    <n v="10"/>
    <n v="10"/>
    <n v="0.25"/>
  </r>
  <r>
    <d v="2024-09-15T00:00:00"/>
    <n v="312"/>
    <x v="2"/>
    <s v="Central"/>
    <s v="Major Market"/>
    <s v="Beans"/>
    <s v="Espresso"/>
    <s v="Decaf Espresso"/>
    <s v="Decaf"/>
    <n v="1755"/>
    <n v="66"/>
    <x v="120"/>
    <n v="239"/>
    <n v="90"/>
    <n v="149"/>
    <n v="0.31169999999999998"/>
    <n v="710"/>
    <n v="340"/>
    <n v="300"/>
    <n v="0.42249999999999999"/>
  </r>
  <r>
    <d v="2024-09-16T00:00:00"/>
    <n v="603"/>
    <x v="15"/>
    <s v="East"/>
    <s v="Small Market"/>
    <s v="Beans"/>
    <s v="Coffee"/>
    <s v="Colombian"/>
    <s v="Regular"/>
    <n v="452"/>
    <n v="14"/>
    <x v="97"/>
    <n v="43"/>
    <n v="46"/>
    <n v="20"/>
    <n v="0.1835"/>
    <n v="90"/>
    <n v="30"/>
    <n v="30"/>
    <n v="0.33329999999999999"/>
  </r>
  <r>
    <d v="2024-09-16T00:00:00"/>
    <n v="515"/>
    <x v="17"/>
    <s v="Central"/>
    <s v="Small Market"/>
    <s v="Beans"/>
    <s v="Espresso"/>
    <s v="Decaf Espresso"/>
    <s v="Decaf"/>
    <n v="387"/>
    <n v="0"/>
    <x v="190"/>
    <n v="0"/>
    <n v="12"/>
    <n v="46"/>
    <n v="1"/>
    <n v="50"/>
    <n v="0"/>
    <n v="40"/>
    <n v="0.8"/>
  </r>
  <r>
    <d v="2024-09-16T00:00:00"/>
    <n v="505"/>
    <x v="3"/>
    <s v="South"/>
    <s v="Small Market"/>
    <s v="Leaves"/>
    <s v="Herbal Tea"/>
    <s v="Chamomile"/>
    <s v="Decaf"/>
    <n v="851"/>
    <n v="4"/>
    <x v="123"/>
    <n v="16"/>
    <n v="16"/>
    <n v="13"/>
    <n v="0.29549999999999998"/>
    <n v="30"/>
    <n v="10"/>
    <n v="10"/>
    <n v="0.33329999999999999"/>
  </r>
  <r>
    <d v="2024-09-16T00:00:00"/>
    <n v="567"/>
    <x v="12"/>
    <s v="Central"/>
    <s v="Major Market"/>
    <s v="Beans"/>
    <s v="Espresso"/>
    <s v="Caffe Mocha"/>
    <s v="Regular"/>
    <n v="1267"/>
    <n v="45"/>
    <x v="34"/>
    <n v="161"/>
    <n v="69"/>
    <n v="92"/>
    <n v="0.28570000000000001"/>
    <n v="470"/>
    <n v="230"/>
    <n v="190"/>
    <n v="0.40429999999999999"/>
  </r>
  <r>
    <d v="2024-09-16T00:00:00"/>
    <n v="714"/>
    <x v="7"/>
    <s v="West"/>
    <s v="Major Market"/>
    <s v="Beans"/>
    <s v="Espresso"/>
    <s v="Caffe Latte"/>
    <s v="Regular"/>
    <n v="1755"/>
    <n v="66"/>
    <x v="133"/>
    <n v="239"/>
    <n v="90"/>
    <n v="221"/>
    <n v="0.43419999999999997"/>
    <n v="430"/>
    <n v="210"/>
    <n v="160"/>
    <n v="0.37209999999999999"/>
  </r>
  <r>
    <d v="2024-09-17T00:00:00"/>
    <n v="614"/>
    <x v="12"/>
    <s v="Central"/>
    <s v="Major Market"/>
    <s v="Beans"/>
    <s v="Coffee"/>
    <s v="Decaf Irish Cream"/>
    <s v="Decaf"/>
    <n v="509"/>
    <n v="47"/>
    <x v="2"/>
    <n v="52"/>
    <n v="76"/>
    <n v="-4"/>
    <n v="-3.0099999999999998E-2"/>
    <n v="120"/>
    <n v="50"/>
    <n v="10"/>
    <n v="8.3299999999999999E-2"/>
  </r>
  <r>
    <d v="2024-09-17T00:00:00"/>
    <n v="614"/>
    <x v="12"/>
    <s v="Central"/>
    <s v="Major Market"/>
    <s v="Leaves"/>
    <s v="Tea"/>
    <s v="Earl Grey"/>
    <s v="Regular"/>
    <n v="656"/>
    <n v="28"/>
    <x v="175"/>
    <n v="91"/>
    <n v="51"/>
    <n v="76"/>
    <n v="0.34860000000000002"/>
    <n v="150"/>
    <n v="50"/>
    <n v="80"/>
    <n v="0.5333"/>
  </r>
  <r>
    <d v="2024-09-17T00:00:00"/>
    <n v="563"/>
    <x v="17"/>
    <s v="Central"/>
    <s v="Small Market"/>
    <s v="Beans"/>
    <s v="Coffee"/>
    <s v="Amaretto"/>
    <s v="Regular"/>
    <n v="848"/>
    <n v="4"/>
    <x v="121"/>
    <n v="15"/>
    <n v="16"/>
    <n v="8"/>
    <n v="0.2051"/>
    <n v="30"/>
    <n v="10"/>
    <n v="10"/>
    <n v="0.33329999999999999"/>
  </r>
  <r>
    <d v="2024-09-17T00:00:00"/>
    <n v="319"/>
    <x v="17"/>
    <s v="Central"/>
    <s v="Small Market"/>
    <s v="Beans"/>
    <s v="Coffee"/>
    <s v="Decaf Irish Cream"/>
    <s v="Decaf"/>
    <n v="594"/>
    <n v="3"/>
    <x v="221"/>
    <n v="10"/>
    <n v="15"/>
    <n v="-1"/>
    <n v="-4.1700000000000001E-2"/>
    <n v="20"/>
    <n v="0"/>
    <n v="10"/>
    <n v="0.5"/>
  </r>
  <r>
    <d v="2024-09-18T00:00:00"/>
    <n v="915"/>
    <x v="10"/>
    <s v="South"/>
    <s v="Major Market"/>
    <s v="Beans"/>
    <s v="Coffee"/>
    <s v="Decaf Irish Cream"/>
    <s v="Decaf"/>
    <n v="536"/>
    <n v="13"/>
    <x v="132"/>
    <n v="40"/>
    <n v="26"/>
    <n v="26"/>
    <n v="0.28260000000000002"/>
    <n v="100"/>
    <n v="40"/>
    <n v="40"/>
    <n v="0.4"/>
  </r>
  <r>
    <d v="2024-09-18T00:00:00"/>
    <n v="775"/>
    <x v="8"/>
    <s v="West"/>
    <s v="Small Market"/>
    <s v="Beans"/>
    <s v="Coffee"/>
    <s v="Colombian"/>
    <s v="Regular"/>
    <n v="250"/>
    <n v="14"/>
    <x v="202"/>
    <n v="39"/>
    <n v="48"/>
    <n v="1"/>
    <n v="1.14E-2"/>
    <n v="100"/>
    <n v="40"/>
    <n v="20"/>
    <n v="0.2"/>
  </r>
  <r>
    <d v="2024-09-18T00:00:00"/>
    <n v="978"/>
    <x v="11"/>
    <s v="East"/>
    <s v="Major Market"/>
    <s v="Leaves"/>
    <s v="Tea"/>
    <s v="Green Tea"/>
    <s v="Regular"/>
    <n v="482"/>
    <n v="8"/>
    <x v="138"/>
    <n v="32"/>
    <n v="19"/>
    <n v="43"/>
    <n v="0.50590000000000002"/>
    <n v="80"/>
    <n v="30"/>
    <n v="40"/>
    <n v="0.5"/>
  </r>
  <r>
    <d v="2024-09-18T00:00:00"/>
    <n v="563"/>
    <x v="17"/>
    <s v="Central"/>
    <s v="Small Market"/>
    <s v="Beans"/>
    <s v="Coffee"/>
    <s v="Colombian"/>
    <s v="Regular"/>
    <n v="1003"/>
    <n v="8"/>
    <x v="86"/>
    <n v="29"/>
    <n v="30"/>
    <n v="5"/>
    <n v="7.8100000000000003E-2"/>
    <n v="60"/>
    <n v="20"/>
    <n v="20"/>
    <n v="0.33329999999999999"/>
  </r>
  <r>
    <d v="2024-09-18T00:00:00"/>
    <n v="435"/>
    <x v="13"/>
    <s v="West"/>
    <s v="Small Market"/>
    <s v="Beans"/>
    <s v="Espresso"/>
    <s v="Decaf Espresso"/>
    <s v="Decaf"/>
    <n v="898"/>
    <n v="14"/>
    <x v="30"/>
    <n v="50"/>
    <n v="26"/>
    <n v="70"/>
    <n v="0.53439999999999999"/>
    <n v="110"/>
    <n v="40"/>
    <n v="50"/>
    <n v="0.45450000000000002"/>
  </r>
  <r>
    <d v="2024-09-19T00:00:00"/>
    <n v="505"/>
    <x v="3"/>
    <s v="South"/>
    <s v="Small Market"/>
    <s v="Leaves"/>
    <s v="Herbal Tea"/>
    <s v="Lemon"/>
    <s v="Decaf"/>
    <n v="1003"/>
    <n v="8"/>
    <x v="86"/>
    <n v="29"/>
    <n v="30"/>
    <n v="5"/>
    <n v="7.8100000000000003E-2"/>
    <n v="50"/>
    <n v="20"/>
    <n v="10"/>
    <n v="0.2"/>
  </r>
  <r>
    <d v="2024-09-19T00:00:00"/>
    <n v="503"/>
    <x v="9"/>
    <s v="West"/>
    <s v="Small Market"/>
    <s v="Leaves"/>
    <s v="Herbal Tea"/>
    <s v="Chamomile"/>
    <s v="Decaf"/>
    <n v="829"/>
    <n v="6"/>
    <x v="86"/>
    <n v="24"/>
    <n v="17"/>
    <n v="28"/>
    <n v="0.4375"/>
    <n v="50"/>
    <n v="20"/>
    <n v="20"/>
    <n v="0.4"/>
  </r>
  <r>
    <d v="2024-09-19T00:00:00"/>
    <n v="414"/>
    <x v="0"/>
    <s v="Central"/>
    <s v="Small Market"/>
    <s v="Beans"/>
    <s v="Coffee"/>
    <s v="Amaretto"/>
    <s v="Regular"/>
    <n v="385"/>
    <n v="21"/>
    <x v="168"/>
    <n v="56"/>
    <n v="55"/>
    <n v="22"/>
    <n v="0.16420000000000001"/>
    <n v="120"/>
    <n v="40"/>
    <n v="50"/>
    <n v="0.41670000000000001"/>
  </r>
  <r>
    <d v="2024-09-19T00:00:00"/>
    <n v="315"/>
    <x v="14"/>
    <s v="East"/>
    <s v="Major Market"/>
    <s v="Leaves"/>
    <s v="Tea"/>
    <s v="Earl Grey"/>
    <s v="Regular"/>
    <n v="930"/>
    <n v="33"/>
    <x v="10"/>
    <n v="118"/>
    <n v="45"/>
    <n v="127"/>
    <n v="0.43790000000000001"/>
    <n v="290"/>
    <n v="120"/>
    <n v="130"/>
    <n v="0.44829999999999998"/>
  </r>
  <r>
    <d v="2024-09-19T00:00:00"/>
    <n v="435"/>
    <x v="13"/>
    <s v="West"/>
    <s v="Small Market"/>
    <s v="Beans"/>
    <s v="Coffee"/>
    <s v="Colombian"/>
    <s v="Regular"/>
    <n v="375"/>
    <n v="15"/>
    <x v="193"/>
    <n v="47"/>
    <n v="42"/>
    <n v="22"/>
    <n v="0.19819999999999999"/>
    <n v="150"/>
    <n v="50"/>
    <n v="80"/>
    <n v="0.5333"/>
  </r>
  <r>
    <d v="2024-09-19T00:00:00"/>
    <n v="707"/>
    <x v="7"/>
    <s v="West"/>
    <s v="Major Market"/>
    <s v="Beans"/>
    <s v="Coffee"/>
    <s v="Colombian"/>
    <s v="Regular"/>
    <n v="2642"/>
    <n v="97"/>
    <x v="213"/>
    <n v="279"/>
    <n v="149"/>
    <n v="271"/>
    <n v="0.38769999999999999"/>
    <n v="830"/>
    <n v="330"/>
    <n v="350"/>
    <n v="0.42170000000000002"/>
  </r>
  <r>
    <d v="2024-09-19T00:00:00"/>
    <n v="831"/>
    <x v="7"/>
    <s v="West"/>
    <s v="Major Market"/>
    <s v="Leaves"/>
    <s v="Tea"/>
    <s v="Darjeeling"/>
    <s v="Regular"/>
    <n v="915"/>
    <n v="34"/>
    <x v="34"/>
    <n v="123"/>
    <n v="45"/>
    <n v="199"/>
    <n v="0.61799999999999999"/>
    <n v="140"/>
    <n v="50"/>
    <n v="80"/>
    <n v="0.57140000000000002"/>
  </r>
  <r>
    <d v="2024-09-20T00:00:00"/>
    <n v="719"/>
    <x v="1"/>
    <s v="Central"/>
    <s v="Major Market"/>
    <s v="Beans"/>
    <s v="Coffee"/>
    <s v="Colombian"/>
    <s v="Regular"/>
    <n v="541"/>
    <n v="12"/>
    <x v="162"/>
    <n v="39"/>
    <n v="24"/>
    <n v="27"/>
    <n v="0.3"/>
    <n v="80"/>
    <n v="30"/>
    <n v="50"/>
    <n v="0.625"/>
  </r>
  <r>
    <d v="2024-09-20T00:00:00"/>
    <n v="212"/>
    <x v="14"/>
    <s v="East"/>
    <s v="Major Market"/>
    <s v="Beans"/>
    <s v="Espresso"/>
    <s v="Regular Espresso"/>
    <s v="Regular"/>
    <n v="1197"/>
    <n v="66"/>
    <x v="222"/>
    <n v="239"/>
    <n v="91"/>
    <n v="646"/>
    <n v="0.79259999999999997"/>
    <n v="720"/>
    <n v="210"/>
    <n v="450"/>
    <n v="0.625"/>
  </r>
  <r>
    <d v="2024-09-20T00:00:00"/>
    <n v="312"/>
    <x v="2"/>
    <s v="Central"/>
    <s v="Major Market"/>
    <s v="Beans"/>
    <s v="Espresso"/>
    <s v="Caffe Mocha"/>
    <s v="Regular"/>
    <n v="1662"/>
    <n v="84"/>
    <x v="91"/>
    <n v="257"/>
    <n v="117"/>
    <n v="332"/>
    <n v="0.5212"/>
    <n v="890"/>
    <n v="370"/>
    <n v="420"/>
    <n v="0.47189999999999999"/>
  </r>
  <r>
    <d v="2024-09-21T00:00:00"/>
    <n v="619"/>
    <x v="7"/>
    <s v="West"/>
    <s v="Major Market"/>
    <s v="Leaves"/>
    <s v="Tea"/>
    <s v="Earl Grey"/>
    <s v="Regular"/>
    <n v="601"/>
    <n v="15"/>
    <x v="2"/>
    <n v="54"/>
    <n v="26"/>
    <n v="53"/>
    <n v="0.39850000000000002"/>
    <n v="90"/>
    <n v="30"/>
    <n v="50"/>
    <n v="0.55559999999999998"/>
  </r>
  <r>
    <d v="2024-09-21T00:00:00"/>
    <n v="505"/>
    <x v="3"/>
    <s v="South"/>
    <s v="Small Market"/>
    <s v="Beans"/>
    <s v="Espresso"/>
    <s v="Caffe Mocha"/>
    <s v="Regular"/>
    <n v="335"/>
    <n v="44"/>
    <x v="77"/>
    <n v="49"/>
    <n v="74"/>
    <n v="-5"/>
    <n v="-4.24E-2"/>
    <n v="90"/>
    <n v="30"/>
    <n v="10"/>
    <n v="0.1111"/>
  </r>
  <r>
    <d v="2024-09-21T00:00:00"/>
    <n v="603"/>
    <x v="15"/>
    <s v="East"/>
    <s v="Small Market"/>
    <s v="Leaves"/>
    <s v="Herbal Tea"/>
    <s v="Lemon"/>
    <s v="Decaf"/>
    <n v="243"/>
    <n v="12"/>
    <x v="7"/>
    <n v="33"/>
    <n v="45"/>
    <n v="-4"/>
    <n v="-5.4100000000000002E-2"/>
    <n v="50"/>
    <n v="20"/>
    <n v="0"/>
    <n v="0"/>
  </r>
  <r>
    <d v="2024-09-21T00:00:00"/>
    <n v="505"/>
    <x v="3"/>
    <s v="South"/>
    <s v="Small Market"/>
    <s v="Leaves"/>
    <s v="Herbal Tea"/>
    <s v="Chamomile"/>
    <s v="Decaf"/>
    <n v="848"/>
    <n v="4"/>
    <x v="104"/>
    <n v="15"/>
    <n v="15"/>
    <n v="13"/>
    <n v="0.3095"/>
    <n v="30"/>
    <n v="10"/>
    <n v="10"/>
    <n v="0.33329999999999999"/>
  </r>
  <r>
    <d v="2024-09-22T00:00:00"/>
    <n v="914"/>
    <x v="14"/>
    <s v="East"/>
    <s v="Major Market"/>
    <s v="Leaves"/>
    <s v="Herbal Tea"/>
    <s v="Mint"/>
    <s v="Decaf"/>
    <n v="4742"/>
    <n v="69"/>
    <x v="59"/>
    <n v="225"/>
    <n v="91"/>
    <n v="-156"/>
    <n v="-0.97499999999999998"/>
    <n v="110"/>
    <n v="160"/>
    <n v="-120"/>
    <n v="-1.0909"/>
  </r>
  <r>
    <d v="2024-09-23T00:00:00"/>
    <n v="718"/>
    <x v="14"/>
    <s v="East"/>
    <s v="Major Market"/>
    <s v="Leaves"/>
    <s v="Tea"/>
    <s v="Earl Grey"/>
    <s v="Regular"/>
    <n v="915"/>
    <n v="34"/>
    <x v="34"/>
    <n v="123"/>
    <n v="45"/>
    <n v="199"/>
    <n v="0.61799999999999999"/>
    <n v="320"/>
    <n v="130"/>
    <n v="160"/>
    <n v="0.5"/>
  </r>
  <r>
    <d v="2024-09-23T00:00:00"/>
    <n v="719"/>
    <x v="1"/>
    <s v="Central"/>
    <s v="Major Market"/>
    <s v="Beans"/>
    <s v="Coffee"/>
    <s v="Amaretto"/>
    <s v="Regular"/>
    <n v="930"/>
    <n v="33"/>
    <x v="102"/>
    <n v="118"/>
    <n v="44"/>
    <n v="190"/>
    <n v="0.6149"/>
    <n v="280"/>
    <n v="110"/>
    <n v="130"/>
    <n v="0.46429999999999999"/>
  </r>
  <r>
    <d v="2024-09-23T00:00:00"/>
    <n v="805"/>
    <x v="7"/>
    <s v="West"/>
    <s v="Major Market"/>
    <s v="Leaves"/>
    <s v="Tea"/>
    <s v="Darjeeling"/>
    <s v="Regular"/>
    <n v="930"/>
    <n v="33"/>
    <x v="102"/>
    <n v="118"/>
    <n v="44"/>
    <n v="190"/>
    <n v="0.6149"/>
    <n v="210"/>
    <n v="80"/>
    <n v="110"/>
    <n v="0.52380000000000004"/>
  </r>
  <r>
    <d v="2024-09-24T00:00:00"/>
    <n v="775"/>
    <x v="8"/>
    <s v="West"/>
    <s v="Small Market"/>
    <s v="Beans"/>
    <s v="Coffee"/>
    <s v="Decaf Irish Cream"/>
    <s v="Decaf"/>
    <n v="1000"/>
    <n v="9"/>
    <x v="137"/>
    <n v="31"/>
    <n v="30"/>
    <n v="7"/>
    <n v="0.10290000000000001"/>
    <n v="90"/>
    <n v="30"/>
    <n v="50"/>
    <n v="0.55559999999999998"/>
  </r>
  <r>
    <d v="2024-09-24T00:00:00"/>
    <n v="339"/>
    <x v="11"/>
    <s v="East"/>
    <s v="Major Market"/>
    <s v="Leaves"/>
    <s v="Tea"/>
    <s v="Darjeeling"/>
    <s v="Regular"/>
    <n v="862"/>
    <n v="10"/>
    <x v="202"/>
    <n v="36"/>
    <n v="21"/>
    <n v="31"/>
    <n v="0.3523"/>
    <n v="90"/>
    <n v="30"/>
    <n v="40"/>
    <n v="0.44440000000000002"/>
  </r>
  <r>
    <d v="2024-09-24T00:00:00"/>
    <n v="203"/>
    <x v="18"/>
    <s v="East"/>
    <s v="Small Market"/>
    <s v="Leaves"/>
    <s v="Tea"/>
    <s v="Green Tea"/>
    <s v="Regular"/>
    <n v="809"/>
    <n v="10"/>
    <x v="157"/>
    <n v="36"/>
    <n v="21"/>
    <n v="49"/>
    <n v="0.51039999999999996"/>
    <n v="90"/>
    <n v="30"/>
    <n v="40"/>
    <n v="0.44440000000000002"/>
  </r>
  <r>
    <d v="2024-09-24T00:00:00"/>
    <n v="225"/>
    <x v="4"/>
    <s v="South"/>
    <s v="Small Market"/>
    <s v="Beans"/>
    <s v="Espresso"/>
    <s v="Caffe Mocha"/>
    <s v="Regular"/>
    <n v="329"/>
    <n v="18"/>
    <x v="205"/>
    <n v="60"/>
    <n v="41"/>
    <n v="86"/>
    <n v="0.50890000000000002"/>
    <n v="100"/>
    <n v="30"/>
    <n v="70"/>
    <n v="0.7"/>
  </r>
  <r>
    <d v="2024-09-24T00:00:00"/>
    <n v="417"/>
    <x v="6"/>
    <s v="Central"/>
    <s v="Small Market"/>
    <s v="Leaves"/>
    <s v="Herbal Tea"/>
    <s v="Lemon"/>
    <s v="Decaf"/>
    <n v="1698"/>
    <n v="26"/>
    <x v="44"/>
    <n v="86"/>
    <n v="49"/>
    <n v="-39"/>
    <n v="-0.3362"/>
    <n v="80"/>
    <n v="60"/>
    <n v="10"/>
    <n v="0.125"/>
  </r>
  <r>
    <d v="2024-09-25T00:00:00"/>
    <n v="970"/>
    <x v="1"/>
    <s v="Central"/>
    <s v="Major Market"/>
    <s v="Beans"/>
    <s v="Coffee"/>
    <s v="Colombian"/>
    <s v="Regular"/>
    <n v="536"/>
    <n v="13"/>
    <x v="132"/>
    <n v="40"/>
    <n v="25"/>
    <n v="27"/>
    <n v="0.29349999999999998"/>
    <n v="90"/>
    <n v="30"/>
    <n v="40"/>
    <n v="0.44440000000000002"/>
  </r>
  <r>
    <d v="2024-09-26T00:00:00"/>
    <n v="563"/>
    <x v="17"/>
    <s v="Central"/>
    <s v="Small Market"/>
    <s v="Beans"/>
    <s v="Coffee"/>
    <s v="Amaretto"/>
    <s v="Regular"/>
    <n v="851"/>
    <n v="4"/>
    <x v="123"/>
    <n v="16"/>
    <n v="15"/>
    <n v="15"/>
    <n v="0.34089999999999998"/>
    <n v="40"/>
    <n v="10"/>
    <n v="20"/>
    <n v="0.5"/>
  </r>
  <r>
    <d v="2024-09-26T00:00:00"/>
    <n v="719"/>
    <x v="1"/>
    <s v="Central"/>
    <s v="Major Market"/>
    <s v="Beans"/>
    <s v="Coffee"/>
    <s v="Decaf Irish Cream"/>
    <s v="Decaf"/>
    <n v="971"/>
    <n v="30"/>
    <x v="223"/>
    <n v="108"/>
    <n v="41"/>
    <n v="116"/>
    <n v="0.43769999999999998"/>
    <n v="260"/>
    <n v="100"/>
    <n v="150"/>
    <n v="0.57689999999999997"/>
  </r>
  <r>
    <d v="2024-09-26T00:00:00"/>
    <n v="513"/>
    <x v="12"/>
    <s v="Central"/>
    <s v="Major Market"/>
    <s v="Leaves"/>
    <s v="Tea"/>
    <s v="Earl Grey"/>
    <s v="Regular"/>
    <n v="690"/>
    <n v="41"/>
    <x v="106"/>
    <n v="134"/>
    <n v="65"/>
    <n v="180"/>
    <n v="0.52790000000000004"/>
    <n v="260"/>
    <n v="110"/>
    <n v="90"/>
    <n v="0.34620000000000001"/>
  </r>
  <r>
    <d v="2024-09-27T00:00:00"/>
    <n v="409"/>
    <x v="10"/>
    <s v="South"/>
    <s v="Major Market"/>
    <s v="Beans"/>
    <s v="Espresso"/>
    <s v="Caffe Mocha"/>
    <s v="Regular"/>
    <n v="930"/>
    <n v="33"/>
    <x v="10"/>
    <n v="118"/>
    <n v="45"/>
    <n v="127"/>
    <n v="0.43790000000000001"/>
    <n v="220"/>
    <n v="90"/>
    <n v="100"/>
    <n v="0.45450000000000002"/>
  </r>
  <r>
    <d v="2024-09-27T00:00:00"/>
    <n v="203"/>
    <x v="18"/>
    <s v="East"/>
    <s v="Small Market"/>
    <s v="Beans"/>
    <s v="Coffee"/>
    <s v="Colombian"/>
    <s v="Regular"/>
    <n v="1134"/>
    <n v="42"/>
    <x v="224"/>
    <n v="130"/>
    <n v="73"/>
    <n v="122"/>
    <n v="0.37540000000000001"/>
    <n v="290"/>
    <n v="110"/>
    <n v="130"/>
    <n v="0.44829999999999998"/>
  </r>
  <r>
    <d v="2024-09-28T00:00:00"/>
    <n v="206"/>
    <x v="5"/>
    <s v="West"/>
    <s v="Small Market"/>
    <s v="Leaves"/>
    <s v="Tea"/>
    <s v="Green Tea"/>
    <s v="Regular"/>
    <n v="606"/>
    <n v="54"/>
    <x v="114"/>
    <n v="60"/>
    <n v="84"/>
    <n v="0"/>
    <n v="0"/>
    <n v="60"/>
    <n v="20"/>
    <n v="10"/>
    <n v="0.16669999999999999"/>
  </r>
  <r>
    <d v="2024-09-28T00:00:00"/>
    <n v="510"/>
    <x v="7"/>
    <s v="West"/>
    <s v="Major Market"/>
    <s v="Leaves"/>
    <s v="Herbal Tea"/>
    <s v="Lemon"/>
    <s v="Decaf"/>
    <n v="1272"/>
    <n v="69"/>
    <x v="140"/>
    <n v="225"/>
    <n v="91"/>
    <n v="258"/>
    <n v="0.49430000000000002"/>
    <n v="450"/>
    <n v="210"/>
    <n v="160"/>
    <n v="0.35560000000000003"/>
  </r>
  <r>
    <d v="2024-09-28T00:00:00"/>
    <n v="360"/>
    <x v="5"/>
    <s v="West"/>
    <s v="Small Market"/>
    <s v="Beans"/>
    <s v="Coffee"/>
    <s v="Colombian"/>
    <s v="Regular"/>
    <n v="461"/>
    <n v="23"/>
    <x v="5"/>
    <n v="72"/>
    <n v="46"/>
    <n v="86"/>
    <n v="0.45739999999999997"/>
    <n v="200"/>
    <n v="80"/>
    <n v="80"/>
    <n v="0.4"/>
  </r>
  <r>
    <d v="2024-10-01T00:00:00"/>
    <n v="580"/>
    <x v="19"/>
    <s v="South"/>
    <s v="Small Market"/>
    <s v="Beans"/>
    <s v="Coffee"/>
    <s v="Decaf Irish Cream"/>
    <s v="Decaf"/>
    <n v="862"/>
    <n v="10"/>
    <x v="202"/>
    <n v="36"/>
    <n v="22"/>
    <n v="30"/>
    <n v="0.34089999999999998"/>
    <n v="100"/>
    <n v="40"/>
    <n v="40"/>
    <n v="0.4"/>
  </r>
  <r>
    <d v="2024-10-01T00:00:00"/>
    <n v="475"/>
    <x v="18"/>
    <s v="East"/>
    <s v="Small Market"/>
    <s v="Leaves"/>
    <s v="Herbal Tea"/>
    <s v="Mint"/>
    <s v="Decaf"/>
    <n v="1075"/>
    <n v="19"/>
    <x v="76"/>
    <n v="63"/>
    <n v="40"/>
    <n v="36"/>
    <n v="0.25900000000000001"/>
    <n v="100"/>
    <n v="40"/>
    <n v="40"/>
    <n v="0.4"/>
  </r>
  <r>
    <d v="2024-10-01T00:00:00"/>
    <n v="435"/>
    <x v="13"/>
    <s v="West"/>
    <s v="Small Market"/>
    <s v="Leaves"/>
    <s v="Tea"/>
    <s v="Earl Grey"/>
    <s v="Regular"/>
    <n v="256"/>
    <n v="12"/>
    <x v="75"/>
    <n v="38"/>
    <n v="39"/>
    <n v="18"/>
    <n v="0.1895"/>
    <n v="60"/>
    <n v="20"/>
    <n v="10"/>
    <n v="0.16669999999999999"/>
  </r>
  <r>
    <d v="2024-10-02T00:00:00"/>
    <n v="541"/>
    <x v="9"/>
    <s v="West"/>
    <s v="Small Market"/>
    <s v="Leaves"/>
    <s v="Herbal Tea"/>
    <s v="Chamomile"/>
    <s v="Decaf"/>
    <n v="829"/>
    <n v="6"/>
    <x v="26"/>
    <n v="24"/>
    <n v="17"/>
    <n v="19"/>
    <n v="0.31669999999999998"/>
    <n v="50"/>
    <n v="20"/>
    <n v="20"/>
    <n v="0.4"/>
  </r>
  <r>
    <d v="2024-10-02T00:00:00"/>
    <n v="718"/>
    <x v="14"/>
    <s v="East"/>
    <s v="Major Market"/>
    <s v="Leaves"/>
    <s v="Tea"/>
    <s v="Darjeeling"/>
    <s v="Regular"/>
    <n v="1003"/>
    <n v="24"/>
    <x v="92"/>
    <n v="86"/>
    <n v="35"/>
    <n v="132"/>
    <n v="0.58930000000000005"/>
    <n v="210"/>
    <n v="90"/>
    <n v="90"/>
    <n v="0.42859999999999998"/>
  </r>
  <r>
    <d v="2024-10-03T00:00:00"/>
    <n v="303"/>
    <x v="1"/>
    <s v="Central"/>
    <s v="Major Market"/>
    <s v="Leaves"/>
    <s v="Tea"/>
    <s v="Darjeeling"/>
    <s v="Regular"/>
    <n v="404"/>
    <n v="20"/>
    <x v="40"/>
    <n v="54"/>
    <n v="53"/>
    <n v="13"/>
    <n v="0.10829999999999999"/>
    <n v="80"/>
    <n v="30"/>
    <n v="30"/>
    <n v="0.375"/>
  </r>
  <r>
    <d v="2024-10-03T00:00:00"/>
    <n v="775"/>
    <x v="8"/>
    <s v="West"/>
    <s v="Small Market"/>
    <s v="Beans"/>
    <s v="Coffee"/>
    <s v="Colombian"/>
    <s v="Regular"/>
    <n v="243"/>
    <n v="12"/>
    <x v="7"/>
    <n v="33"/>
    <n v="45"/>
    <n v="-4"/>
    <n v="-5.4100000000000002E-2"/>
    <n v="80"/>
    <n v="30"/>
    <n v="10"/>
    <n v="0.125"/>
  </r>
  <r>
    <d v="2024-10-03T00:00:00"/>
    <n v="716"/>
    <x v="14"/>
    <s v="East"/>
    <s v="Major Market"/>
    <s v="Leaves"/>
    <s v="Tea"/>
    <s v="Earl Grey"/>
    <s v="Regular"/>
    <n v="915"/>
    <n v="34"/>
    <x v="1"/>
    <n v="123"/>
    <n v="45"/>
    <n v="134"/>
    <n v="0.44369999999999998"/>
    <n v="320"/>
    <n v="130"/>
    <n v="160"/>
    <n v="0.5"/>
  </r>
  <r>
    <d v="2024-10-03T00:00:00"/>
    <n v="702"/>
    <x v="8"/>
    <s v="West"/>
    <s v="Small Market"/>
    <s v="Leaves"/>
    <s v="Tea"/>
    <s v="Darjeeling"/>
    <s v="Regular"/>
    <n v="1691"/>
    <n v="75"/>
    <x v="195"/>
    <n v="228"/>
    <n v="108"/>
    <n v="196"/>
    <n v="0.36840000000000001"/>
    <n v="380"/>
    <n v="160"/>
    <n v="140"/>
    <n v="0.36840000000000001"/>
  </r>
  <r>
    <d v="2024-10-05T00:00:00"/>
    <n v="970"/>
    <x v="1"/>
    <s v="Central"/>
    <s v="Major Market"/>
    <s v="Leaves"/>
    <s v="Herbal Tea"/>
    <s v="Mint"/>
    <s v="Decaf"/>
    <n v="405"/>
    <n v="17"/>
    <x v="57"/>
    <n v="52"/>
    <n v="45"/>
    <n v="26"/>
    <n v="0.2114"/>
    <n v="90"/>
    <n v="30"/>
    <n v="50"/>
    <n v="0.55559999999999998"/>
  </r>
  <r>
    <d v="2024-10-05T00:00:00"/>
    <n v="573"/>
    <x v="6"/>
    <s v="Central"/>
    <s v="Small Market"/>
    <s v="Leaves"/>
    <s v="Herbal Tea"/>
    <s v="Lemon"/>
    <s v="Decaf"/>
    <n v="1804"/>
    <n v="25"/>
    <x v="139"/>
    <n v="82"/>
    <n v="49"/>
    <n v="-9"/>
    <n v="-7.3800000000000004E-2"/>
    <n v="110"/>
    <n v="70"/>
    <n v="0"/>
    <n v="0"/>
  </r>
  <r>
    <d v="2024-10-05T00:00:00"/>
    <n v="603"/>
    <x v="15"/>
    <s v="East"/>
    <s v="Small Market"/>
    <s v="Leaves"/>
    <s v="Tea"/>
    <s v="Darjeeling"/>
    <s v="Regular"/>
    <n v="846"/>
    <n v="5"/>
    <x v="96"/>
    <n v="21"/>
    <n v="17"/>
    <n v="14"/>
    <n v="0.26919999999999999"/>
    <n v="50"/>
    <n v="20"/>
    <n v="30"/>
    <n v="0.6"/>
  </r>
  <r>
    <d v="2024-10-05T00:00:00"/>
    <n v="707"/>
    <x v="7"/>
    <s v="West"/>
    <s v="Major Market"/>
    <s v="Beans"/>
    <s v="Espresso"/>
    <s v="Decaf Espresso"/>
    <s v="Decaf"/>
    <n v="1691"/>
    <n v="75"/>
    <x v="195"/>
    <n v="228"/>
    <n v="107"/>
    <n v="197"/>
    <n v="0.37030000000000002"/>
    <n v="510"/>
    <n v="220"/>
    <n v="190"/>
    <n v="0.3725"/>
  </r>
  <r>
    <d v="2024-10-05T00:00:00"/>
    <n v="503"/>
    <x v="9"/>
    <s v="West"/>
    <s v="Small Market"/>
    <s v="Beans"/>
    <s v="Espresso"/>
    <s v="Decaf Espresso"/>
    <s v="Decaf"/>
    <n v="1283"/>
    <n v="50"/>
    <x v="84"/>
    <n v="181"/>
    <n v="74"/>
    <n v="108"/>
    <n v="0.29749999999999999"/>
    <n v="350"/>
    <n v="170"/>
    <n v="120"/>
    <n v="0.34289999999999998"/>
  </r>
  <r>
    <d v="2024-10-06T00:00:00"/>
    <n v="971"/>
    <x v="9"/>
    <s v="West"/>
    <s v="Small Market"/>
    <s v="Leaves"/>
    <s v="Tea"/>
    <s v="Green Tea"/>
    <s v="Regular"/>
    <n v="656"/>
    <n v="28"/>
    <x v="175"/>
    <n v="91"/>
    <n v="51"/>
    <n v="76"/>
    <n v="0.34860000000000002"/>
    <n v="100"/>
    <n v="40"/>
    <n v="50"/>
    <n v="0.5"/>
  </r>
  <r>
    <d v="2024-10-06T00:00:00"/>
    <n v="435"/>
    <x v="13"/>
    <s v="West"/>
    <s v="Small Market"/>
    <s v="Beans"/>
    <s v="Espresso"/>
    <s v="Decaf Espresso"/>
    <s v="Decaf"/>
    <n v="885"/>
    <n v="15"/>
    <x v="50"/>
    <n v="54"/>
    <n v="26"/>
    <n v="52"/>
    <n v="0.39389999999999997"/>
    <n v="120"/>
    <n v="50"/>
    <n v="50"/>
    <n v="0.41670000000000001"/>
  </r>
  <r>
    <d v="2024-10-06T00:00:00"/>
    <n v="475"/>
    <x v="18"/>
    <s v="East"/>
    <s v="Small Market"/>
    <s v="Leaves"/>
    <s v="Herbal Tea"/>
    <s v="Lemon"/>
    <s v="Decaf"/>
    <n v="601"/>
    <n v="31"/>
    <x v="82"/>
    <n v="82"/>
    <n v="64"/>
    <n v="56"/>
    <n v="0.28570000000000001"/>
    <n v="130"/>
    <n v="60"/>
    <n v="30"/>
    <n v="0.23080000000000001"/>
  </r>
  <r>
    <d v="2024-10-06T00:00:00"/>
    <n v="405"/>
    <x v="19"/>
    <s v="South"/>
    <s v="Small Market"/>
    <s v="Beans"/>
    <s v="Coffee"/>
    <s v="Colombian"/>
    <s v="Regular"/>
    <n v="551"/>
    <n v="26"/>
    <x v="42"/>
    <n v="81"/>
    <n v="38"/>
    <n v="66"/>
    <n v="0.35680000000000001"/>
    <n v="220"/>
    <n v="90"/>
    <n v="100"/>
    <n v="0.45450000000000002"/>
  </r>
  <r>
    <d v="2024-10-06T00:00:00"/>
    <n v="815"/>
    <x v="2"/>
    <s v="Central"/>
    <s v="Major Market"/>
    <s v="Beans"/>
    <s v="Coffee"/>
    <s v="Decaf Irish Cream"/>
    <s v="Decaf"/>
    <n v="803"/>
    <n v="36"/>
    <x v="225"/>
    <n v="113"/>
    <n v="59"/>
    <n v="106"/>
    <n v="0.38129999999999997"/>
    <n v="270"/>
    <n v="110"/>
    <n v="110"/>
    <n v="0.40739999999999998"/>
  </r>
  <r>
    <d v="2024-10-06T00:00:00"/>
    <n v="916"/>
    <x v="7"/>
    <s v="West"/>
    <s v="Major Market"/>
    <s v="Beans"/>
    <s v="Coffee"/>
    <s v="Amaretto"/>
    <s v="Regular"/>
    <n v="2758"/>
    <n v="36"/>
    <x v="37"/>
    <n v="113"/>
    <n v="59"/>
    <n v="-83"/>
    <n v="-0.6694"/>
    <n v="130"/>
    <n v="130"/>
    <n v="-50"/>
    <n v="-0.3846"/>
  </r>
  <r>
    <d v="2024-10-07T00:00:00"/>
    <n v="234"/>
    <x v="12"/>
    <s v="Central"/>
    <s v="Major Market"/>
    <s v="Beans"/>
    <s v="Espresso"/>
    <s v="Caffe Mocha"/>
    <s v="Regular"/>
    <n v="1283"/>
    <n v="50"/>
    <x v="65"/>
    <n v="181"/>
    <n v="75"/>
    <n v="159"/>
    <n v="0.41089999999999999"/>
    <n v="460"/>
    <n v="230"/>
    <n v="170"/>
    <n v="0.36959999999999998"/>
  </r>
  <r>
    <d v="2024-10-07T00:00:00"/>
    <n v="415"/>
    <x v="7"/>
    <s v="West"/>
    <s v="Major Market"/>
    <s v="Leaves"/>
    <s v="Herbal Tea"/>
    <s v="Lemon"/>
    <s v="Decaf"/>
    <n v="1321"/>
    <n v="74"/>
    <x v="226"/>
    <n v="241"/>
    <n v="96"/>
    <n v="188"/>
    <n v="0.35809999999999997"/>
    <n v="480"/>
    <n v="220"/>
    <n v="170"/>
    <n v="0.35420000000000001"/>
  </r>
  <r>
    <d v="2024-10-07T00:00:00"/>
    <n v="775"/>
    <x v="8"/>
    <s v="West"/>
    <s v="Small Market"/>
    <s v="Leaves"/>
    <s v="Herbal Tea"/>
    <s v="Lemon"/>
    <s v="Decaf"/>
    <n v="1191"/>
    <n v="73"/>
    <x v="85"/>
    <n v="224"/>
    <n v="116"/>
    <n v="194"/>
    <n v="0.36330000000000001"/>
    <n v="490"/>
    <n v="210"/>
    <n v="170"/>
    <n v="0.34689999999999999"/>
  </r>
  <r>
    <d v="2024-10-09T00:00:00"/>
    <n v="503"/>
    <x v="9"/>
    <s v="West"/>
    <s v="Small Market"/>
    <s v="Beans"/>
    <s v="Espresso"/>
    <s v="Caffe Mocha"/>
    <s v="Regular"/>
    <n v="411"/>
    <n v="19"/>
    <x v="87"/>
    <n v="59"/>
    <n v="46"/>
    <n v="33"/>
    <n v="0.23910000000000001"/>
    <n v="130"/>
    <n v="50"/>
    <n v="50"/>
    <n v="0.3846"/>
  </r>
  <r>
    <d v="2024-10-09T00:00:00"/>
    <n v="419"/>
    <x v="12"/>
    <s v="Central"/>
    <s v="Major Market"/>
    <s v="Beans"/>
    <s v="Espresso"/>
    <s v="Decaf Espresso"/>
    <s v="Decaf"/>
    <n v="422"/>
    <n v="17"/>
    <x v="204"/>
    <n v="46"/>
    <n v="51"/>
    <n v="9"/>
    <n v="8.1799999999999998E-2"/>
    <n v="130"/>
    <n v="50"/>
    <n v="40"/>
    <n v="0.30769999999999997"/>
  </r>
  <r>
    <d v="2024-10-09T00:00:00"/>
    <n v="641"/>
    <x v="17"/>
    <s v="Central"/>
    <s v="Small Market"/>
    <s v="Leaves"/>
    <s v="Tea"/>
    <s v="Earl Grey"/>
    <s v="Regular"/>
    <n v="1838"/>
    <n v="111"/>
    <x v="227"/>
    <n v="294"/>
    <n v="144"/>
    <n v="216"/>
    <n v="0.33029999999999998"/>
    <n v="540"/>
    <n v="240"/>
    <n v="170"/>
    <n v="0.31480000000000002"/>
  </r>
  <r>
    <d v="2024-10-09T00:00:00"/>
    <n v="213"/>
    <x v="7"/>
    <s v="West"/>
    <s v="Major Market"/>
    <s v="Beans"/>
    <s v="Coffee"/>
    <s v="Colombian"/>
    <s v="Regular"/>
    <n v="2580"/>
    <n v="87"/>
    <x v="215"/>
    <n v="249"/>
    <n v="139"/>
    <n v="349"/>
    <n v="0.52559999999999996"/>
    <n v="740"/>
    <n v="290"/>
    <n v="310"/>
    <n v="0.41889999999999999"/>
  </r>
  <r>
    <d v="2024-10-10T00:00:00"/>
    <n v="847"/>
    <x v="2"/>
    <s v="Central"/>
    <s v="Major Market"/>
    <s v="Beans"/>
    <s v="Coffee"/>
    <s v="Decaf Irish Cream"/>
    <s v="Decaf"/>
    <n v="803"/>
    <n v="36"/>
    <x v="210"/>
    <n v="113"/>
    <n v="59"/>
    <n v="157"/>
    <n v="0.53039999999999998"/>
    <n v="270"/>
    <n v="110"/>
    <n v="110"/>
    <n v="0.40739999999999998"/>
  </r>
  <r>
    <d v="2024-10-11T00:00:00"/>
    <n v="904"/>
    <x v="16"/>
    <s v="East"/>
    <s v="Major Market"/>
    <s v="Beans"/>
    <s v="Coffee"/>
    <s v="Decaf Irish Cream"/>
    <s v="Decaf"/>
    <n v="666"/>
    <n v="31"/>
    <x v="81"/>
    <n v="102"/>
    <n v="54"/>
    <n v="132"/>
    <n v="0.50570000000000004"/>
    <n v="220"/>
    <n v="90"/>
    <n v="90"/>
    <n v="0.40910000000000002"/>
  </r>
  <r>
    <d v="2024-10-12T00:00:00"/>
    <n v="475"/>
    <x v="18"/>
    <s v="East"/>
    <s v="Small Market"/>
    <s v="Leaves"/>
    <s v="Tea"/>
    <s v="Darjeeling"/>
    <s v="Regular"/>
    <n v="881"/>
    <n v="11"/>
    <x v="110"/>
    <n v="40"/>
    <n v="23"/>
    <n v="53"/>
    <n v="0.5"/>
    <n v="100"/>
    <n v="40"/>
    <n v="50"/>
    <n v="0.5"/>
  </r>
  <r>
    <d v="2024-10-12T00:00:00"/>
    <n v="603"/>
    <x v="15"/>
    <s v="East"/>
    <s v="Small Market"/>
    <s v="Leaves"/>
    <s v="Tea"/>
    <s v="Darjeeling"/>
    <s v="Regular"/>
    <n v="848"/>
    <n v="4"/>
    <x v="121"/>
    <n v="15"/>
    <n v="16"/>
    <n v="8"/>
    <n v="0.2051"/>
    <n v="40"/>
    <n v="10"/>
    <n v="20"/>
    <n v="0.5"/>
  </r>
  <r>
    <d v="2024-10-12T00:00:00"/>
    <n v="505"/>
    <x v="3"/>
    <s v="South"/>
    <s v="Small Market"/>
    <s v="Beans"/>
    <s v="Espresso"/>
    <s v="Caffe Latte"/>
    <s v="Regular"/>
    <n v="-466"/>
    <n v="9"/>
    <x v="26"/>
    <n v="25"/>
    <n v="43"/>
    <n v="-18"/>
    <n v="-0.3"/>
    <n v="30"/>
    <n v="10"/>
    <n v="10"/>
    <n v="0.33329999999999999"/>
  </r>
  <r>
    <d v="2024-10-12T00:00:00"/>
    <n v="914"/>
    <x v="14"/>
    <s v="East"/>
    <s v="Major Market"/>
    <s v="Leaves"/>
    <s v="Tea"/>
    <s v="Earl Grey"/>
    <s v="Regular"/>
    <n v="930"/>
    <n v="33"/>
    <x v="102"/>
    <n v="118"/>
    <n v="45"/>
    <n v="188"/>
    <n v="0.60840000000000005"/>
    <n v="290"/>
    <n v="120"/>
    <n v="130"/>
    <n v="0.44829999999999998"/>
  </r>
  <r>
    <d v="2024-10-12T00:00:00"/>
    <n v="650"/>
    <x v="7"/>
    <s v="West"/>
    <s v="Major Market"/>
    <s v="Beans"/>
    <s v="Coffee"/>
    <s v="Decaf Irish Cream"/>
    <s v="Decaf"/>
    <n v="3654"/>
    <n v="50"/>
    <x v="76"/>
    <n v="154"/>
    <n v="93"/>
    <n v="-174"/>
    <n v="-1.2518"/>
    <n v="190"/>
    <n v="220"/>
    <n v="-100"/>
    <n v="-0.52629999999999999"/>
  </r>
  <r>
    <d v="2024-10-13T00:00:00"/>
    <n v="719"/>
    <x v="1"/>
    <s v="Central"/>
    <s v="Major Market"/>
    <s v="Beans"/>
    <s v="Coffee"/>
    <s v="Colombian"/>
    <s v="Regular"/>
    <n v="536"/>
    <n v="13"/>
    <x v="71"/>
    <n v="40"/>
    <n v="25"/>
    <n v="40"/>
    <n v="0.40820000000000001"/>
    <n v="90"/>
    <n v="30"/>
    <n v="40"/>
    <n v="0.44440000000000002"/>
  </r>
  <r>
    <d v="2024-10-13T00:00:00"/>
    <n v="417"/>
    <x v="6"/>
    <s v="Central"/>
    <s v="Small Market"/>
    <s v="Leaves"/>
    <s v="Herbal Tea"/>
    <s v="Lemon"/>
    <s v="Decaf"/>
    <n v="1898"/>
    <n v="28"/>
    <x v="127"/>
    <n v="92"/>
    <n v="52"/>
    <n v="24"/>
    <n v="0.1404"/>
    <n v="140"/>
    <n v="80"/>
    <n v="20"/>
    <n v="0.1429"/>
  </r>
  <r>
    <d v="2024-10-13T00:00:00"/>
    <n v="425"/>
    <x v="5"/>
    <s v="West"/>
    <s v="Small Market"/>
    <s v="Beans"/>
    <s v="Espresso"/>
    <s v="Caffe Mocha"/>
    <s v="Regular"/>
    <n v="385"/>
    <n v="21"/>
    <x v="168"/>
    <n v="56"/>
    <n v="54"/>
    <n v="24"/>
    <n v="0.17910000000000001"/>
    <n v="110"/>
    <n v="40"/>
    <n v="50"/>
    <n v="0.45450000000000002"/>
  </r>
  <r>
    <d v="2024-10-13T00:00:00"/>
    <n v="715"/>
    <x v="0"/>
    <s v="Central"/>
    <s v="Small Market"/>
    <s v="Beans"/>
    <s v="Coffee"/>
    <s v="Decaf Irish Cream"/>
    <s v="Decaf"/>
    <n v="547"/>
    <n v="28"/>
    <x v="228"/>
    <n v="86"/>
    <n v="55"/>
    <n v="61"/>
    <n v="0.30199999999999999"/>
    <n v="200"/>
    <n v="80"/>
    <n v="100"/>
    <n v="0.5"/>
  </r>
  <r>
    <d v="2024-10-13T00:00:00"/>
    <n v="503"/>
    <x v="9"/>
    <s v="West"/>
    <s v="Small Market"/>
    <s v="Beans"/>
    <s v="Coffee"/>
    <s v="Amaretto"/>
    <s v="Regular"/>
    <n v="503"/>
    <n v="46"/>
    <x v="174"/>
    <n v="51"/>
    <n v="76"/>
    <n v="-7"/>
    <n v="-5.3800000000000001E-2"/>
    <n v="170"/>
    <n v="70"/>
    <n v="50"/>
    <n v="0.29409999999999997"/>
  </r>
  <r>
    <d v="2024-10-14T00:00:00"/>
    <n v="775"/>
    <x v="8"/>
    <s v="West"/>
    <s v="Small Market"/>
    <s v="Beans"/>
    <s v="Espresso"/>
    <s v="Caffe Latte"/>
    <s v="Regular"/>
    <n v="387"/>
    <n v="0"/>
    <x v="101"/>
    <n v="0"/>
    <n v="12"/>
    <n v="31"/>
    <n v="0.72089999999999999"/>
    <n v="40"/>
    <n v="0"/>
    <n v="30"/>
    <n v="0.75"/>
  </r>
  <r>
    <d v="2024-10-14T00:00:00"/>
    <n v="580"/>
    <x v="19"/>
    <s v="South"/>
    <s v="Small Market"/>
    <s v="Beans"/>
    <s v="Espresso"/>
    <s v="Caffe Mocha"/>
    <s v="Regular"/>
    <n v="482"/>
    <n v="8"/>
    <x v="138"/>
    <n v="32"/>
    <n v="19"/>
    <n v="43"/>
    <n v="0.50590000000000002"/>
    <n v="60"/>
    <n v="20"/>
    <n v="30"/>
    <n v="0.5"/>
  </r>
  <r>
    <d v="2024-10-15T00:00:00"/>
    <n v="719"/>
    <x v="1"/>
    <s v="Central"/>
    <s v="Major Market"/>
    <s v="Leaves"/>
    <s v="Tea"/>
    <s v="Earl Grey"/>
    <s v="Regular"/>
    <n v="1042"/>
    <n v="17"/>
    <x v="151"/>
    <n v="57"/>
    <n v="39"/>
    <n v="29"/>
    <n v="0.23200000000000001"/>
    <n v="100"/>
    <n v="40"/>
    <n v="30"/>
    <n v="0.3"/>
  </r>
  <r>
    <d v="2024-10-15T00:00:00"/>
    <n v="505"/>
    <x v="3"/>
    <s v="South"/>
    <s v="Small Market"/>
    <s v="Beans"/>
    <s v="Coffee"/>
    <s v="Decaf Irish Cream"/>
    <s v="Decaf"/>
    <n v="1698"/>
    <n v="26"/>
    <x v="44"/>
    <n v="86"/>
    <n v="49"/>
    <n v="-39"/>
    <n v="-0.3362"/>
    <n v="150"/>
    <n v="110"/>
    <n v="10"/>
    <n v="6.6699999999999995E-2"/>
  </r>
  <r>
    <d v="2024-10-15T00:00:00"/>
    <n v="708"/>
    <x v="2"/>
    <s v="Central"/>
    <s v="Major Market"/>
    <s v="Beans"/>
    <s v="Espresso"/>
    <s v="Caffe Mocha"/>
    <s v="Regular"/>
    <n v="1744"/>
    <n v="81"/>
    <x v="136"/>
    <n v="247"/>
    <n v="113"/>
    <n v="321"/>
    <n v="0.52280000000000004"/>
    <n v="730"/>
    <n v="310"/>
    <n v="320"/>
    <n v="0.43840000000000001"/>
  </r>
  <r>
    <d v="2024-10-15T00:00:00"/>
    <n v="253"/>
    <x v="5"/>
    <s v="West"/>
    <s v="Small Market"/>
    <s v="Beans"/>
    <s v="Espresso"/>
    <s v="Decaf Espresso"/>
    <s v="Decaf"/>
    <n v="1055"/>
    <n v="24"/>
    <x v="147"/>
    <n v="80"/>
    <n v="46"/>
    <n v="48"/>
    <n v="0.27589999999999998"/>
    <n v="150"/>
    <n v="60"/>
    <n v="80"/>
    <n v="0.5333"/>
  </r>
  <r>
    <d v="2024-10-15T00:00:00"/>
    <n v="775"/>
    <x v="8"/>
    <s v="West"/>
    <s v="Small Market"/>
    <s v="Beans"/>
    <s v="Espresso"/>
    <s v="Caffe Mocha"/>
    <s v="Regular"/>
    <n v="848"/>
    <n v="4"/>
    <x v="121"/>
    <n v="15"/>
    <n v="15"/>
    <n v="9"/>
    <n v="0.23080000000000001"/>
    <n v="30"/>
    <n v="10"/>
    <n v="10"/>
    <n v="0.33329999999999999"/>
  </r>
  <r>
    <d v="2024-10-16T00:00:00"/>
    <n v="203"/>
    <x v="18"/>
    <s v="East"/>
    <s v="Small Market"/>
    <s v="Beans"/>
    <s v="Espresso"/>
    <s v="Caffe Mocha"/>
    <s v="Regular"/>
    <n v="613"/>
    <n v="55"/>
    <x v="14"/>
    <n v="61"/>
    <n v="84"/>
    <n v="2"/>
    <n v="1.3599999999999999E-2"/>
    <n v="140"/>
    <n v="60"/>
    <n v="10"/>
    <n v="7.1400000000000005E-2"/>
  </r>
  <r>
    <d v="2024-10-17T00:00:00"/>
    <n v="303"/>
    <x v="1"/>
    <s v="Central"/>
    <s v="Major Market"/>
    <s v="Leaves"/>
    <s v="Herbal Tea"/>
    <s v="Lemon"/>
    <s v="Decaf"/>
    <n v="503"/>
    <n v="46"/>
    <x v="139"/>
    <n v="51"/>
    <n v="76"/>
    <n v="-5"/>
    <n v="-4.1000000000000002E-2"/>
    <n v="90"/>
    <n v="30"/>
    <n v="30"/>
    <n v="0.33329999999999999"/>
  </r>
  <r>
    <d v="2024-10-17T00:00:00"/>
    <n v="708"/>
    <x v="2"/>
    <s v="Central"/>
    <s v="Major Market"/>
    <s v="Leaves"/>
    <s v="Herbal Tea"/>
    <s v="Chamomile"/>
    <s v="Decaf"/>
    <n v="915"/>
    <n v="34"/>
    <x v="1"/>
    <n v="123"/>
    <n v="46"/>
    <n v="133"/>
    <n v="0.44040000000000001"/>
    <n v="240"/>
    <n v="90"/>
    <n v="140"/>
    <n v="0.58330000000000004"/>
  </r>
  <r>
    <d v="2024-10-17T00:00:00"/>
    <n v="323"/>
    <x v="7"/>
    <s v="West"/>
    <s v="Major Market"/>
    <s v="Leaves"/>
    <s v="Tea"/>
    <s v="Darjeeling"/>
    <s v="Regular"/>
    <n v="959"/>
    <n v="34"/>
    <x v="34"/>
    <n v="123"/>
    <n v="45"/>
    <n v="199"/>
    <n v="0.61799999999999999"/>
    <n v="220"/>
    <n v="90"/>
    <n v="110"/>
    <n v="0.5"/>
  </r>
  <r>
    <d v="2024-10-18T00:00:00"/>
    <n v="515"/>
    <x v="17"/>
    <s v="Central"/>
    <s v="Small Market"/>
    <s v="Beans"/>
    <s v="Coffee"/>
    <s v="Colombian"/>
    <s v="Regular"/>
    <n v="1003"/>
    <n v="8"/>
    <x v="137"/>
    <n v="29"/>
    <n v="30"/>
    <n v="7"/>
    <n v="0.10290000000000001"/>
    <n v="60"/>
    <n v="20"/>
    <n v="20"/>
    <n v="0.33329999999999999"/>
  </r>
  <r>
    <d v="2024-10-19T00:00:00"/>
    <n v="702"/>
    <x v="8"/>
    <s v="West"/>
    <s v="Small Market"/>
    <s v="Beans"/>
    <s v="Coffee"/>
    <s v="Colombian"/>
    <s v="Regular"/>
    <n v="250"/>
    <n v="14"/>
    <x v="64"/>
    <n v="39"/>
    <n v="48"/>
    <n v="1"/>
    <n v="1.06E-2"/>
    <n v="100"/>
    <n v="40"/>
    <n v="20"/>
    <n v="0.2"/>
  </r>
  <r>
    <d v="2024-10-19T00:00:00"/>
    <n v="567"/>
    <x v="12"/>
    <s v="Central"/>
    <s v="Major Market"/>
    <s v="Beans"/>
    <s v="Coffee"/>
    <s v="Decaf Irish Cream"/>
    <s v="Decaf"/>
    <n v="509"/>
    <n v="47"/>
    <x v="151"/>
    <n v="52"/>
    <n v="76"/>
    <n v="-3"/>
    <n v="-2.4E-2"/>
    <n v="120"/>
    <n v="50"/>
    <n v="10"/>
    <n v="8.3299999999999999E-2"/>
  </r>
  <r>
    <d v="2024-10-19T00:00:00"/>
    <n v="435"/>
    <x v="13"/>
    <s v="West"/>
    <s v="Small Market"/>
    <s v="Leaves"/>
    <s v="Tea"/>
    <s v="Earl Grey"/>
    <s v="Regular"/>
    <n v="248"/>
    <n v="11"/>
    <x v="74"/>
    <n v="35"/>
    <n v="38"/>
    <n v="9"/>
    <n v="0.10979999999999999"/>
    <n v="50"/>
    <n v="20"/>
    <n v="10"/>
    <n v="0.2"/>
  </r>
  <r>
    <d v="2024-10-21T00:00:00"/>
    <n v="719"/>
    <x v="1"/>
    <s v="Central"/>
    <s v="Major Market"/>
    <s v="Leaves"/>
    <s v="Tea"/>
    <s v="Darjeeling"/>
    <s v="Regular"/>
    <n v="410"/>
    <n v="20"/>
    <x v="37"/>
    <n v="55"/>
    <n v="54"/>
    <n v="15"/>
    <n v="0.121"/>
    <n v="100"/>
    <n v="40"/>
    <n v="20"/>
    <n v="0.2"/>
  </r>
  <r>
    <d v="2024-10-21T00:00:00"/>
    <n v="314"/>
    <x v="6"/>
    <s v="Central"/>
    <s v="Small Market"/>
    <s v="Leaves"/>
    <s v="Herbal Tea"/>
    <s v="Chamomile"/>
    <s v="Decaf"/>
    <n v="325"/>
    <n v="40"/>
    <x v="153"/>
    <n v="44"/>
    <n v="70"/>
    <n v="-12"/>
    <n v="-0.1062"/>
    <n v="90"/>
    <n v="40"/>
    <n v="0"/>
    <n v="0"/>
  </r>
  <r>
    <d v="2024-10-21T00:00:00"/>
    <n v="262"/>
    <x v="0"/>
    <s v="Central"/>
    <s v="Small Market"/>
    <s v="Leaves"/>
    <s v="Tea"/>
    <s v="Darjeeling"/>
    <s v="Regular"/>
    <n v="466"/>
    <n v="13"/>
    <x v="153"/>
    <n v="43"/>
    <n v="35"/>
    <n v="42"/>
    <n v="0.37169999999999997"/>
    <n v="80"/>
    <n v="30"/>
    <n v="20"/>
    <n v="0.25"/>
  </r>
  <r>
    <d v="2024-10-21T00:00:00"/>
    <n v="407"/>
    <x v="16"/>
    <s v="East"/>
    <s v="Major Market"/>
    <s v="Leaves"/>
    <s v="Herbal Tea"/>
    <s v="Lemon"/>
    <s v="Decaf"/>
    <n v="391"/>
    <n v="20"/>
    <x v="16"/>
    <n v="54"/>
    <n v="54"/>
    <n v="13"/>
    <n v="0.1074"/>
    <n v="80"/>
    <n v="40"/>
    <n v="10"/>
    <n v="0.125"/>
  </r>
  <r>
    <d v="2024-10-21T00:00:00"/>
    <n v="562"/>
    <x v="7"/>
    <s v="West"/>
    <s v="Major Market"/>
    <s v="Leaves"/>
    <s v="Tea"/>
    <s v="Darjeeling"/>
    <s v="Regular"/>
    <n v="915"/>
    <n v="34"/>
    <x v="1"/>
    <n v="123"/>
    <n v="45"/>
    <n v="134"/>
    <n v="0.44369999999999998"/>
    <n v="140"/>
    <n v="50"/>
    <n v="80"/>
    <n v="0.57140000000000002"/>
  </r>
  <r>
    <d v="2024-10-22T00:00:00"/>
    <n v="435"/>
    <x v="13"/>
    <s v="West"/>
    <s v="Small Market"/>
    <s v="Leaves"/>
    <s v="Tea"/>
    <s v="Darjeeling"/>
    <s v="Regular"/>
    <n v="325"/>
    <n v="40"/>
    <x v="110"/>
    <n v="44"/>
    <n v="69"/>
    <n v="-7"/>
    <n v="-6.6000000000000003E-2"/>
    <n v="70"/>
    <n v="30"/>
    <n v="-10"/>
    <n v="-0.1429"/>
  </r>
  <r>
    <d v="2024-10-22T00:00:00"/>
    <n v="774"/>
    <x v="11"/>
    <s v="East"/>
    <s v="Major Market"/>
    <s v="Leaves"/>
    <s v="Tea"/>
    <s v="Green Tea"/>
    <s v="Regular"/>
    <n v="490"/>
    <n v="8"/>
    <x v="28"/>
    <n v="29"/>
    <n v="19"/>
    <n v="37"/>
    <n v="0.47439999999999999"/>
    <n v="70"/>
    <n v="30"/>
    <n v="30"/>
    <n v="0.42859999999999998"/>
  </r>
  <r>
    <d v="2024-10-22T00:00:00"/>
    <n v="817"/>
    <x v="10"/>
    <s v="South"/>
    <s v="Major Market"/>
    <s v="Beans"/>
    <s v="Espresso"/>
    <s v="Caffe Mocha"/>
    <s v="Regular"/>
    <n v="915"/>
    <n v="34"/>
    <x v="34"/>
    <n v="123"/>
    <n v="46"/>
    <n v="197"/>
    <n v="0.61180000000000001"/>
    <n v="190"/>
    <n v="70"/>
    <n v="100"/>
    <n v="0.52629999999999999"/>
  </r>
  <r>
    <d v="2024-10-23T00:00:00"/>
    <n v="509"/>
    <x v="5"/>
    <s v="West"/>
    <s v="Small Market"/>
    <s v="Leaves"/>
    <s v="Herbal Tea"/>
    <s v="Lemon"/>
    <s v="Decaf"/>
    <n v="834"/>
    <n v="13"/>
    <x v="160"/>
    <n v="47"/>
    <n v="24"/>
    <n v="44"/>
    <n v="0.3826"/>
    <n v="100"/>
    <n v="40"/>
    <n v="40"/>
    <n v="0.4"/>
  </r>
  <r>
    <d v="2024-10-23T00:00:00"/>
    <n v="971"/>
    <x v="9"/>
    <s v="West"/>
    <s v="Small Market"/>
    <s v="Beans"/>
    <s v="Coffee"/>
    <s v="Colombian"/>
    <s v="Regular"/>
    <n v="463"/>
    <n v="19"/>
    <x v="114"/>
    <n v="60"/>
    <n v="63"/>
    <n v="21"/>
    <n v="0.14580000000000001"/>
    <n v="210"/>
    <n v="80"/>
    <n v="90"/>
    <n v="0.42859999999999998"/>
  </r>
  <r>
    <d v="2024-10-23T00:00:00"/>
    <n v="818"/>
    <x v="7"/>
    <s v="West"/>
    <s v="Major Market"/>
    <s v="Beans"/>
    <s v="Coffee"/>
    <s v="Colombian"/>
    <s v="Regular"/>
    <n v="2548"/>
    <n v="91"/>
    <x v="191"/>
    <n v="260"/>
    <n v="143"/>
    <n v="367"/>
    <n v="0.52959999999999996"/>
    <n v="960"/>
    <n v="380"/>
    <n v="470"/>
    <n v="0.48959999999999998"/>
  </r>
  <r>
    <d v="2024-10-24T00:00:00"/>
    <n v="262"/>
    <x v="0"/>
    <s v="Central"/>
    <s v="Small Market"/>
    <s v="Leaves"/>
    <s v="Tea"/>
    <s v="Darjeeling"/>
    <s v="Regular"/>
    <n v="449"/>
    <n v="14"/>
    <x v="153"/>
    <n v="46"/>
    <n v="37"/>
    <n v="30"/>
    <n v="0.26550000000000001"/>
    <n v="70"/>
    <n v="20"/>
    <n v="40"/>
    <n v="0.57140000000000002"/>
  </r>
  <r>
    <d v="2024-10-24T00:00:00"/>
    <n v="971"/>
    <x v="9"/>
    <s v="West"/>
    <s v="Small Market"/>
    <s v="Leaves"/>
    <s v="Tea"/>
    <s v="Earl Grey"/>
    <s v="Regular"/>
    <n v="817"/>
    <n v="29"/>
    <x v="149"/>
    <n v="88"/>
    <n v="60"/>
    <n v="73"/>
    <n v="0.33029999999999998"/>
    <n v="160"/>
    <n v="60"/>
    <n v="60"/>
    <n v="0.375"/>
  </r>
  <r>
    <d v="2024-10-25T00:00:00"/>
    <n v="213"/>
    <x v="7"/>
    <s v="West"/>
    <s v="Major Market"/>
    <s v="Leaves"/>
    <s v="Tea"/>
    <s v="Green Tea"/>
    <s v="Regular"/>
    <n v="677"/>
    <n v="22"/>
    <x v="23"/>
    <n v="67"/>
    <n v="54"/>
    <n v="47"/>
    <n v="0.27979999999999999"/>
    <n v="120"/>
    <n v="40"/>
    <n v="50"/>
    <n v="0.41670000000000001"/>
  </r>
  <r>
    <d v="2024-10-26T00:00:00"/>
    <n v="425"/>
    <x v="5"/>
    <s v="West"/>
    <s v="Small Market"/>
    <s v="Beans"/>
    <s v="Espresso"/>
    <s v="Caffe Latte"/>
    <s v="Regular"/>
    <n v="570"/>
    <n v="7"/>
    <x v="27"/>
    <n v="22"/>
    <n v="19"/>
    <n v="16"/>
    <n v="0.29089999999999999"/>
    <n v="50"/>
    <n v="20"/>
    <n v="20"/>
    <n v="0.4"/>
  </r>
  <r>
    <d v="2024-10-26T00:00:00"/>
    <n v="360"/>
    <x v="5"/>
    <s v="West"/>
    <s v="Small Market"/>
    <s v="Leaves"/>
    <s v="Herbal Tea"/>
    <s v="Chamomile"/>
    <s v="Decaf"/>
    <n v="1119"/>
    <n v="41"/>
    <x v="229"/>
    <n v="125"/>
    <n v="73"/>
    <n v="171"/>
    <n v="0.51200000000000001"/>
    <n v="250"/>
    <n v="90"/>
    <n v="130"/>
    <n v="0.52"/>
  </r>
  <r>
    <d v="2024-10-27T00:00:00"/>
    <n v="435"/>
    <x v="13"/>
    <s v="West"/>
    <s v="Small Market"/>
    <s v="Leaves"/>
    <s v="Tea"/>
    <s v="Darjeeling"/>
    <s v="Regular"/>
    <n v="325"/>
    <n v="40"/>
    <x v="153"/>
    <n v="44"/>
    <n v="69"/>
    <n v="-10"/>
    <n v="-8.8499999999999995E-2"/>
    <n v="70"/>
    <n v="30"/>
    <n v="-10"/>
    <n v="-0.1429"/>
  </r>
  <r>
    <d v="2024-10-27T00:00:00"/>
    <n v="513"/>
    <x v="12"/>
    <s v="Central"/>
    <s v="Major Market"/>
    <s v="Leaves"/>
    <s v="Tea"/>
    <s v="Darjeeling"/>
    <s v="Regular"/>
    <n v="817"/>
    <n v="29"/>
    <x v="149"/>
    <n v="88"/>
    <n v="61"/>
    <n v="72"/>
    <n v="0.32579999999999998"/>
    <n v="180"/>
    <n v="70"/>
    <n v="70"/>
    <n v="0.38890000000000002"/>
  </r>
  <r>
    <d v="2024-10-27T00:00:00"/>
    <n v="970"/>
    <x v="1"/>
    <s v="Central"/>
    <s v="Major Market"/>
    <s v="Beans"/>
    <s v="Espresso"/>
    <s v="Decaf Espresso"/>
    <s v="Decaf"/>
    <n v="659"/>
    <n v="24"/>
    <x v="9"/>
    <n v="75"/>
    <n v="56"/>
    <n v="86"/>
    <n v="0.4279"/>
    <n v="240"/>
    <n v="90"/>
    <n v="100"/>
    <n v="0.41670000000000001"/>
  </r>
  <r>
    <d v="2024-10-27T00:00:00"/>
    <n v="541"/>
    <x v="9"/>
    <s v="West"/>
    <s v="Small Market"/>
    <s v="Beans"/>
    <s v="Coffee"/>
    <s v="Colombian"/>
    <s v="Regular"/>
    <n v="470"/>
    <n v="17"/>
    <x v="230"/>
    <n v="53"/>
    <n v="61"/>
    <n v="21"/>
    <n v="0.15440000000000001"/>
    <n v="150"/>
    <n v="60"/>
    <n v="40"/>
    <n v="0.26669999999999999"/>
  </r>
  <r>
    <d v="2024-10-28T00:00:00"/>
    <n v="225"/>
    <x v="4"/>
    <s v="South"/>
    <s v="Small Market"/>
    <s v="Beans"/>
    <s v="Espresso"/>
    <s v="Caffe Mocha"/>
    <s v="Regular"/>
    <n v="321"/>
    <n v="16"/>
    <x v="19"/>
    <n v="53"/>
    <n v="39"/>
    <n v="49"/>
    <n v="0.34749999999999998"/>
    <n v="100"/>
    <n v="40"/>
    <n v="30"/>
    <n v="0.3"/>
  </r>
  <r>
    <d v="2024-10-28T00:00:00"/>
    <n v="920"/>
    <x v="0"/>
    <s v="Central"/>
    <s v="Small Market"/>
    <s v="Beans"/>
    <s v="Coffee"/>
    <s v="Decaf Irish Cream"/>
    <s v="Decaf"/>
    <n v="547"/>
    <n v="28"/>
    <x v="119"/>
    <n v="86"/>
    <n v="55"/>
    <n v="91"/>
    <n v="0.42330000000000001"/>
    <n v="200"/>
    <n v="80"/>
    <n v="100"/>
    <n v="0.5"/>
  </r>
  <r>
    <d v="2024-11-01T00:00:00"/>
    <n v="708"/>
    <x v="2"/>
    <s v="Central"/>
    <s v="Major Market"/>
    <s v="Leaves"/>
    <s v="Tea"/>
    <s v="Darjeeling"/>
    <s v="Regular"/>
    <n v="589"/>
    <n v="14"/>
    <x v="30"/>
    <n v="50"/>
    <n v="25"/>
    <n v="71"/>
    <n v="0.54200000000000004"/>
    <n v="100"/>
    <n v="40"/>
    <n v="40"/>
    <n v="0.4"/>
  </r>
  <r>
    <d v="2024-11-01T00:00:00"/>
    <n v="971"/>
    <x v="9"/>
    <s v="West"/>
    <s v="Small Market"/>
    <s v="Leaves"/>
    <s v="Herbal Tea"/>
    <s v="Chamomile"/>
    <s v="Decaf"/>
    <n v="820"/>
    <n v="7"/>
    <x v="218"/>
    <n v="25"/>
    <n v="19"/>
    <n v="25"/>
    <n v="0.3846"/>
    <n v="40"/>
    <n v="10"/>
    <n v="30"/>
    <n v="0.75"/>
  </r>
  <r>
    <d v="2024-11-01T00:00:00"/>
    <n v="203"/>
    <x v="18"/>
    <s v="East"/>
    <s v="Small Market"/>
    <s v="Beans"/>
    <s v="Coffee"/>
    <s v="Colombian"/>
    <s v="Regular"/>
    <n v="1119"/>
    <n v="41"/>
    <x v="229"/>
    <n v="125"/>
    <n v="73"/>
    <n v="171"/>
    <n v="0.51200000000000001"/>
    <n v="260"/>
    <n v="100"/>
    <n v="130"/>
    <n v="0.5"/>
  </r>
  <r>
    <d v="2024-11-01T00:00:00"/>
    <n v="315"/>
    <x v="14"/>
    <s v="East"/>
    <s v="Major Market"/>
    <s v="Leaves"/>
    <s v="Herbal Tea"/>
    <s v="Mint"/>
    <s v="Decaf"/>
    <n v="4360"/>
    <n v="74"/>
    <x v="67"/>
    <n v="239"/>
    <n v="95"/>
    <n v="-170"/>
    <n v="-1.0366"/>
    <n v="80"/>
    <n v="130"/>
    <n v="-100"/>
    <n v="-1.25"/>
  </r>
  <r>
    <d v="2024-11-01T00:00:00"/>
    <n v="630"/>
    <x v="2"/>
    <s v="Central"/>
    <s v="Major Market"/>
    <s v="Beans"/>
    <s v="Coffee"/>
    <s v="Decaf Irish Cream"/>
    <s v="Decaf"/>
    <n v="830"/>
    <n v="40"/>
    <x v="36"/>
    <n v="127"/>
    <n v="63"/>
    <n v="122"/>
    <n v="0.39100000000000001"/>
    <n v="300"/>
    <n v="120"/>
    <n v="130"/>
    <n v="0.43330000000000002"/>
  </r>
  <r>
    <d v="2024-11-01T00:00:00"/>
    <n v="847"/>
    <x v="2"/>
    <s v="Central"/>
    <s v="Major Market"/>
    <s v="Beans"/>
    <s v="Coffee"/>
    <s v="Colombian"/>
    <s v="Regular"/>
    <n v="1191"/>
    <n v="73"/>
    <x v="85"/>
    <n v="224"/>
    <n v="116"/>
    <n v="194"/>
    <n v="0.36330000000000001"/>
    <n v="520"/>
    <n v="220"/>
    <n v="190"/>
    <n v="0.3654"/>
  </r>
  <r>
    <d v="2024-11-01T00:00:00"/>
    <n v="720"/>
    <x v="1"/>
    <s v="Central"/>
    <s v="Major Market"/>
    <s v="Beans"/>
    <s v="Coffee"/>
    <s v="Decaf Irish Cream"/>
    <s v="Decaf"/>
    <n v="984"/>
    <n v="22"/>
    <x v="217"/>
    <n v="81"/>
    <n v="33"/>
    <n v="125"/>
    <n v="0.59240000000000004"/>
    <n v="190"/>
    <n v="80"/>
    <n v="80"/>
    <n v="0.42109999999999997"/>
  </r>
  <r>
    <d v="2024-11-02T00:00:00"/>
    <n v="409"/>
    <x v="10"/>
    <s v="South"/>
    <s v="Major Market"/>
    <s v="Leaves"/>
    <s v="Herbal Tea"/>
    <s v="Lemon"/>
    <s v="Decaf"/>
    <n v="419"/>
    <n v="13"/>
    <x v="60"/>
    <n v="43"/>
    <n v="36"/>
    <n v="28"/>
    <n v="0.26169999999999999"/>
    <n v="90"/>
    <n v="30"/>
    <n v="50"/>
    <n v="0.55559999999999998"/>
  </r>
  <r>
    <d v="2024-11-02T00:00:00"/>
    <n v="509"/>
    <x v="5"/>
    <s v="West"/>
    <s v="Small Market"/>
    <s v="Leaves"/>
    <s v="Tea"/>
    <s v="Darjeeling"/>
    <s v="Regular"/>
    <n v="321"/>
    <n v="16"/>
    <x v="182"/>
    <n v="53"/>
    <n v="39"/>
    <n v="73"/>
    <n v="0.48670000000000002"/>
    <n v="100"/>
    <n v="30"/>
    <n v="50"/>
    <n v="0.5"/>
  </r>
  <r>
    <d v="2024-11-02T00:00:00"/>
    <n v="815"/>
    <x v="2"/>
    <s v="Central"/>
    <s v="Major Market"/>
    <s v="Beans"/>
    <s v="Espresso"/>
    <s v="Caffe Mocha"/>
    <s v="Regular"/>
    <n v="1744"/>
    <n v="81"/>
    <x v="55"/>
    <n v="247"/>
    <n v="113"/>
    <n v="216"/>
    <n v="0.375"/>
    <n v="730"/>
    <n v="310"/>
    <n v="320"/>
    <n v="0.43840000000000001"/>
  </r>
  <r>
    <d v="2024-11-03T00:00:00"/>
    <n v="857"/>
    <x v="11"/>
    <s v="East"/>
    <s v="Major Market"/>
    <s v="Beans"/>
    <s v="Coffee"/>
    <s v="Colombian"/>
    <s v="Regular"/>
    <n v="-3287"/>
    <n v="24"/>
    <x v="231"/>
    <n v="75"/>
    <n v="55"/>
    <n v="481"/>
    <n v="0.99380000000000002"/>
    <n v="400"/>
    <n v="60"/>
    <n v="300"/>
    <n v="0.75"/>
  </r>
  <r>
    <d v="2024-11-03T00:00:00"/>
    <n v="314"/>
    <x v="6"/>
    <s v="Central"/>
    <s v="Small Market"/>
    <s v="Beans"/>
    <s v="Espresso"/>
    <s v="Caffe Mocha"/>
    <s v="Regular"/>
    <n v="881"/>
    <n v="11"/>
    <x v="73"/>
    <n v="40"/>
    <n v="23"/>
    <n v="36"/>
    <n v="0.36359999999999998"/>
    <n v="140"/>
    <n v="50"/>
    <n v="90"/>
    <n v="0.64290000000000003"/>
  </r>
  <r>
    <d v="2024-11-03T00:00:00"/>
    <n v="213"/>
    <x v="7"/>
    <s v="West"/>
    <s v="Major Market"/>
    <s v="Leaves"/>
    <s v="Tea"/>
    <s v="Darjeeling"/>
    <s v="Regular"/>
    <n v="930"/>
    <n v="33"/>
    <x v="10"/>
    <n v="118"/>
    <n v="44"/>
    <n v="128"/>
    <n v="0.44140000000000001"/>
    <n v="210"/>
    <n v="80"/>
    <n v="110"/>
    <n v="0.52380000000000004"/>
  </r>
  <r>
    <d v="2024-11-03T00:00:00"/>
    <n v="702"/>
    <x v="8"/>
    <s v="West"/>
    <s v="Small Market"/>
    <s v="Leaves"/>
    <s v="Herbal Tea"/>
    <s v="Mint"/>
    <s v="Decaf"/>
    <n v="803"/>
    <n v="36"/>
    <x v="225"/>
    <n v="113"/>
    <n v="58"/>
    <n v="107"/>
    <n v="0.38490000000000002"/>
    <n v="250"/>
    <n v="100"/>
    <n v="100"/>
    <n v="0.4"/>
  </r>
  <r>
    <d v="2024-11-04T00:00:00"/>
    <n v="504"/>
    <x v="4"/>
    <s v="South"/>
    <s v="Small Market"/>
    <s v="Beans"/>
    <s v="Espresso"/>
    <s v="Caffe Latte"/>
    <s v="Regular"/>
    <n v="-762"/>
    <n v="54"/>
    <x v="130"/>
    <n v="60"/>
    <n v="83"/>
    <n v="1"/>
    <n v="6.4999999999999997E-3"/>
    <n v="90"/>
    <n v="30"/>
    <n v="10"/>
    <n v="0.1111"/>
  </r>
  <r>
    <d v="2024-11-04T00:00:00"/>
    <n v="253"/>
    <x v="5"/>
    <s v="West"/>
    <s v="Small Market"/>
    <s v="Beans"/>
    <s v="Coffee"/>
    <s v="Decaf Irish Cream"/>
    <s v="Decaf"/>
    <n v="694"/>
    <n v="85"/>
    <x v="92"/>
    <n v="94"/>
    <n v="114"/>
    <n v="16"/>
    <n v="7.1400000000000005E-2"/>
    <n v="260"/>
    <n v="110"/>
    <n v="40"/>
    <n v="0.15379999999999999"/>
  </r>
  <r>
    <d v="2024-11-05T00:00:00"/>
    <n v="775"/>
    <x v="8"/>
    <s v="West"/>
    <s v="Small Market"/>
    <s v="Beans"/>
    <s v="Espresso"/>
    <s v="Decaf Espresso"/>
    <s v="Decaf"/>
    <n v="807"/>
    <n v="6"/>
    <x v="148"/>
    <n v="23"/>
    <n v="18"/>
    <n v="25"/>
    <n v="0.4032"/>
    <n v="50"/>
    <n v="20"/>
    <n v="20"/>
    <n v="0.4"/>
  </r>
  <r>
    <d v="2024-11-05T00:00:00"/>
    <n v="351"/>
    <x v="11"/>
    <s v="East"/>
    <s v="Major Market"/>
    <s v="Beans"/>
    <s v="Coffee"/>
    <s v="Colombian"/>
    <s v="Regular"/>
    <n v="-3534"/>
    <n v="22"/>
    <x v="232"/>
    <n v="67"/>
    <n v="53"/>
    <n v="579"/>
    <n v="1.0663"/>
    <n v="450"/>
    <n v="60"/>
    <n v="360"/>
    <n v="0.8"/>
  </r>
  <r>
    <d v="2024-11-06T00:00:00"/>
    <n v="702"/>
    <x v="8"/>
    <s v="West"/>
    <s v="Small Market"/>
    <s v="Beans"/>
    <s v="Espresso"/>
    <s v="Caffe Latte"/>
    <s v="Regular"/>
    <n v="430"/>
    <n v="0"/>
    <x v="190"/>
    <n v="0"/>
    <n v="11"/>
    <n v="47"/>
    <n v="1.0217000000000001"/>
    <n v="30"/>
    <n v="0"/>
    <n v="30"/>
    <n v="1"/>
  </r>
  <r>
    <d v="2024-11-06T00:00:00"/>
    <n v="937"/>
    <x v="12"/>
    <s v="Central"/>
    <s v="Major Market"/>
    <s v="Beans"/>
    <s v="Espresso"/>
    <s v="Decaf Espresso"/>
    <s v="Decaf"/>
    <n v="410"/>
    <n v="20"/>
    <x v="50"/>
    <n v="55"/>
    <n v="53"/>
    <n v="24"/>
    <n v="0.18179999999999999"/>
    <n v="150"/>
    <n v="70"/>
    <n v="40"/>
    <n v="0.26669999999999999"/>
  </r>
  <r>
    <d v="2024-11-06T00:00:00"/>
    <n v="772"/>
    <x v="16"/>
    <s v="East"/>
    <s v="Major Market"/>
    <s v="Beans"/>
    <s v="Espresso"/>
    <s v="Decaf Espresso"/>
    <s v="Decaf"/>
    <n v="557"/>
    <n v="25"/>
    <x v="233"/>
    <n v="77"/>
    <n v="52"/>
    <n v="76"/>
    <n v="0.39579999999999999"/>
    <n v="170"/>
    <n v="70"/>
    <n v="60"/>
    <n v="0.35289999999999999"/>
  </r>
  <r>
    <d v="2024-11-07T00:00:00"/>
    <n v="774"/>
    <x v="11"/>
    <s v="East"/>
    <s v="Major Market"/>
    <s v="Leaves"/>
    <s v="Herbal Tea"/>
    <s v="Lemon"/>
    <s v="Decaf"/>
    <n v="422"/>
    <n v="17"/>
    <x v="204"/>
    <n v="46"/>
    <n v="50"/>
    <n v="10"/>
    <n v="9.0899999999999995E-2"/>
    <n v="70"/>
    <n v="30"/>
    <n v="10"/>
    <n v="0.1429"/>
  </r>
  <r>
    <d v="2024-11-07T00:00:00"/>
    <n v="863"/>
    <x v="16"/>
    <s v="East"/>
    <s v="Major Market"/>
    <s v="Leaves"/>
    <s v="Tea"/>
    <s v="Green Tea"/>
    <s v="Regular"/>
    <n v="851"/>
    <n v="13"/>
    <x v="77"/>
    <n v="48"/>
    <n v="24"/>
    <n v="46"/>
    <n v="0.38979999999999998"/>
    <n v="120"/>
    <n v="50"/>
    <n v="60"/>
    <n v="0.5"/>
  </r>
  <r>
    <d v="2024-11-07T00:00:00"/>
    <n v="918"/>
    <x v="19"/>
    <s v="South"/>
    <s v="Small Market"/>
    <s v="Beans"/>
    <s v="Coffee"/>
    <s v="Colombian"/>
    <s v="Regular"/>
    <n v="561"/>
    <n v="29"/>
    <x v="198"/>
    <n v="88"/>
    <n v="41"/>
    <n v="71"/>
    <n v="0.35499999999999998"/>
    <n v="230"/>
    <n v="100"/>
    <n v="90"/>
    <n v="0.39129999999999998"/>
  </r>
  <r>
    <d v="2024-11-07T00:00:00"/>
    <n v="813"/>
    <x v="16"/>
    <s v="East"/>
    <s v="Major Market"/>
    <s v="Beans"/>
    <s v="Coffee"/>
    <s v="Decaf Irish Cream"/>
    <s v="Decaf"/>
    <n v="690"/>
    <n v="41"/>
    <x v="56"/>
    <n v="134"/>
    <n v="64"/>
    <n v="122"/>
    <n v="0.38129999999999997"/>
    <n v="280"/>
    <n v="120"/>
    <n v="110"/>
    <n v="0.39290000000000003"/>
  </r>
  <r>
    <d v="2024-11-07T00:00:00"/>
    <n v="719"/>
    <x v="1"/>
    <s v="Central"/>
    <s v="Major Market"/>
    <s v="Leaves"/>
    <s v="Tea"/>
    <s v="Green Tea"/>
    <s v="Regular"/>
    <n v="561"/>
    <n v="29"/>
    <x v="198"/>
    <n v="88"/>
    <n v="42"/>
    <n v="70"/>
    <n v="0.35"/>
    <n v="160"/>
    <n v="70"/>
    <n v="60"/>
    <n v="0.375"/>
  </r>
  <r>
    <d v="2024-11-08T00:00:00"/>
    <n v="214"/>
    <x v="10"/>
    <s v="South"/>
    <s v="Major Market"/>
    <s v="Leaves"/>
    <s v="Herbal Tea"/>
    <s v="Lemon"/>
    <s v="Decaf"/>
    <n v="435"/>
    <n v="13"/>
    <x v="54"/>
    <n v="41"/>
    <n v="36"/>
    <n v="24"/>
    <n v="0.23760000000000001"/>
    <n v="90"/>
    <n v="30"/>
    <n v="30"/>
    <n v="0.33329999999999999"/>
  </r>
  <r>
    <d v="2024-11-08T00:00:00"/>
    <n v="580"/>
    <x v="19"/>
    <s v="South"/>
    <s v="Small Market"/>
    <s v="Leaves"/>
    <s v="Herbal Tea"/>
    <s v="Lemon"/>
    <s v="Decaf"/>
    <n v="694"/>
    <n v="85"/>
    <x v="92"/>
    <n v="94"/>
    <n v="115"/>
    <n v="15"/>
    <n v="6.7000000000000004E-2"/>
    <n v="200"/>
    <n v="80"/>
    <n v="20"/>
    <n v="0.1"/>
  </r>
  <r>
    <d v="2024-11-08T00:00:00"/>
    <n v="505"/>
    <x v="3"/>
    <s v="South"/>
    <s v="Small Market"/>
    <s v="Beans"/>
    <s v="Coffee"/>
    <s v="Decaf Irish Cream"/>
    <s v="Decaf"/>
    <n v="1898"/>
    <n v="28"/>
    <x v="59"/>
    <n v="92"/>
    <n v="52"/>
    <n v="16"/>
    <n v="0.1"/>
    <n v="190"/>
    <n v="100"/>
    <n v="40"/>
    <n v="0.21049999999999999"/>
  </r>
  <r>
    <d v="2024-11-08T00:00:00"/>
    <n v="718"/>
    <x v="14"/>
    <s v="East"/>
    <s v="Major Market"/>
    <s v="Beans"/>
    <s v="Espresso"/>
    <s v="Regular Espresso"/>
    <s v="Regular"/>
    <n v="1197"/>
    <n v="66"/>
    <x v="234"/>
    <n v="239"/>
    <n v="91"/>
    <n v="435"/>
    <n v="0.56859999999999999"/>
    <n v="720"/>
    <n v="210"/>
    <n v="450"/>
    <n v="0.625"/>
  </r>
  <r>
    <d v="2024-11-09T00:00:00"/>
    <n v="309"/>
    <x v="2"/>
    <s v="Central"/>
    <s v="Major Market"/>
    <s v="Leaves"/>
    <s v="Tea"/>
    <s v="Darjeeling"/>
    <s v="Regular"/>
    <n v="601"/>
    <n v="15"/>
    <x v="2"/>
    <n v="54"/>
    <n v="26"/>
    <n v="53"/>
    <n v="0.39850000000000002"/>
    <n v="110"/>
    <n v="40"/>
    <n v="50"/>
    <n v="0.45450000000000002"/>
  </r>
  <r>
    <d v="2024-11-09T00:00:00"/>
    <n v="314"/>
    <x v="6"/>
    <s v="Central"/>
    <s v="Small Market"/>
    <s v="Leaves"/>
    <s v="Tea"/>
    <s v="Green Tea"/>
    <s v="Regular"/>
    <n v="240"/>
    <n v="12"/>
    <x v="125"/>
    <n v="34"/>
    <n v="46"/>
    <n v="-3"/>
    <n v="-3.9E-2"/>
    <n v="40"/>
    <n v="10"/>
    <n v="10"/>
    <n v="0.25"/>
  </r>
  <r>
    <d v="2024-11-10T00:00:00"/>
    <n v="303"/>
    <x v="1"/>
    <s v="Central"/>
    <s v="Major Market"/>
    <s v="Leaves"/>
    <s v="Tea"/>
    <s v="Earl Grey"/>
    <s v="Regular"/>
    <n v="1054"/>
    <n v="16"/>
    <x v="44"/>
    <n v="53"/>
    <n v="37"/>
    <n v="26"/>
    <n v="0.22409999999999999"/>
    <n v="90"/>
    <n v="40"/>
    <n v="20"/>
    <n v="0.22220000000000001"/>
  </r>
  <r>
    <d v="2024-11-10T00:00:00"/>
    <n v="407"/>
    <x v="16"/>
    <s v="East"/>
    <s v="Major Market"/>
    <s v="Beans"/>
    <s v="Coffee"/>
    <s v="Colombian"/>
    <s v="Regular"/>
    <n v="788"/>
    <n v="27"/>
    <x v="41"/>
    <n v="82"/>
    <n v="59"/>
    <n v="64"/>
    <n v="0.31219999999999998"/>
    <n v="170"/>
    <n v="60"/>
    <n v="90"/>
    <n v="0.52939999999999998"/>
  </r>
  <r>
    <d v="2024-11-10T00:00:00"/>
    <n v="708"/>
    <x v="2"/>
    <s v="Central"/>
    <s v="Major Market"/>
    <s v="Leaves"/>
    <s v="Herbal Tea"/>
    <s v="Mint"/>
    <s v="Decaf"/>
    <n v="984"/>
    <n v="22"/>
    <x v="217"/>
    <n v="81"/>
    <n v="33"/>
    <n v="125"/>
    <n v="0.59240000000000004"/>
    <n v="180"/>
    <n v="70"/>
    <n v="80"/>
    <n v="0.44440000000000002"/>
  </r>
  <r>
    <d v="2024-11-10T00:00:00"/>
    <n v="312"/>
    <x v="2"/>
    <s v="Central"/>
    <s v="Major Market"/>
    <s v="Leaves"/>
    <s v="Herbal Tea"/>
    <s v="Mint"/>
    <s v="Decaf"/>
    <n v="1003"/>
    <n v="24"/>
    <x v="92"/>
    <n v="86"/>
    <n v="36"/>
    <n v="131"/>
    <n v="0.58479999999999999"/>
    <n v="190"/>
    <n v="80"/>
    <n v="80"/>
    <n v="0.42109999999999997"/>
  </r>
  <r>
    <d v="2024-11-11T00:00:00"/>
    <n v="959"/>
    <x v="18"/>
    <s v="East"/>
    <s v="Small Market"/>
    <s v="Leaves"/>
    <s v="Herbal Tea"/>
    <s v="Mint"/>
    <s v="Decaf"/>
    <n v="1060"/>
    <n v="21"/>
    <x v="59"/>
    <n v="69"/>
    <n v="43"/>
    <n v="56"/>
    <n v="0.35"/>
    <n v="100"/>
    <n v="50"/>
    <n v="30"/>
    <n v="0.3"/>
  </r>
  <r>
    <d v="2024-11-11T00:00:00"/>
    <n v="959"/>
    <x v="18"/>
    <s v="East"/>
    <s v="Small Market"/>
    <s v="Leaves"/>
    <s v="Tea"/>
    <s v="Green Tea"/>
    <s v="Regular"/>
    <n v="818"/>
    <n v="9"/>
    <x v="172"/>
    <n v="33"/>
    <n v="21"/>
    <n v="42"/>
    <n v="0.48280000000000001"/>
    <n v="80"/>
    <n v="30"/>
    <n v="40"/>
    <n v="0.5"/>
  </r>
  <r>
    <d v="2024-11-11T00:00:00"/>
    <n v="775"/>
    <x v="8"/>
    <s v="West"/>
    <s v="Small Market"/>
    <s v="Beans"/>
    <s v="Espresso"/>
    <s v="Caffe Latte"/>
    <s v="Regular"/>
    <n v="387"/>
    <n v="0"/>
    <x v="190"/>
    <n v="0"/>
    <n v="12"/>
    <n v="46"/>
    <n v="1"/>
    <n v="40"/>
    <n v="0"/>
    <n v="30"/>
    <n v="0.75"/>
  </r>
  <r>
    <d v="2024-11-11T00:00:00"/>
    <n v="239"/>
    <x v="16"/>
    <s v="East"/>
    <s v="Major Market"/>
    <s v="Beans"/>
    <s v="Espresso"/>
    <s v="Decaf Espresso"/>
    <s v="Decaf"/>
    <n v="547"/>
    <n v="28"/>
    <x v="228"/>
    <n v="86"/>
    <n v="56"/>
    <n v="60"/>
    <n v="0.29699999999999999"/>
    <n v="180"/>
    <n v="70"/>
    <n v="90"/>
    <n v="0.5"/>
  </r>
  <r>
    <d v="2024-11-12T00:00:00"/>
    <n v="863"/>
    <x v="16"/>
    <s v="East"/>
    <s v="Major Market"/>
    <s v="Leaves"/>
    <s v="Tea"/>
    <s v="Green Tea"/>
    <s v="Regular"/>
    <n v="863"/>
    <n v="9"/>
    <x v="138"/>
    <n v="34"/>
    <n v="21"/>
    <n v="30"/>
    <n v="0.35289999999999999"/>
    <n v="80"/>
    <n v="30"/>
    <n v="40"/>
    <n v="0.5"/>
  </r>
  <r>
    <d v="2024-11-12T00:00:00"/>
    <n v="630"/>
    <x v="2"/>
    <s v="Central"/>
    <s v="Major Market"/>
    <s v="Leaves"/>
    <s v="Tea"/>
    <s v="Earl Grey"/>
    <s v="Regular"/>
    <n v="659"/>
    <n v="24"/>
    <x v="62"/>
    <n v="75"/>
    <n v="55"/>
    <n v="59"/>
    <n v="0.31219999999999998"/>
    <n v="150"/>
    <n v="60"/>
    <n v="50"/>
    <n v="0.33329999999999999"/>
  </r>
  <r>
    <d v="2024-11-12T00:00:00"/>
    <n v="641"/>
    <x v="17"/>
    <s v="Central"/>
    <s v="Small Market"/>
    <s v="Beans"/>
    <s v="Coffee"/>
    <s v="Decaf Irish Cream"/>
    <s v="Decaf"/>
    <n v="596"/>
    <n v="3"/>
    <x v="49"/>
    <n v="10"/>
    <n v="16"/>
    <n v="-3"/>
    <n v="-0.13039999999999999"/>
    <n v="20"/>
    <n v="0"/>
    <n v="10"/>
    <n v="0.5"/>
  </r>
  <r>
    <d v="2024-11-12T00:00:00"/>
    <n v="435"/>
    <x v="13"/>
    <s v="West"/>
    <s v="Small Market"/>
    <s v="Beans"/>
    <s v="Espresso"/>
    <s v="Caffe Mocha"/>
    <s v="Regular"/>
    <n v="540"/>
    <n v="31"/>
    <x v="8"/>
    <n v="94"/>
    <n v="43"/>
    <n v="114"/>
    <n v="0.5"/>
    <n v="200"/>
    <n v="90"/>
    <n v="70"/>
    <n v="0.35"/>
  </r>
  <r>
    <d v="2024-11-13T00:00:00"/>
    <n v="954"/>
    <x v="16"/>
    <s v="East"/>
    <s v="Major Market"/>
    <s v="Leaves"/>
    <s v="Herbal Tea"/>
    <s v="Lemon"/>
    <s v="Decaf"/>
    <n v="403"/>
    <n v="24"/>
    <x v="143"/>
    <n v="65"/>
    <n v="57"/>
    <n v="23"/>
    <n v="0.15859999999999999"/>
    <n v="100"/>
    <n v="40"/>
    <n v="20"/>
    <n v="0.2"/>
  </r>
  <r>
    <d v="2024-11-13T00:00:00"/>
    <n v="509"/>
    <x v="5"/>
    <s v="West"/>
    <s v="Small Market"/>
    <s v="Leaves"/>
    <s v="Tea"/>
    <s v="Earl Grey"/>
    <s v="Regular"/>
    <n v="466"/>
    <n v="13"/>
    <x v="110"/>
    <n v="43"/>
    <n v="35"/>
    <n v="28"/>
    <n v="0.26419999999999999"/>
    <n v="70"/>
    <n v="30"/>
    <n v="20"/>
    <n v="0.28570000000000001"/>
  </r>
  <r>
    <d v="2024-11-13T00:00:00"/>
    <n v="435"/>
    <x v="13"/>
    <s v="West"/>
    <s v="Small Market"/>
    <s v="Leaves"/>
    <s v="Herbal Tea"/>
    <s v="Mint"/>
    <s v="Decaf"/>
    <n v="1804"/>
    <n v="25"/>
    <x v="174"/>
    <n v="82"/>
    <n v="48"/>
    <n v="-12"/>
    <n v="-9.2299999999999993E-2"/>
    <n v="110"/>
    <n v="70"/>
    <n v="0"/>
    <n v="0"/>
  </r>
  <r>
    <d v="2024-11-13T00:00:00"/>
    <n v="918"/>
    <x v="19"/>
    <s v="South"/>
    <s v="Small Market"/>
    <s v="Beans"/>
    <s v="Espresso"/>
    <s v="Caffe Latte"/>
    <s v="Regular"/>
    <n v="-2003"/>
    <n v="31"/>
    <x v="152"/>
    <n v="102"/>
    <n v="54"/>
    <n v="89"/>
    <n v="0.36330000000000001"/>
    <n v="180"/>
    <n v="80"/>
    <n v="60"/>
    <n v="0.33329999999999999"/>
  </r>
  <r>
    <d v="2024-11-14T00:00:00"/>
    <n v="505"/>
    <x v="3"/>
    <s v="South"/>
    <s v="Small Market"/>
    <s v="Leaves"/>
    <s v="Herbal Tea"/>
    <s v="Chamomile"/>
    <s v="Decaf"/>
    <n v="851"/>
    <n v="4"/>
    <x v="70"/>
    <n v="16"/>
    <n v="16"/>
    <n v="9"/>
    <n v="0.2195"/>
    <n v="30"/>
    <n v="10"/>
    <n v="10"/>
    <n v="0.33329999999999999"/>
  </r>
  <r>
    <d v="2024-11-14T00:00:00"/>
    <n v="626"/>
    <x v="7"/>
    <s v="West"/>
    <s v="Major Market"/>
    <s v="Leaves"/>
    <s v="Herbal Tea"/>
    <s v="Chamomile"/>
    <s v="Decaf"/>
    <n v="1003"/>
    <n v="24"/>
    <x v="169"/>
    <n v="86"/>
    <n v="35"/>
    <n v="89"/>
    <n v="0.42380000000000001"/>
    <n v="190"/>
    <n v="80"/>
    <n v="80"/>
    <n v="0.42109999999999997"/>
  </r>
  <r>
    <d v="2024-11-14T00:00:00"/>
    <n v="775"/>
    <x v="8"/>
    <s v="West"/>
    <s v="Small Market"/>
    <s v="Leaves"/>
    <s v="Tea"/>
    <s v="Green Tea"/>
    <s v="Regular"/>
    <n v="7653"/>
    <n v="93"/>
    <x v="235"/>
    <n v="245"/>
    <n v="127"/>
    <n v="-505"/>
    <n v="-14.8529"/>
    <n v="0"/>
    <n v="180"/>
    <n v="-280"/>
    <e v="#DIV/0!"/>
  </r>
  <r>
    <d v="2024-11-15T00:00:00"/>
    <n v="515"/>
    <x v="17"/>
    <s v="Central"/>
    <s v="Small Market"/>
    <s v="Leaves"/>
    <s v="Tea"/>
    <s v="Earl Grey"/>
    <s v="Regular"/>
    <n v="1756"/>
    <n v="96"/>
    <x v="236"/>
    <n v="255"/>
    <n v="129"/>
    <n v="272"/>
    <n v="0.45029999999999998"/>
    <n v="400"/>
    <n v="170"/>
    <n v="130"/>
    <n v="0.32500000000000001"/>
  </r>
  <r>
    <d v="2024-11-16T00:00:00"/>
    <n v="603"/>
    <x v="15"/>
    <s v="East"/>
    <s v="Small Market"/>
    <s v="Leaves"/>
    <s v="Tea"/>
    <s v="Green Tea"/>
    <s v="Regular"/>
    <n v="430"/>
    <n v="0"/>
    <x v="101"/>
    <n v="0"/>
    <n v="11"/>
    <n v="32"/>
    <n v="0.74419999999999997"/>
    <n v="40"/>
    <n v="0"/>
    <n v="40"/>
    <n v="1"/>
  </r>
  <r>
    <d v="2024-11-16T00:00:00"/>
    <n v="603"/>
    <x v="15"/>
    <s v="East"/>
    <s v="Small Market"/>
    <s v="Leaves"/>
    <s v="Tea"/>
    <s v="Green Tea"/>
    <s v="Regular"/>
    <n v="344"/>
    <n v="0"/>
    <x v="190"/>
    <n v="0"/>
    <n v="11"/>
    <n v="47"/>
    <n v="1.0217000000000001"/>
    <n v="40"/>
    <n v="0"/>
    <n v="30"/>
    <n v="0.75"/>
  </r>
  <r>
    <d v="2024-11-16T00:00:00"/>
    <n v="516"/>
    <x v="14"/>
    <s v="East"/>
    <s v="Major Market"/>
    <s v="Leaves"/>
    <s v="Tea"/>
    <s v="Darjeeling"/>
    <s v="Regular"/>
    <n v="971"/>
    <n v="30"/>
    <x v="223"/>
    <n v="108"/>
    <n v="42"/>
    <n v="115"/>
    <n v="0.434"/>
    <n v="280"/>
    <n v="110"/>
    <n v="140"/>
    <n v="0.5"/>
  </r>
  <r>
    <d v="2024-11-16T00:00:00"/>
    <n v="573"/>
    <x v="6"/>
    <s v="Central"/>
    <s v="Small Market"/>
    <s v="Leaves"/>
    <s v="Herbal Tea"/>
    <s v="Lemon"/>
    <s v="Decaf"/>
    <n v="1698"/>
    <n v="26"/>
    <x v="97"/>
    <n v="86"/>
    <n v="49"/>
    <n v="-26"/>
    <n v="-0.23849999999999999"/>
    <n v="80"/>
    <n v="60"/>
    <n v="10"/>
    <n v="0.125"/>
  </r>
  <r>
    <d v="2024-11-16T00:00:00"/>
    <n v="224"/>
    <x v="2"/>
    <s v="Central"/>
    <s v="Major Market"/>
    <s v="Beans"/>
    <s v="Espresso"/>
    <s v="Caffe Mocha"/>
    <s v="Regular"/>
    <n v="1691"/>
    <n v="75"/>
    <x v="195"/>
    <n v="228"/>
    <n v="108"/>
    <n v="196"/>
    <n v="0.36840000000000001"/>
    <n v="680"/>
    <n v="290"/>
    <n v="290"/>
    <n v="0.42649999999999999"/>
  </r>
  <r>
    <d v="2024-11-17T00:00:00"/>
    <n v="512"/>
    <x v="10"/>
    <s v="South"/>
    <s v="Major Market"/>
    <s v="Beans"/>
    <s v="Espresso"/>
    <s v="Caffe Latte"/>
    <s v="Regular"/>
    <n v="-1239"/>
    <n v="22"/>
    <x v="23"/>
    <n v="67"/>
    <n v="54"/>
    <n v="47"/>
    <n v="0.27979999999999999"/>
    <n v="120"/>
    <n v="50"/>
    <n v="30"/>
    <n v="0.25"/>
  </r>
  <r>
    <d v="2024-11-17T00:00:00"/>
    <n v="985"/>
    <x v="4"/>
    <s v="South"/>
    <s v="Small Market"/>
    <s v="Leaves"/>
    <s v="Herbal Tea"/>
    <s v="Lemon"/>
    <s v="Decaf"/>
    <n v="619"/>
    <n v="25"/>
    <x v="130"/>
    <n v="68"/>
    <n v="59"/>
    <n v="26"/>
    <n v="0.1699"/>
    <n v="140"/>
    <n v="60"/>
    <n v="30"/>
    <n v="0.21429999999999999"/>
  </r>
  <r>
    <d v="2024-11-17T00:00:00"/>
    <n v="702"/>
    <x v="8"/>
    <s v="West"/>
    <s v="Small Market"/>
    <s v="Leaves"/>
    <s v="Herbal Tea"/>
    <s v="Chamomile"/>
    <s v="Decaf"/>
    <n v="898"/>
    <n v="113"/>
    <x v="38"/>
    <n v="125"/>
    <n v="147"/>
    <n v="39"/>
    <n v="0.1226"/>
    <n v="240"/>
    <n v="90"/>
    <n v="60"/>
    <n v="0.25"/>
  </r>
  <r>
    <d v="2024-11-19T00:00:00"/>
    <n v="262"/>
    <x v="0"/>
    <s v="Central"/>
    <s v="Small Market"/>
    <s v="Beans"/>
    <s v="Espresso"/>
    <s v="Decaf Espresso"/>
    <s v="Decaf"/>
    <n v="567"/>
    <n v="7"/>
    <x v="166"/>
    <n v="24"/>
    <n v="19"/>
    <n v="13"/>
    <n v="0.2321"/>
    <n v="70"/>
    <n v="30"/>
    <n v="30"/>
    <n v="0.42859999999999998"/>
  </r>
  <r>
    <d v="2024-11-19T00:00:00"/>
    <n v="959"/>
    <x v="18"/>
    <s v="East"/>
    <s v="Small Market"/>
    <s v="Beans"/>
    <s v="Espresso"/>
    <s v="Decaf Espresso"/>
    <s v="Decaf"/>
    <n v="392"/>
    <n v="16"/>
    <x v="13"/>
    <n v="49"/>
    <n v="44"/>
    <n v="21"/>
    <n v="0.1842"/>
    <n v="110"/>
    <n v="40"/>
    <n v="40"/>
    <n v="0.36359999999999998"/>
  </r>
  <r>
    <d v="2024-11-19T00:00:00"/>
    <n v="561"/>
    <x v="16"/>
    <s v="East"/>
    <s v="Major Market"/>
    <s v="Beans"/>
    <s v="Espresso"/>
    <s v="Decaf Espresso"/>
    <s v="Decaf"/>
    <n v="557"/>
    <n v="25"/>
    <x v="134"/>
    <n v="77"/>
    <n v="52"/>
    <n v="51"/>
    <n v="0.2833"/>
    <n v="170"/>
    <n v="70"/>
    <n v="60"/>
    <n v="0.35289999999999999"/>
  </r>
  <r>
    <d v="2024-11-19T00:00:00"/>
    <n v="619"/>
    <x v="7"/>
    <s v="West"/>
    <s v="Major Market"/>
    <s v="Beans"/>
    <s v="Coffee"/>
    <s v="Amaretto"/>
    <s v="Regular"/>
    <n v="2758"/>
    <n v="36"/>
    <x v="44"/>
    <n v="113"/>
    <n v="59"/>
    <n v="-56"/>
    <n v="-0.48280000000000001"/>
    <n v="130"/>
    <n v="130"/>
    <n v="-50"/>
    <n v="-0.3846"/>
  </r>
  <r>
    <d v="2024-11-20T00:00:00"/>
    <n v="712"/>
    <x v="17"/>
    <s v="Central"/>
    <s v="Small Market"/>
    <s v="Beans"/>
    <s v="Espresso"/>
    <s v="Decaf Espresso"/>
    <s v="Decaf"/>
    <n v="430"/>
    <n v="0"/>
    <x v="101"/>
    <n v="0"/>
    <n v="12"/>
    <n v="31"/>
    <n v="0.72089999999999999"/>
    <n v="60"/>
    <n v="0"/>
    <n v="60"/>
    <n v="1"/>
  </r>
  <r>
    <d v="2024-11-20T00:00:00"/>
    <n v="541"/>
    <x v="9"/>
    <s v="West"/>
    <s v="Small Market"/>
    <s v="Beans"/>
    <s v="Coffee"/>
    <s v="Amaretto"/>
    <s v="Regular"/>
    <n v="521"/>
    <n v="42"/>
    <x v="124"/>
    <n v="47"/>
    <n v="72"/>
    <n v="-10"/>
    <n v="-8.4000000000000005E-2"/>
    <n v="130"/>
    <n v="50"/>
    <n v="20"/>
    <n v="0.15379999999999999"/>
  </r>
  <r>
    <d v="2024-11-20T00:00:00"/>
    <n v="435"/>
    <x v="13"/>
    <s v="West"/>
    <s v="Small Market"/>
    <s v="Beans"/>
    <s v="Espresso"/>
    <s v="Caffe Mocha"/>
    <s v="Regular"/>
    <n v="552"/>
    <n v="33"/>
    <x v="219"/>
    <n v="101"/>
    <n v="45"/>
    <n v="85"/>
    <n v="0.36799999999999999"/>
    <n v="220"/>
    <n v="90"/>
    <n v="90"/>
    <n v="0.40910000000000002"/>
  </r>
  <r>
    <d v="2024-11-21T00:00:00"/>
    <n v="337"/>
    <x v="4"/>
    <s v="South"/>
    <s v="Small Market"/>
    <s v="Beans"/>
    <s v="Espresso"/>
    <s v="Decaf Espresso"/>
    <s v="Decaf"/>
    <n v="454"/>
    <n v="15"/>
    <x v="0"/>
    <n v="49"/>
    <n v="37"/>
    <n v="50"/>
    <n v="0.3906"/>
    <n v="90"/>
    <n v="30"/>
    <n v="30"/>
    <n v="0.33329999999999999"/>
  </r>
  <r>
    <d v="2024-11-21T00:00:00"/>
    <n v="419"/>
    <x v="12"/>
    <s v="Central"/>
    <s v="Major Market"/>
    <s v="Leaves"/>
    <s v="Herbal Tea"/>
    <s v="Lemon"/>
    <s v="Decaf"/>
    <n v="862"/>
    <n v="10"/>
    <x v="64"/>
    <n v="36"/>
    <n v="22"/>
    <n v="45"/>
    <n v="0.47870000000000001"/>
    <n v="80"/>
    <n v="30"/>
    <n v="40"/>
    <n v="0.5"/>
  </r>
  <r>
    <d v="2024-11-21T00:00:00"/>
    <n v="603"/>
    <x v="15"/>
    <s v="East"/>
    <s v="Small Market"/>
    <s v="Beans"/>
    <s v="Coffee"/>
    <s v="Amaretto"/>
    <s v="Regular"/>
    <n v="327"/>
    <n v="16"/>
    <x v="117"/>
    <n v="52"/>
    <n v="38"/>
    <n v="37"/>
    <n v="0.2913"/>
    <n v="110"/>
    <n v="40"/>
    <n v="50"/>
    <n v="0.45450000000000002"/>
  </r>
  <r>
    <d v="2024-11-21T00:00:00"/>
    <n v="515"/>
    <x v="17"/>
    <s v="Central"/>
    <s v="Small Market"/>
    <s v="Beans"/>
    <s v="Coffee"/>
    <s v="Amaretto"/>
    <s v="Regular"/>
    <n v="846"/>
    <n v="5"/>
    <x v="27"/>
    <n v="21"/>
    <n v="16"/>
    <n v="22"/>
    <n v="0.4"/>
    <n v="40"/>
    <n v="10"/>
    <n v="30"/>
    <n v="0.75"/>
  </r>
  <r>
    <d v="2024-11-21T00:00:00"/>
    <n v="432"/>
    <x v="10"/>
    <s v="South"/>
    <s v="Major Market"/>
    <s v="Beans"/>
    <s v="Espresso"/>
    <s v="Decaf Espresso"/>
    <s v="Decaf"/>
    <n v="580"/>
    <n v="21"/>
    <x v="131"/>
    <n v="76"/>
    <n v="33"/>
    <n v="116"/>
    <n v="0.58289999999999997"/>
    <n v="120"/>
    <n v="40"/>
    <n v="80"/>
    <n v="0.66669999999999996"/>
  </r>
  <r>
    <d v="2024-11-22T00:00:00"/>
    <n v="970"/>
    <x v="1"/>
    <s v="Central"/>
    <s v="Major Market"/>
    <s v="Leaves"/>
    <s v="Herbal Tea"/>
    <s v="Mint"/>
    <s v="Decaf"/>
    <n v="411"/>
    <n v="19"/>
    <x v="14"/>
    <n v="59"/>
    <n v="47"/>
    <n v="47"/>
    <n v="0.31969999999999998"/>
    <n v="120"/>
    <n v="50"/>
    <n v="40"/>
    <n v="0.33329999999999999"/>
  </r>
  <r>
    <d v="2024-11-23T00:00:00"/>
    <n v="603"/>
    <x v="15"/>
    <s v="East"/>
    <s v="Small Market"/>
    <s v="Beans"/>
    <s v="Espresso"/>
    <s v="Caffe Mocha"/>
    <s v="Regular"/>
    <n v="335"/>
    <n v="44"/>
    <x v="77"/>
    <n v="49"/>
    <n v="73"/>
    <n v="-4"/>
    <n v="-3.39E-2"/>
    <n v="110"/>
    <n v="40"/>
    <n v="10"/>
    <n v="9.0899999999999995E-2"/>
  </r>
  <r>
    <d v="2024-11-23T00:00:00"/>
    <n v="435"/>
    <x v="13"/>
    <s v="West"/>
    <s v="Small Market"/>
    <s v="Leaves"/>
    <s v="Tea"/>
    <s v="Green Tea"/>
    <s v="Regular"/>
    <n v="209"/>
    <n v="9"/>
    <x v="166"/>
    <n v="25"/>
    <n v="43"/>
    <n v="-12"/>
    <n v="-0.21429999999999999"/>
    <n v="20"/>
    <n v="0"/>
    <n v="10"/>
    <n v="0.5"/>
  </r>
  <r>
    <d v="2024-11-24T00:00:00"/>
    <n v="203"/>
    <x v="18"/>
    <s v="East"/>
    <s v="Small Market"/>
    <s v="Leaves"/>
    <s v="Herbal Tea"/>
    <s v="Lemon"/>
    <s v="Decaf"/>
    <n v="593"/>
    <n v="30"/>
    <x v="62"/>
    <n v="79"/>
    <n v="64"/>
    <n v="50"/>
    <n v="0.2646"/>
    <n v="90"/>
    <n v="40"/>
    <n v="30"/>
    <n v="0.33329999999999999"/>
  </r>
  <r>
    <d v="2024-11-24T00:00:00"/>
    <n v="337"/>
    <x v="4"/>
    <s v="South"/>
    <s v="Small Market"/>
    <s v="Beans"/>
    <s v="Coffee"/>
    <s v="Colombian"/>
    <s v="Regular"/>
    <n v="829"/>
    <n v="13"/>
    <x v="117"/>
    <n v="48"/>
    <n v="24"/>
    <n v="70"/>
    <n v="0.55120000000000002"/>
    <n v="160"/>
    <n v="70"/>
    <n v="80"/>
    <n v="0.5"/>
  </r>
  <r>
    <d v="2024-11-24T00:00:00"/>
    <n v="626"/>
    <x v="7"/>
    <s v="West"/>
    <s v="Major Market"/>
    <s v="Beans"/>
    <s v="Coffee"/>
    <s v="Colombian"/>
    <s v="Regular"/>
    <n v="2548"/>
    <n v="91"/>
    <x v="112"/>
    <n v="260"/>
    <n v="143"/>
    <n v="247"/>
    <n v="0.38"/>
    <n v="960"/>
    <n v="380"/>
    <n v="470"/>
    <n v="0.48959999999999998"/>
  </r>
  <r>
    <d v="2024-11-24T00:00:00"/>
    <n v="714"/>
    <x v="7"/>
    <s v="West"/>
    <s v="Major Market"/>
    <s v="Beans"/>
    <s v="Coffee"/>
    <s v="Decaf Irish Cream"/>
    <s v="Decaf"/>
    <n v="4216"/>
    <n v="73"/>
    <x v="233"/>
    <n v="224"/>
    <n v="117"/>
    <n v="-149"/>
    <n v="-0.77600000000000002"/>
    <n v="220"/>
    <n v="260"/>
    <n v="-150"/>
    <n v="-0.68179999999999996"/>
  </r>
  <r>
    <d v="2024-11-24T00:00:00"/>
    <n v="503"/>
    <x v="9"/>
    <s v="West"/>
    <s v="Small Market"/>
    <s v="Leaves"/>
    <s v="Herbal Tea"/>
    <s v="Lemon"/>
    <s v="Decaf"/>
    <n v="551"/>
    <n v="26"/>
    <x v="108"/>
    <n v="81"/>
    <n v="38"/>
    <n v="98"/>
    <n v="0.4975"/>
    <n v="170"/>
    <n v="70"/>
    <n v="70"/>
    <n v="0.4118"/>
  </r>
  <r>
    <d v="2024-11-25T00:00:00"/>
    <n v="469"/>
    <x v="10"/>
    <s v="South"/>
    <s v="Major Market"/>
    <s v="Leaves"/>
    <s v="Herbal Tea"/>
    <s v="Chamomile"/>
    <s v="Decaf"/>
    <n v="424"/>
    <n v="17"/>
    <x v="117"/>
    <n v="54"/>
    <n v="45"/>
    <n v="28"/>
    <n v="0.2205"/>
    <n v="110"/>
    <n v="50"/>
    <n v="30"/>
    <n v="0.2727"/>
  </r>
  <r>
    <d v="2024-11-25T00:00:00"/>
    <n v="603"/>
    <x v="15"/>
    <s v="East"/>
    <s v="Small Market"/>
    <s v="Leaves"/>
    <s v="Tea"/>
    <s v="Darjeeling"/>
    <s v="Regular"/>
    <n v="846"/>
    <n v="5"/>
    <x v="27"/>
    <n v="21"/>
    <n v="17"/>
    <n v="21"/>
    <n v="0.38179999999999997"/>
    <n v="50"/>
    <n v="20"/>
    <n v="30"/>
    <n v="0.6"/>
  </r>
  <r>
    <d v="2024-11-25T00:00:00"/>
    <n v="217"/>
    <x v="2"/>
    <s v="Central"/>
    <s v="Major Market"/>
    <s v="Leaves"/>
    <s v="Tea"/>
    <s v="Darjeeling"/>
    <s v="Regular"/>
    <n v="580"/>
    <n v="21"/>
    <x v="163"/>
    <n v="76"/>
    <n v="33"/>
    <n v="78"/>
    <n v="0.41710000000000003"/>
    <n v="130"/>
    <n v="50"/>
    <n v="80"/>
    <n v="0.61539999999999995"/>
  </r>
  <r>
    <d v="2024-11-25T00:00:00"/>
    <n v="510"/>
    <x v="7"/>
    <s v="West"/>
    <s v="Major Market"/>
    <s v="Leaves"/>
    <s v="Tea"/>
    <s v="Green Tea"/>
    <s v="Regular"/>
    <n v="677"/>
    <n v="22"/>
    <x v="99"/>
    <n v="67"/>
    <n v="54"/>
    <n v="70"/>
    <n v="0.3911"/>
    <n v="120"/>
    <n v="40"/>
    <n v="50"/>
    <n v="0.41670000000000001"/>
  </r>
  <r>
    <d v="2024-11-26T00:00:00"/>
    <n v="318"/>
    <x v="4"/>
    <s v="South"/>
    <s v="Small Market"/>
    <s v="Beans"/>
    <s v="Espresso"/>
    <s v="Caffe Latte"/>
    <s v="Regular"/>
    <n v="-762"/>
    <n v="54"/>
    <x v="114"/>
    <n v="60"/>
    <n v="83"/>
    <n v="1"/>
    <n v="6.8999999999999999E-3"/>
    <n v="90"/>
    <n v="30"/>
    <n v="10"/>
    <n v="0.1111"/>
  </r>
  <r>
    <d v="2024-11-26T00:00:00"/>
    <n v="414"/>
    <x v="0"/>
    <s v="Central"/>
    <s v="Small Market"/>
    <s v="Beans"/>
    <s v="Coffee"/>
    <s v="Colombian"/>
    <s v="Regular"/>
    <n v="683"/>
    <n v="87"/>
    <x v="152"/>
    <n v="96"/>
    <n v="116"/>
    <n v="27"/>
    <n v="0.11020000000000001"/>
    <n v="230"/>
    <n v="90"/>
    <n v="60"/>
    <n v="0.26090000000000002"/>
  </r>
  <r>
    <d v="2024-11-27T00:00:00"/>
    <n v="650"/>
    <x v="7"/>
    <s v="West"/>
    <s v="Major Market"/>
    <s v="Leaves"/>
    <s v="Tea"/>
    <s v="Earl Grey"/>
    <s v="Regular"/>
    <n v="589"/>
    <n v="14"/>
    <x v="57"/>
    <n v="50"/>
    <n v="26"/>
    <n v="47"/>
    <n v="0.3821"/>
    <n v="80"/>
    <n v="30"/>
    <n v="40"/>
    <n v="0.5"/>
  </r>
  <r>
    <d v="2024-11-27T00:00:00"/>
    <n v="702"/>
    <x v="8"/>
    <s v="West"/>
    <s v="Small Market"/>
    <s v="Leaves"/>
    <s v="Tea"/>
    <s v="Earl Grey"/>
    <s v="Regular"/>
    <n v="1820"/>
    <n v="70"/>
    <x v="72"/>
    <n v="250"/>
    <n v="94"/>
    <n v="157"/>
    <n v="0.31340000000000001"/>
    <n v="360"/>
    <n v="180"/>
    <n v="100"/>
    <n v="0.27779999999999999"/>
  </r>
  <r>
    <d v="2024-11-27T00:00:00"/>
    <n v="775"/>
    <x v="8"/>
    <s v="West"/>
    <s v="Small Market"/>
    <s v="Leaves"/>
    <s v="Tea"/>
    <s v="Green Tea"/>
    <s v="Regular"/>
    <n v="8252"/>
    <n v="111"/>
    <x v="237"/>
    <n v="294"/>
    <n v="145"/>
    <n v="-605"/>
    <n v="-18.333300000000001"/>
    <n v="0"/>
    <n v="210"/>
    <n v="-320"/>
    <e v="#DIV/0!"/>
  </r>
  <r>
    <d v="2024-11-28T00:00:00"/>
    <n v="573"/>
    <x v="6"/>
    <s v="Central"/>
    <s v="Small Market"/>
    <s v="Leaves"/>
    <s v="Tea"/>
    <s v="Earl Grey"/>
    <s v="Regular"/>
    <n v="211"/>
    <n v="12"/>
    <x v="105"/>
    <n v="34"/>
    <n v="45"/>
    <n v="-4"/>
    <n v="-4.9399999999999999E-2"/>
    <n v="60"/>
    <n v="20"/>
    <n v="0"/>
    <n v="0"/>
  </r>
  <r>
    <d v="2024-12-01T00:00:00"/>
    <n v="801"/>
    <x v="13"/>
    <s v="West"/>
    <s v="Small Market"/>
    <s v="Leaves"/>
    <s v="Herbal Tea"/>
    <s v="Chamomile"/>
    <s v="Decaf"/>
    <n v="316"/>
    <n v="14"/>
    <x v="153"/>
    <n v="46"/>
    <n v="37"/>
    <n v="30"/>
    <n v="0.26550000000000001"/>
    <n v="100"/>
    <n v="40"/>
    <n v="30"/>
    <n v="0.3"/>
  </r>
  <r>
    <d v="2024-12-02T00:00:00"/>
    <n v="435"/>
    <x v="13"/>
    <s v="West"/>
    <s v="Small Market"/>
    <s v="Beans"/>
    <s v="Espresso"/>
    <s v="Caffe Latte"/>
    <s v="Regular"/>
    <n v="836"/>
    <n v="9"/>
    <x v="105"/>
    <n v="33"/>
    <n v="21"/>
    <n v="27"/>
    <n v="0.33329999999999999"/>
    <n v="70"/>
    <n v="30"/>
    <n v="30"/>
    <n v="0.42859999999999998"/>
  </r>
  <r>
    <d v="2024-12-02T00:00:00"/>
    <n v="475"/>
    <x v="18"/>
    <s v="East"/>
    <s v="Small Market"/>
    <s v="Beans"/>
    <s v="Espresso"/>
    <s v="Caffe Mocha"/>
    <s v="Regular"/>
    <n v="613"/>
    <n v="55"/>
    <x v="53"/>
    <n v="61"/>
    <n v="84"/>
    <n v="3"/>
    <n v="1.9099999999999999E-2"/>
    <n v="140"/>
    <n v="60"/>
    <n v="10"/>
    <n v="7.1400000000000005E-2"/>
  </r>
  <r>
    <d v="2024-12-02T00:00:00"/>
    <n v="775"/>
    <x v="8"/>
    <s v="West"/>
    <s v="Small Market"/>
    <s v="Leaves"/>
    <s v="Tea"/>
    <s v="Earl Grey"/>
    <s v="Regular"/>
    <n v="1755"/>
    <n v="66"/>
    <x v="133"/>
    <n v="239"/>
    <n v="90"/>
    <n v="221"/>
    <n v="0.43419999999999997"/>
    <n v="230"/>
    <n v="110"/>
    <n v="80"/>
    <n v="0.3478"/>
  </r>
  <r>
    <d v="2024-12-03T00:00:00"/>
    <n v="936"/>
    <x v="10"/>
    <s v="South"/>
    <s v="Major Market"/>
    <s v="Leaves"/>
    <s v="Herbal Tea"/>
    <s v="Chamomile"/>
    <s v="Decaf"/>
    <n v="411"/>
    <n v="19"/>
    <x v="14"/>
    <n v="59"/>
    <n v="47"/>
    <n v="47"/>
    <n v="0.31969999999999998"/>
    <n v="120"/>
    <n v="50"/>
    <n v="40"/>
    <n v="0.33329999999999999"/>
  </r>
  <r>
    <d v="2024-12-03T00:00:00"/>
    <n v="347"/>
    <x v="14"/>
    <s v="East"/>
    <s v="Major Market"/>
    <s v="Beans"/>
    <s v="Coffee"/>
    <s v="Colombian"/>
    <s v="Regular"/>
    <n v="2580"/>
    <n v="87"/>
    <x v="161"/>
    <n v="249"/>
    <n v="138"/>
    <n v="236"/>
    <n v="0.37880000000000003"/>
    <n v="560"/>
    <n v="220"/>
    <n v="230"/>
    <n v="0.41070000000000001"/>
  </r>
  <r>
    <d v="2024-12-03T00:00:00"/>
    <n v="719"/>
    <x v="1"/>
    <s v="Central"/>
    <s v="Major Market"/>
    <s v="Beans"/>
    <s v="Coffee"/>
    <s v="Amaretto"/>
    <s v="Regular"/>
    <n v="915"/>
    <n v="34"/>
    <x v="34"/>
    <n v="123"/>
    <n v="46"/>
    <n v="197"/>
    <n v="0.61180000000000001"/>
    <n v="300"/>
    <n v="120"/>
    <n v="160"/>
    <n v="0.5333"/>
  </r>
  <r>
    <d v="2024-12-03T00:00:00"/>
    <n v="916"/>
    <x v="7"/>
    <s v="West"/>
    <s v="Major Market"/>
    <s v="Leaves"/>
    <s v="Herbal Tea"/>
    <s v="Chamomile"/>
    <s v="Decaf"/>
    <n v="1003"/>
    <n v="24"/>
    <x v="92"/>
    <n v="86"/>
    <n v="35"/>
    <n v="132"/>
    <n v="0.58930000000000005"/>
    <n v="190"/>
    <n v="80"/>
    <n v="80"/>
    <n v="0.42109999999999997"/>
  </r>
  <r>
    <d v="2024-12-04T00:00:00"/>
    <n v="775"/>
    <x v="8"/>
    <s v="West"/>
    <s v="Small Market"/>
    <s v="Beans"/>
    <s v="Espresso"/>
    <s v="Caffe Mocha"/>
    <s v="Regular"/>
    <n v="851"/>
    <n v="4"/>
    <x v="70"/>
    <n v="16"/>
    <n v="15"/>
    <n v="10"/>
    <n v="0.24390000000000001"/>
    <n v="30"/>
    <n v="10"/>
    <n v="10"/>
    <n v="0.33329999999999999"/>
  </r>
  <r>
    <d v="2024-12-05T00:00:00"/>
    <n v="603"/>
    <x v="15"/>
    <s v="East"/>
    <s v="Small Market"/>
    <s v="Leaves"/>
    <s v="Herbal Tea"/>
    <s v="Lemon"/>
    <s v="Decaf"/>
    <n v="240"/>
    <n v="12"/>
    <x v="125"/>
    <n v="34"/>
    <n v="46"/>
    <n v="-3"/>
    <n v="-3.9E-2"/>
    <n v="40"/>
    <n v="10"/>
    <n v="20"/>
    <n v="0.5"/>
  </r>
  <r>
    <d v="2024-12-05T00:00:00"/>
    <n v="972"/>
    <x v="10"/>
    <s v="South"/>
    <s v="Major Market"/>
    <s v="Beans"/>
    <s v="Espresso"/>
    <s v="Caffe Mocha"/>
    <s v="Regular"/>
    <n v="959"/>
    <n v="34"/>
    <x v="1"/>
    <n v="123"/>
    <n v="46"/>
    <n v="133"/>
    <n v="0.44040000000000001"/>
    <n v="230"/>
    <n v="90"/>
    <n v="110"/>
    <n v="0.4783"/>
  </r>
  <r>
    <d v="2024-12-05T00:00:00"/>
    <n v="815"/>
    <x v="2"/>
    <s v="Central"/>
    <s v="Major Market"/>
    <s v="Beans"/>
    <s v="Coffee"/>
    <s v="Decaf Irish Cream"/>
    <s v="Decaf"/>
    <n v="789"/>
    <n v="39"/>
    <x v="11"/>
    <n v="122"/>
    <n v="61"/>
    <n v="115"/>
    <n v="0.38590000000000002"/>
    <n v="300"/>
    <n v="110"/>
    <n v="160"/>
    <n v="0.5333"/>
  </r>
  <r>
    <d v="2024-12-05T00:00:00"/>
    <n v="970"/>
    <x v="1"/>
    <s v="Central"/>
    <s v="Major Market"/>
    <s v="Beans"/>
    <s v="Espresso"/>
    <s v="Caffe Mocha"/>
    <s v="Regular"/>
    <n v="601"/>
    <n v="15"/>
    <x v="146"/>
    <n v="54"/>
    <n v="26"/>
    <n v="79"/>
    <n v="0.55630000000000002"/>
    <n v="170"/>
    <n v="60"/>
    <n v="90"/>
    <n v="0.52939999999999998"/>
  </r>
  <r>
    <d v="2024-12-05T00:00:00"/>
    <n v="661"/>
    <x v="7"/>
    <s v="West"/>
    <s v="Major Market"/>
    <s v="Leaves"/>
    <s v="Herbal Tea"/>
    <s v="Chamomile"/>
    <s v="Decaf"/>
    <n v="971"/>
    <n v="30"/>
    <x v="223"/>
    <n v="108"/>
    <n v="42"/>
    <n v="115"/>
    <n v="0.434"/>
    <n v="210"/>
    <n v="80"/>
    <n v="120"/>
    <n v="0.57140000000000002"/>
  </r>
  <r>
    <d v="2024-12-05T00:00:00"/>
    <n v="702"/>
    <x v="8"/>
    <s v="West"/>
    <s v="Small Market"/>
    <s v="Beans"/>
    <s v="Espresso"/>
    <s v="Caffe Mocha"/>
    <s v="Regular"/>
    <n v="846"/>
    <n v="5"/>
    <x v="96"/>
    <n v="21"/>
    <n v="17"/>
    <n v="14"/>
    <n v="0.26919999999999999"/>
    <n v="30"/>
    <n v="10"/>
    <n v="20"/>
    <n v="0.66669999999999996"/>
  </r>
  <r>
    <d v="2024-12-06T00:00:00"/>
    <n v="225"/>
    <x v="4"/>
    <s v="South"/>
    <s v="Small Market"/>
    <s v="Beans"/>
    <s v="Espresso"/>
    <s v="Decaf Espresso"/>
    <s v="Decaf"/>
    <n v="454"/>
    <n v="15"/>
    <x v="40"/>
    <n v="49"/>
    <n v="37"/>
    <n v="34"/>
    <n v="0.2833"/>
    <n v="90"/>
    <n v="30"/>
    <n v="30"/>
    <n v="0.33329999999999999"/>
  </r>
  <r>
    <d v="2024-12-06T00:00:00"/>
    <n v="801"/>
    <x v="13"/>
    <s v="West"/>
    <s v="Small Market"/>
    <s v="Leaves"/>
    <s v="Tea"/>
    <s v="Earl Grey"/>
    <s v="Regular"/>
    <n v="256"/>
    <n v="12"/>
    <x v="43"/>
    <n v="38"/>
    <n v="39"/>
    <n v="12"/>
    <n v="0.1348"/>
    <n v="60"/>
    <n v="20"/>
    <n v="10"/>
    <n v="0.16669999999999999"/>
  </r>
  <r>
    <d v="2024-12-06T00:00:00"/>
    <n v="505"/>
    <x v="3"/>
    <s v="South"/>
    <s v="Small Market"/>
    <s v="Beans"/>
    <s v="Espresso"/>
    <s v="Decaf Espresso"/>
    <s v="Decaf"/>
    <n v="248"/>
    <n v="11"/>
    <x v="172"/>
    <n v="35"/>
    <n v="39"/>
    <n v="12"/>
    <n v="0.13789999999999999"/>
    <n v="60"/>
    <n v="20"/>
    <n v="20"/>
    <n v="0.33329999999999999"/>
  </r>
  <r>
    <d v="2024-12-06T00:00:00"/>
    <n v="775"/>
    <x v="8"/>
    <s v="West"/>
    <s v="Small Market"/>
    <s v="Leaves"/>
    <s v="Tea"/>
    <s v="Earl Grey"/>
    <s v="Regular"/>
    <n v="1755"/>
    <n v="66"/>
    <x v="120"/>
    <n v="239"/>
    <n v="90"/>
    <n v="149"/>
    <n v="0.31169999999999998"/>
    <n v="230"/>
    <n v="110"/>
    <n v="80"/>
    <n v="0.3478"/>
  </r>
  <r>
    <d v="2024-12-06T00:00:00"/>
    <n v="702"/>
    <x v="8"/>
    <s v="West"/>
    <s v="Small Market"/>
    <s v="Leaves"/>
    <s v="Tea"/>
    <s v="Green Tea"/>
    <s v="Regular"/>
    <n v="7058"/>
    <n v="96"/>
    <x v="238"/>
    <n v="255"/>
    <n v="129"/>
    <n v="-363"/>
    <n v="-17.285699999999999"/>
    <n v="0"/>
    <n v="110"/>
    <n v="-170"/>
    <e v="#DIV/0!"/>
  </r>
  <r>
    <d v="2024-12-07T00:00:00"/>
    <n v="318"/>
    <x v="4"/>
    <s v="South"/>
    <s v="Small Market"/>
    <s v="Beans"/>
    <s v="Espresso"/>
    <s v="Decaf Espresso"/>
    <s v="Decaf"/>
    <n v="449"/>
    <n v="14"/>
    <x v="153"/>
    <n v="46"/>
    <n v="37"/>
    <n v="30"/>
    <n v="0.26550000000000001"/>
    <n v="60"/>
    <n v="20"/>
    <n v="40"/>
    <n v="0.66669999999999996"/>
  </r>
  <r>
    <d v="2024-12-07T00:00:00"/>
    <n v="541"/>
    <x v="9"/>
    <s v="West"/>
    <s v="Small Market"/>
    <s v="Beans"/>
    <s v="Coffee"/>
    <s v="Decaf Irish Cream"/>
    <s v="Decaf"/>
    <n v="435"/>
    <n v="13"/>
    <x v="189"/>
    <n v="41"/>
    <n v="35"/>
    <n v="37"/>
    <n v="0.34260000000000002"/>
    <n v="120"/>
    <n v="40"/>
    <n v="50"/>
    <n v="0.41670000000000001"/>
  </r>
  <r>
    <d v="2024-12-08T00:00:00"/>
    <n v="641"/>
    <x v="17"/>
    <s v="Central"/>
    <s v="Small Market"/>
    <s v="Beans"/>
    <s v="Espresso"/>
    <s v="Caffe Mocha"/>
    <s v="Regular"/>
    <n v="800"/>
    <n v="6"/>
    <x v="148"/>
    <n v="23"/>
    <n v="17"/>
    <n v="27"/>
    <n v="0.4355"/>
    <n v="70"/>
    <n v="20"/>
    <n v="50"/>
    <n v="0.71430000000000005"/>
  </r>
  <r>
    <d v="2024-12-08T00:00:00"/>
    <n v="716"/>
    <x v="14"/>
    <s v="East"/>
    <s v="Major Market"/>
    <s v="Leaves"/>
    <s v="Tea"/>
    <s v="Darjeeling"/>
    <s v="Regular"/>
    <n v="1003"/>
    <n v="24"/>
    <x v="169"/>
    <n v="86"/>
    <n v="35"/>
    <n v="89"/>
    <n v="0.42380000000000001"/>
    <n v="210"/>
    <n v="90"/>
    <n v="90"/>
    <n v="0.42859999999999998"/>
  </r>
  <r>
    <d v="2024-12-08T00:00:00"/>
    <n v="920"/>
    <x v="0"/>
    <s v="Central"/>
    <s v="Small Market"/>
    <s v="Beans"/>
    <s v="Espresso"/>
    <s v="Caffe Mocha"/>
    <s v="Regular"/>
    <n v="1063"/>
    <n v="23"/>
    <x v="67"/>
    <n v="75"/>
    <n v="44"/>
    <n v="45"/>
    <n v="0.27439999999999998"/>
    <n v="200"/>
    <n v="90"/>
    <n v="70"/>
    <n v="0.35"/>
  </r>
  <r>
    <d v="2024-12-09T00:00:00"/>
    <n v="959"/>
    <x v="18"/>
    <s v="East"/>
    <s v="Small Market"/>
    <s v="Leaves"/>
    <s v="Tea"/>
    <s v="Green Tea"/>
    <s v="Regular"/>
    <n v="806"/>
    <n v="6"/>
    <x v="26"/>
    <n v="24"/>
    <n v="18"/>
    <n v="18"/>
    <n v="0.3"/>
    <n v="60"/>
    <n v="20"/>
    <n v="40"/>
    <n v="0.66669999999999996"/>
  </r>
  <r>
    <d v="2024-12-09T00:00:00"/>
    <n v="435"/>
    <x v="13"/>
    <s v="West"/>
    <s v="Small Market"/>
    <s v="Beans"/>
    <s v="Espresso"/>
    <s v="Caffe Mocha"/>
    <s v="Regular"/>
    <n v="540"/>
    <n v="31"/>
    <x v="186"/>
    <n v="94"/>
    <n v="43"/>
    <n v="77"/>
    <n v="0.35980000000000001"/>
    <n v="200"/>
    <n v="90"/>
    <n v="70"/>
    <n v="0.35"/>
  </r>
  <r>
    <d v="2024-12-10T00:00:00"/>
    <n v="475"/>
    <x v="18"/>
    <s v="East"/>
    <s v="Small Market"/>
    <s v="Leaves"/>
    <s v="Herbal Tea"/>
    <s v="Mint"/>
    <s v="Decaf"/>
    <n v="1060"/>
    <n v="21"/>
    <x v="182"/>
    <n v="69"/>
    <n v="43"/>
    <n v="38"/>
    <n v="0.25330000000000003"/>
    <n v="100"/>
    <n v="50"/>
    <n v="30"/>
    <n v="0.3"/>
  </r>
  <r>
    <d v="2024-12-10T00:00:00"/>
    <n v="563"/>
    <x v="17"/>
    <s v="Central"/>
    <s v="Small Market"/>
    <s v="Beans"/>
    <s v="Espresso"/>
    <s v="Decaf Espresso"/>
    <s v="Decaf"/>
    <n v="344"/>
    <n v="0"/>
    <x v="190"/>
    <n v="0"/>
    <n v="11"/>
    <n v="47"/>
    <n v="1.0217000000000001"/>
    <n v="50"/>
    <n v="0"/>
    <n v="40"/>
    <n v="0.8"/>
  </r>
  <r>
    <d v="2024-12-10T00:00:00"/>
    <n v="920"/>
    <x v="0"/>
    <s v="Central"/>
    <s v="Small Market"/>
    <s v="Beans"/>
    <s v="Coffee"/>
    <s v="Decaf Irish Cream"/>
    <s v="Decaf"/>
    <n v="557"/>
    <n v="25"/>
    <x v="233"/>
    <n v="77"/>
    <n v="52"/>
    <n v="76"/>
    <n v="0.39579999999999999"/>
    <n v="170"/>
    <n v="70"/>
    <n v="60"/>
    <n v="0.35289999999999999"/>
  </r>
  <r>
    <d v="2024-12-11T00:00:00"/>
    <n v="475"/>
    <x v="18"/>
    <s v="East"/>
    <s v="Small Market"/>
    <s v="Leaves"/>
    <s v="Herbal Tea"/>
    <s v="Lemon"/>
    <s v="Decaf"/>
    <n v="619"/>
    <n v="25"/>
    <x v="130"/>
    <n v="68"/>
    <n v="58"/>
    <n v="27"/>
    <n v="0.17649999999999999"/>
    <n v="110"/>
    <n v="50"/>
    <n v="20"/>
    <n v="0.18179999999999999"/>
  </r>
  <r>
    <d v="2024-12-11T00:00:00"/>
    <n v="614"/>
    <x v="12"/>
    <s v="Central"/>
    <s v="Major Market"/>
    <s v="Leaves"/>
    <s v="Herbal Tea"/>
    <s v="Lemon"/>
    <s v="Decaf"/>
    <n v="862"/>
    <n v="10"/>
    <x v="202"/>
    <n v="36"/>
    <n v="22"/>
    <n v="30"/>
    <n v="0.34089999999999998"/>
    <n v="80"/>
    <n v="30"/>
    <n v="40"/>
    <n v="0.5"/>
  </r>
  <r>
    <d v="2024-12-11T00:00:00"/>
    <n v="915"/>
    <x v="10"/>
    <s v="South"/>
    <s v="Major Market"/>
    <s v="Beans"/>
    <s v="Espresso"/>
    <s v="Decaf Espresso"/>
    <s v="Decaf"/>
    <n v="580"/>
    <n v="21"/>
    <x v="163"/>
    <n v="76"/>
    <n v="33"/>
    <n v="78"/>
    <n v="0.41710000000000003"/>
    <n v="120"/>
    <n v="40"/>
    <n v="80"/>
    <n v="0.66669999999999996"/>
  </r>
  <r>
    <d v="2024-12-11T00:00:00"/>
    <n v="318"/>
    <x v="4"/>
    <s v="South"/>
    <s v="Small Market"/>
    <s v="Leaves"/>
    <s v="Herbal Tea"/>
    <s v="Lemon"/>
    <s v="Decaf"/>
    <n v="619"/>
    <n v="25"/>
    <x v="80"/>
    <n v="68"/>
    <n v="59"/>
    <n v="39"/>
    <n v="0.23930000000000001"/>
    <n v="140"/>
    <n v="60"/>
    <n v="30"/>
    <n v="0.21429999999999999"/>
  </r>
  <r>
    <d v="2024-12-11T00:00:00"/>
    <n v="815"/>
    <x v="2"/>
    <s v="Central"/>
    <s v="Major Market"/>
    <s v="Leaves"/>
    <s v="Herbal Tea"/>
    <s v="Mint"/>
    <s v="Decaf"/>
    <n v="971"/>
    <n v="30"/>
    <x v="223"/>
    <n v="108"/>
    <n v="41"/>
    <n v="116"/>
    <n v="0.43769999999999998"/>
    <n v="210"/>
    <n v="80"/>
    <n v="120"/>
    <n v="0.57140000000000002"/>
  </r>
  <r>
    <d v="2024-12-11T00:00:00"/>
    <n v="719"/>
    <x v="1"/>
    <s v="Central"/>
    <s v="Major Market"/>
    <s v="Leaves"/>
    <s v="Tea"/>
    <s v="Green Tea"/>
    <s v="Regular"/>
    <n v="551"/>
    <n v="26"/>
    <x v="42"/>
    <n v="81"/>
    <n v="38"/>
    <n v="66"/>
    <n v="0.35680000000000001"/>
    <n v="150"/>
    <n v="60"/>
    <n v="60"/>
    <n v="0.4"/>
  </r>
  <r>
    <d v="2024-12-11T00:00:00"/>
    <n v="970"/>
    <x v="1"/>
    <s v="Central"/>
    <s v="Major Market"/>
    <s v="Beans"/>
    <s v="Espresso"/>
    <s v="Decaf Espresso"/>
    <s v="Decaf"/>
    <n v="650"/>
    <n v="23"/>
    <x v="177"/>
    <n v="72"/>
    <n v="54"/>
    <n v="83"/>
    <n v="0.42780000000000001"/>
    <n v="260"/>
    <n v="100"/>
    <n v="130"/>
    <n v="0.5"/>
  </r>
  <r>
    <d v="2024-12-12T00:00:00"/>
    <n v="303"/>
    <x v="1"/>
    <s v="Central"/>
    <s v="Major Market"/>
    <s v="Leaves"/>
    <s v="Tea"/>
    <s v="Darjeeling"/>
    <s v="Regular"/>
    <n v="422"/>
    <n v="17"/>
    <x v="204"/>
    <n v="46"/>
    <n v="51"/>
    <n v="9"/>
    <n v="8.1799999999999998E-2"/>
    <n v="80"/>
    <n v="30"/>
    <n v="10"/>
    <n v="0.125"/>
  </r>
  <r>
    <d v="2024-12-12T00:00:00"/>
    <n v="314"/>
    <x v="6"/>
    <s v="Central"/>
    <s v="Small Market"/>
    <s v="Leaves"/>
    <s v="Herbal Tea"/>
    <s v="Lemon"/>
    <s v="Decaf"/>
    <n v="1804"/>
    <n v="25"/>
    <x v="174"/>
    <n v="82"/>
    <n v="49"/>
    <n v="-13"/>
    <n v="-0.1"/>
    <n v="110"/>
    <n v="70"/>
    <n v="0"/>
    <n v="0"/>
  </r>
  <r>
    <d v="2024-12-12T00:00:00"/>
    <n v="603"/>
    <x v="15"/>
    <s v="East"/>
    <s v="Small Market"/>
    <s v="Leaves"/>
    <s v="Tea"/>
    <s v="Darjeeling"/>
    <s v="Regular"/>
    <n v="848"/>
    <n v="4"/>
    <x v="104"/>
    <n v="15"/>
    <n v="16"/>
    <n v="12"/>
    <n v="0.28570000000000001"/>
    <n v="40"/>
    <n v="10"/>
    <n v="20"/>
    <n v="0.5"/>
  </r>
  <r>
    <d v="2024-12-12T00:00:00"/>
    <n v="305"/>
    <x v="16"/>
    <s v="East"/>
    <s v="Major Market"/>
    <s v="Beans"/>
    <s v="Espresso"/>
    <s v="Caffe Mocha"/>
    <s v="Regular"/>
    <n v="716"/>
    <n v="95"/>
    <x v="145"/>
    <n v="105"/>
    <n v="124"/>
    <n v="21"/>
    <n v="8.4000000000000005E-2"/>
    <n v="240"/>
    <n v="100"/>
    <n v="30"/>
    <n v="0.125"/>
  </r>
  <r>
    <d v="2024-12-12T00:00:00"/>
    <n v="206"/>
    <x v="5"/>
    <s v="West"/>
    <s v="Small Market"/>
    <s v="Leaves"/>
    <s v="Herbal Tea"/>
    <s v="Chamomile"/>
    <s v="Decaf"/>
    <n v="1134"/>
    <n v="42"/>
    <x v="224"/>
    <n v="130"/>
    <n v="73"/>
    <n v="122"/>
    <n v="0.37540000000000001"/>
    <n v="300"/>
    <n v="120"/>
    <n v="120"/>
    <n v="0.4"/>
  </r>
  <r>
    <d v="2024-12-13T00:00:00"/>
    <n v="435"/>
    <x v="13"/>
    <s v="West"/>
    <s v="Small Market"/>
    <s v="Leaves"/>
    <s v="Herbal Tea"/>
    <s v="Lemon"/>
    <s v="Decaf"/>
    <n v="452"/>
    <n v="14"/>
    <x v="44"/>
    <n v="43"/>
    <n v="46"/>
    <n v="30"/>
    <n v="0.2586"/>
    <n v="100"/>
    <n v="40"/>
    <n v="30"/>
    <n v="0.3"/>
  </r>
  <r>
    <d v="2024-12-13T00:00:00"/>
    <n v="636"/>
    <x v="6"/>
    <s v="Central"/>
    <s v="Small Market"/>
    <s v="Leaves"/>
    <s v="Tea"/>
    <s v="Green Tea"/>
    <s v="Regular"/>
    <n v="250"/>
    <n v="14"/>
    <x v="202"/>
    <n v="39"/>
    <n v="47"/>
    <n v="2"/>
    <n v="2.2700000000000001E-2"/>
    <n v="70"/>
    <n v="30"/>
    <n v="0"/>
    <n v="0"/>
  </r>
  <r>
    <d v="2024-12-13T00:00:00"/>
    <n v="440"/>
    <x v="12"/>
    <s v="Central"/>
    <s v="Major Market"/>
    <s v="Leaves"/>
    <s v="Herbal Tea"/>
    <s v="Chamomile"/>
    <s v="Decaf"/>
    <n v="482"/>
    <n v="8"/>
    <x v="138"/>
    <n v="32"/>
    <n v="19"/>
    <n v="43"/>
    <n v="0.50590000000000002"/>
    <n v="70"/>
    <n v="30"/>
    <n v="30"/>
    <n v="0.42859999999999998"/>
  </r>
  <r>
    <d v="2024-12-13T00:00:00"/>
    <n v="603"/>
    <x v="15"/>
    <s v="East"/>
    <s v="Small Market"/>
    <s v="Beans"/>
    <s v="Espresso"/>
    <s v="Regular Espresso"/>
    <s v="Regular"/>
    <n v="209"/>
    <n v="9"/>
    <x v="26"/>
    <n v="25"/>
    <n v="43"/>
    <n v="-18"/>
    <n v="-0.3"/>
    <n v="40"/>
    <n v="10"/>
    <n v="10"/>
    <n v="0.25"/>
  </r>
  <r>
    <d v="2024-12-13T00:00:00"/>
    <n v="405"/>
    <x v="19"/>
    <s v="South"/>
    <s v="Small Market"/>
    <s v="Beans"/>
    <s v="Espresso"/>
    <s v="Caffe Latte"/>
    <s v="Regular"/>
    <n v="-1785"/>
    <n v="28"/>
    <x v="175"/>
    <n v="91"/>
    <n v="51"/>
    <n v="76"/>
    <n v="0.34860000000000002"/>
    <n v="130"/>
    <n v="50"/>
    <n v="70"/>
    <n v="0.53849999999999998"/>
  </r>
  <r>
    <d v="2024-12-13T00:00:00"/>
    <n v="845"/>
    <x v="14"/>
    <s v="East"/>
    <s v="Major Market"/>
    <s v="Beans"/>
    <s v="Espresso"/>
    <s v="Caffe Mocha"/>
    <s v="Regular"/>
    <n v="3641"/>
    <n v="122"/>
    <x v="154"/>
    <n v="135"/>
    <n v="155"/>
    <n v="-332"/>
    <n v="-4.7428999999999997"/>
    <n v="60"/>
    <n v="130"/>
    <n v="-210"/>
    <n v="-3.5"/>
  </r>
  <r>
    <d v="2024-12-13T00:00:00"/>
    <n v="847"/>
    <x v="2"/>
    <s v="Central"/>
    <s v="Major Market"/>
    <s v="Beans"/>
    <s v="Espresso"/>
    <s v="Decaf Espresso"/>
    <s v="Decaf"/>
    <n v="1778"/>
    <n v="59"/>
    <x v="178"/>
    <n v="211"/>
    <n v="83"/>
    <n v="191"/>
    <n v="0.42349999999999999"/>
    <n v="540"/>
    <n v="270"/>
    <n v="200"/>
    <n v="0.37040000000000001"/>
  </r>
  <r>
    <d v="2024-12-14T00:00:00"/>
    <n v="303"/>
    <x v="1"/>
    <s v="Central"/>
    <s v="Major Market"/>
    <s v="Beans"/>
    <s v="Coffee"/>
    <s v="Colombian"/>
    <s v="Regular"/>
    <n v="541"/>
    <n v="12"/>
    <x v="157"/>
    <n v="39"/>
    <n v="24"/>
    <n v="40"/>
    <n v="0.41670000000000001"/>
    <n v="80"/>
    <n v="30"/>
    <n v="50"/>
    <n v="0.625"/>
  </r>
  <r>
    <d v="2024-12-14T00:00:00"/>
    <n v="515"/>
    <x v="17"/>
    <s v="Central"/>
    <s v="Small Market"/>
    <s v="Beans"/>
    <s v="Coffee"/>
    <s v="Colombian"/>
    <s v="Regular"/>
    <n v="1000"/>
    <n v="9"/>
    <x v="137"/>
    <n v="31"/>
    <n v="30"/>
    <n v="7"/>
    <n v="0.10290000000000001"/>
    <n v="60"/>
    <n v="20"/>
    <n v="30"/>
    <n v="0.5"/>
  </r>
  <r>
    <d v="2024-12-14T00:00:00"/>
    <n v="937"/>
    <x v="12"/>
    <s v="Central"/>
    <s v="Major Market"/>
    <s v="Leaves"/>
    <s v="Herbal Tea"/>
    <s v="Chamomile"/>
    <s v="Decaf"/>
    <n v="480"/>
    <n v="5"/>
    <x v="166"/>
    <n v="21"/>
    <n v="16"/>
    <n v="24"/>
    <n v="0.42859999999999998"/>
    <n v="30"/>
    <n v="0"/>
    <n v="30"/>
    <n v="1"/>
  </r>
  <r>
    <d v="2024-12-14T00:00:00"/>
    <n v="713"/>
    <x v="10"/>
    <s v="South"/>
    <s v="Major Market"/>
    <s v="Leaves"/>
    <s v="Herbal Tea"/>
    <s v="Chamomile"/>
    <s v="Decaf"/>
    <n v="405"/>
    <n v="17"/>
    <x v="57"/>
    <n v="52"/>
    <n v="45"/>
    <n v="26"/>
    <n v="0.2114"/>
    <n v="110"/>
    <n v="30"/>
    <n v="70"/>
    <n v="0.63639999999999997"/>
  </r>
  <r>
    <d v="2024-12-15T00:00:00"/>
    <n v="857"/>
    <x v="11"/>
    <s v="East"/>
    <s v="Major Market"/>
    <s v="Leaves"/>
    <s v="Herbal Tea"/>
    <s v="Lemon"/>
    <s v="Decaf"/>
    <n v="410"/>
    <n v="20"/>
    <x v="50"/>
    <n v="55"/>
    <n v="54"/>
    <n v="22"/>
    <n v="0.16669999999999999"/>
    <n v="90"/>
    <n v="40"/>
    <n v="20"/>
    <n v="0.22220000000000001"/>
  </r>
  <r>
    <d v="2024-12-15T00:00:00"/>
    <n v="920"/>
    <x v="0"/>
    <s v="Central"/>
    <s v="Small Market"/>
    <s v="Beans"/>
    <s v="Espresso"/>
    <s v="Decaf Espresso"/>
    <s v="Decaf"/>
    <n v="570"/>
    <n v="7"/>
    <x v="27"/>
    <n v="22"/>
    <n v="19"/>
    <n v="16"/>
    <n v="0.29089999999999999"/>
    <n v="60"/>
    <n v="20"/>
    <n v="30"/>
    <n v="0.5"/>
  </r>
  <r>
    <d v="2024-12-15T00:00:00"/>
    <n v="815"/>
    <x v="2"/>
    <s v="Central"/>
    <s v="Major Market"/>
    <s v="Leaves"/>
    <s v="Tea"/>
    <s v="Darjeeling"/>
    <s v="Regular"/>
    <n v="580"/>
    <n v="21"/>
    <x v="131"/>
    <n v="76"/>
    <n v="33"/>
    <n v="116"/>
    <n v="0.58289999999999997"/>
    <n v="130"/>
    <n v="50"/>
    <n v="80"/>
    <n v="0.61539999999999995"/>
  </r>
  <r>
    <d v="2024-12-15T00:00:00"/>
    <n v="386"/>
    <x v="16"/>
    <s v="East"/>
    <s v="Major Market"/>
    <s v="Leaves"/>
    <s v="Herbal Tea"/>
    <s v="Chamomile"/>
    <s v="Decaf"/>
    <n v="573"/>
    <n v="7"/>
    <x v="6"/>
    <n v="22"/>
    <n v="19"/>
    <n v="10"/>
    <n v="0.1961"/>
    <n v="20"/>
    <n v="0"/>
    <n v="20"/>
    <n v="1"/>
  </r>
  <r>
    <d v="2024-12-15T00:00:00"/>
    <n v="740"/>
    <x v="12"/>
    <s v="Central"/>
    <s v="Major Market"/>
    <s v="Leaves"/>
    <s v="Tea"/>
    <s v="Earl Grey"/>
    <s v="Regular"/>
    <n v="690"/>
    <n v="41"/>
    <x v="56"/>
    <n v="134"/>
    <n v="65"/>
    <n v="121"/>
    <n v="0.37809999999999999"/>
    <n v="260"/>
    <n v="110"/>
    <n v="90"/>
    <n v="0.34620000000000001"/>
  </r>
  <r>
    <d v="2024-12-15T00:00:00"/>
    <n v="708"/>
    <x v="2"/>
    <s v="Central"/>
    <s v="Major Market"/>
    <s v="Leaves"/>
    <s v="Herbal Tea"/>
    <s v="Chamomile"/>
    <s v="Decaf"/>
    <n v="930"/>
    <n v="33"/>
    <x v="102"/>
    <n v="118"/>
    <n v="45"/>
    <n v="188"/>
    <n v="0.60840000000000005"/>
    <n v="260"/>
    <n v="110"/>
    <n v="110"/>
    <n v="0.42309999999999998"/>
  </r>
  <r>
    <d v="2024-12-16T00:00:00"/>
    <n v="254"/>
    <x v="10"/>
    <s v="South"/>
    <s v="Major Market"/>
    <s v="Beans"/>
    <s v="Espresso"/>
    <s v="Decaf Espresso"/>
    <s v="Decaf"/>
    <n v="589"/>
    <n v="14"/>
    <x v="30"/>
    <n v="50"/>
    <n v="25"/>
    <n v="71"/>
    <n v="0.54200000000000004"/>
    <n v="90"/>
    <n v="30"/>
    <n v="40"/>
    <n v="0.44440000000000002"/>
  </r>
  <r>
    <d v="2024-12-16T00:00:00"/>
    <n v="715"/>
    <x v="0"/>
    <s v="Central"/>
    <s v="Small Market"/>
    <s v="Beans"/>
    <s v="Espresso"/>
    <s v="Decaf Espresso"/>
    <s v="Decaf"/>
    <n v="570"/>
    <n v="7"/>
    <x v="96"/>
    <n v="22"/>
    <n v="19"/>
    <n v="11"/>
    <n v="0.21149999999999999"/>
    <n v="60"/>
    <n v="20"/>
    <n v="30"/>
    <n v="0.5"/>
  </r>
  <r>
    <d v="2024-12-16T00:00:00"/>
    <n v="513"/>
    <x v="12"/>
    <s v="Central"/>
    <s v="Major Market"/>
    <s v="Beans"/>
    <s v="Coffee"/>
    <s v="Decaf Irish Cream"/>
    <s v="Decaf"/>
    <n v="521"/>
    <n v="42"/>
    <x v="124"/>
    <n v="47"/>
    <n v="71"/>
    <n v="-9"/>
    <n v="-7.5600000000000001E-2"/>
    <n v="110"/>
    <n v="40"/>
    <n v="10"/>
    <n v="9.0899999999999995E-2"/>
  </r>
  <r>
    <d v="2024-12-16T00:00:00"/>
    <n v="351"/>
    <x v="11"/>
    <s v="East"/>
    <s v="Major Market"/>
    <s v="Beans"/>
    <s v="Coffee"/>
    <s v="Colombian"/>
    <s v="Regular"/>
    <n v="-3534"/>
    <n v="22"/>
    <x v="239"/>
    <n v="67"/>
    <n v="53"/>
    <n v="390"/>
    <n v="0.76470000000000005"/>
    <n v="450"/>
    <n v="60"/>
    <n v="360"/>
    <n v="0.8"/>
  </r>
  <r>
    <d v="2024-12-16T00:00:00"/>
    <n v="641"/>
    <x v="17"/>
    <s v="Central"/>
    <s v="Small Market"/>
    <s v="Leaves"/>
    <s v="Herbal Tea"/>
    <s v="Lemon"/>
    <s v="Decaf"/>
    <n v="789"/>
    <n v="39"/>
    <x v="11"/>
    <n v="122"/>
    <n v="62"/>
    <n v="114"/>
    <n v="0.3826"/>
    <n v="240"/>
    <n v="90"/>
    <n v="130"/>
    <n v="0.54169999999999996"/>
  </r>
  <r>
    <d v="2024-12-16T00:00:00"/>
    <n v="425"/>
    <x v="5"/>
    <s v="West"/>
    <s v="Small Market"/>
    <s v="Beans"/>
    <s v="Coffee"/>
    <s v="Colombian"/>
    <s v="Regular"/>
    <n v="446"/>
    <n v="20"/>
    <x v="158"/>
    <n v="63"/>
    <n v="43"/>
    <n v="50"/>
    <n v="0.32050000000000001"/>
    <n v="180"/>
    <n v="70"/>
    <n v="70"/>
    <n v="0.38890000000000002"/>
  </r>
  <r>
    <d v="2024-12-17T00:00:00"/>
    <n v="860"/>
    <x v="18"/>
    <s v="East"/>
    <s v="Small Market"/>
    <s v="Leaves"/>
    <s v="Herbal Tea"/>
    <s v="Mint"/>
    <s v="Decaf"/>
    <n v="1053"/>
    <n v="20"/>
    <x v="146"/>
    <n v="65"/>
    <n v="42"/>
    <n v="35"/>
    <n v="0.2465"/>
    <n v="80"/>
    <n v="30"/>
    <n v="50"/>
    <n v="0.625"/>
  </r>
  <r>
    <d v="2024-12-17T00:00:00"/>
    <n v="603"/>
    <x v="15"/>
    <s v="East"/>
    <s v="Small Market"/>
    <s v="Beans"/>
    <s v="Espresso"/>
    <s v="Regular Espresso"/>
    <s v="Regular"/>
    <n v="211"/>
    <n v="12"/>
    <x v="105"/>
    <n v="34"/>
    <n v="45"/>
    <n v="-4"/>
    <n v="-4.9399999999999999E-2"/>
    <n v="70"/>
    <n v="30"/>
    <n v="0"/>
    <n v="0"/>
  </r>
  <r>
    <d v="2024-12-17T00:00:00"/>
    <n v="909"/>
    <x v="7"/>
    <s v="West"/>
    <s v="Major Market"/>
    <s v="Beans"/>
    <s v="Coffee"/>
    <s v="Decaf Irish Cream"/>
    <s v="Decaf"/>
    <n v="3909"/>
    <n v="57"/>
    <x v="240"/>
    <n v="173"/>
    <n v="100"/>
    <n v="-127"/>
    <n v="-0.86990000000000001"/>
    <n v="170"/>
    <n v="200"/>
    <n v="-130"/>
    <n v="-0.76470000000000005"/>
  </r>
  <r>
    <d v="2024-12-17T00:00:00"/>
    <n v="801"/>
    <x v="13"/>
    <s v="West"/>
    <s v="Small Market"/>
    <s v="Beans"/>
    <s v="Coffee"/>
    <s v="Decaf Irish Cream"/>
    <s v="Decaf"/>
    <n v="619"/>
    <n v="25"/>
    <x v="80"/>
    <n v="68"/>
    <n v="59"/>
    <n v="39"/>
    <n v="0.23930000000000001"/>
    <n v="180"/>
    <n v="80"/>
    <n v="50"/>
    <n v="0.27779999999999999"/>
  </r>
  <r>
    <d v="2024-12-18T00:00:00"/>
    <n v="954"/>
    <x v="16"/>
    <s v="East"/>
    <s v="Major Market"/>
    <s v="Leaves"/>
    <s v="Herbal Tea"/>
    <s v="Mint"/>
    <s v="Decaf"/>
    <n v="1063"/>
    <n v="23"/>
    <x v="67"/>
    <n v="75"/>
    <n v="45"/>
    <n v="44"/>
    <n v="0.26829999999999998"/>
    <n v="110"/>
    <n v="50"/>
    <n v="30"/>
    <n v="0.2727"/>
  </r>
  <r>
    <d v="2024-12-18T00:00:00"/>
    <n v="440"/>
    <x v="12"/>
    <s v="Central"/>
    <s v="Major Market"/>
    <s v="Beans"/>
    <s v="Coffee"/>
    <s v="Amaretto"/>
    <s v="Regular"/>
    <n v="405"/>
    <n v="17"/>
    <x v="57"/>
    <n v="52"/>
    <n v="45"/>
    <n v="26"/>
    <n v="0.2114"/>
    <n v="110"/>
    <n v="40"/>
    <n v="60"/>
    <n v="0.54549999999999998"/>
  </r>
  <r>
    <d v="2024-12-21T00:00:00"/>
    <n v="430"/>
    <x v="10"/>
    <s v="South"/>
    <s v="Major Market"/>
    <s v="Leaves"/>
    <s v="Herbal Tea"/>
    <s v="Lemon"/>
    <s v="Decaf"/>
    <n v="419"/>
    <n v="13"/>
    <x v="13"/>
    <n v="43"/>
    <n v="36"/>
    <n v="42"/>
    <n v="0.36840000000000001"/>
    <n v="90"/>
    <n v="30"/>
    <n v="50"/>
    <n v="0.55559999999999998"/>
  </r>
  <r>
    <d v="2024-12-21T00:00:00"/>
    <n v="541"/>
    <x v="9"/>
    <s v="West"/>
    <s v="Small Market"/>
    <s v="Beans"/>
    <s v="Coffee"/>
    <s v="Amaretto"/>
    <s v="Regular"/>
    <n v="509"/>
    <n v="47"/>
    <x v="151"/>
    <n v="52"/>
    <n v="77"/>
    <n v="-4"/>
    <n v="-3.2000000000000001E-2"/>
    <n v="140"/>
    <n v="60"/>
    <n v="10"/>
    <n v="7.1400000000000005E-2"/>
  </r>
  <r>
    <d v="2024-12-21T00:00:00"/>
    <n v="440"/>
    <x v="12"/>
    <s v="Central"/>
    <s v="Major Market"/>
    <s v="Beans"/>
    <s v="Espresso"/>
    <s v="Caffe Mocha"/>
    <s v="Regular"/>
    <n v="1283"/>
    <n v="50"/>
    <x v="84"/>
    <n v="181"/>
    <n v="75"/>
    <n v="107"/>
    <n v="0.29480000000000001"/>
    <n v="460"/>
    <n v="230"/>
    <n v="170"/>
    <n v="0.36959999999999998"/>
  </r>
  <r>
    <d v="2024-12-21T00:00:00"/>
    <n v="815"/>
    <x v="2"/>
    <s v="Central"/>
    <s v="Major Market"/>
    <s v="Beans"/>
    <s v="Coffee"/>
    <s v="Decaf Irish Cream"/>
    <s v="Decaf"/>
    <n v="789"/>
    <n v="39"/>
    <x v="38"/>
    <n v="122"/>
    <n v="61"/>
    <n v="171"/>
    <n v="0.53769999999999996"/>
    <n v="300"/>
    <n v="110"/>
    <n v="160"/>
    <n v="0.5333"/>
  </r>
  <r>
    <d v="2024-12-21T00:00:00"/>
    <n v="435"/>
    <x v="13"/>
    <s v="West"/>
    <s v="Small Market"/>
    <s v="Beans"/>
    <s v="Coffee"/>
    <s v="Amaretto"/>
    <s v="Regular"/>
    <n v="1053"/>
    <n v="20"/>
    <x v="146"/>
    <n v="65"/>
    <n v="41"/>
    <n v="36"/>
    <n v="0.2535"/>
    <n v="200"/>
    <n v="90"/>
    <n v="90"/>
    <n v="0.45"/>
  </r>
  <r>
    <d v="2024-12-21T00:00:00"/>
    <n v="435"/>
    <x v="13"/>
    <s v="West"/>
    <s v="Small Market"/>
    <s v="Beans"/>
    <s v="Espresso"/>
    <s v="Caffe Mocha"/>
    <s v="Regular"/>
    <n v="564"/>
    <n v="33"/>
    <x v="122"/>
    <n v="103"/>
    <n v="46"/>
    <n v="129"/>
    <n v="0.51390000000000002"/>
    <n v="210"/>
    <n v="80"/>
    <n v="110"/>
    <n v="0.52380000000000004"/>
  </r>
  <r>
    <d v="2024-12-22T00:00:00"/>
    <n v="636"/>
    <x v="6"/>
    <s v="Central"/>
    <s v="Small Market"/>
    <s v="Leaves"/>
    <s v="Tea"/>
    <s v="Darjeeling"/>
    <s v="Regular"/>
    <n v="244"/>
    <n v="12"/>
    <x v="132"/>
    <n v="39"/>
    <n v="40"/>
    <n v="13"/>
    <n v="0.14130000000000001"/>
    <n v="60"/>
    <n v="20"/>
    <n v="30"/>
    <n v="0.5"/>
  </r>
  <r>
    <d v="2024-12-22T00:00:00"/>
    <n v="405"/>
    <x v="19"/>
    <s v="South"/>
    <s v="Small Market"/>
    <s v="Beans"/>
    <s v="Espresso"/>
    <s v="Decaf Espresso"/>
    <s v="Decaf"/>
    <n v="788"/>
    <n v="27"/>
    <x v="41"/>
    <n v="82"/>
    <n v="58"/>
    <n v="65"/>
    <n v="0.31709999999999999"/>
    <n v="130"/>
    <n v="50"/>
    <n v="60"/>
    <n v="0.46150000000000002"/>
  </r>
  <r>
    <d v="2024-12-22T00:00:00"/>
    <n v="206"/>
    <x v="5"/>
    <s v="West"/>
    <s v="Small Market"/>
    <s v="Beans"/>
    <s v="Espresso"/>
    <s v="Caffe Latte"/>
    <s v="Regular"/>
    <n v="573"/>
    <n v="7"/>
    <x v="170"/>
    <n v="22"/>
    <n v="19"/>
    <n v="15"/>
    <n v="0.27779999999999999"/>
    <n v="30"/>
    <n v="10"/>
    <n v="20"/>
    <n v="0.66669999999999996"/>
  </r>
  <r>
    <d v="2024-12-23T00:00:00"/>
    <n v="970"/>
    <x v="1"/>
    <s v="Central"/>
    <s v="Major Market"/>
    <s v="Leaves"/>
    <s v="Tea"/>
    <s v="Green Tea"/>
    <s v="Regular"/>
    <n v="561"/>
    <n v="29"/>
    <x v="206"/>
    <n v="88"/>
    <n v="42"/>
    <n v="104"/>
    <n v="0.48830000000000001"/>
    <n v="160"/>
    <n v="70"/>
    <n v="60"/>
    <n v="0.375"/>
  </r>
  <r>
    <d v="2024-12-24T00:00:00"/>
    <n v="516"/>
    <x v="14"/>
    <s v="East"/>
    <s v="Major Market"/>
    <s v="Leaves"/>
    <s v="Tea"/>
    <s v="Darjeeling"/>
    <s v="Regular"/>
    <n v="984"/>
    <n v="22"/>
    <x v="217"/>
    <n v="81"/>
    <n v="33"/>
    <n v="125"/>
    <n v="0.59240000000000004"/>
    <n v="200"/>
    <n v="80"/>
    <n v="90"/>
    <n v="0.45"/>
  </r>
  <r>
    <d v="2024-12-24T00:00:00"/>
    <n v="712"/>
    <x v="17"/>
    <s v="Central"/>
    <s v="Small Market"/>
    <s v="Leaves"/>
    <s v="Herbal Tea"/>
    <s v="Lemon"/>
    <s v="Decaf"/>
    <n v="803"/>
    <n v="36"/>
    <x v="225"/>
    <n v="113"/>
    <n v="58"/>
    <n v="107"/>
    <n v="0.38490000000000002"/>
    <n v="250"/>
    <n v="100"/>
    <n v="100"/>
    <n v="0.4"/>
  </r>
  <r>
    <d v="2024-12-25T00:00:00"/>
    <n v="505"/>
    <x v="3"/>
    <s v="South"/>
    <s v="Small Market"/>
    <s v="Beans"/>
    <s v="Coffee"/>
    <s v="Decaf Irish Cream"/>
    <s v="Decaf"/>
    <n v="1804"/>
    <n v="25"/>
    <x v="174"/>
    <n v="82"/>
    <n v="48"/>
    <n v="-12"/>
    <n v="-9.2299999999999993E-2"/>
    <n v="140"/>
    <n v="90"/>
    <n v="10"/>
    <n v="7.1400000000000005E-2"/>
  </r>
  <r>
    <d v="2024-12-25T00:00:00"/>
    <n v="603"/>
    <x v="15"/>
    <s v="East"/>
    <s v="Small Market"/>
    <s v="Leaves"/>
    <s v="Herbal Tea"/>
    <s v="Lemon"/>
    <s v="Decaf"/>
    <n v="243"/>
    <n v="12"/>
    <x v="171"/>
    <n v="33"/>
    <n v="45"/>
    <n v="-6"/>
    <n v="-7.5899999999999995E-2"/>
    <n v="50"/>
    <n v="20"/>
    <n v="0"/>
    <n v="0"/>
  </r>
  <r>
    <d v="2024-12-25T00:00:00"/>
    <n v="740"/>
    <x v="12"/>
    <s v="Central"/>
    <s v="Major Market"/>
    <s v="Beans"/>
    <s v="Espresso"/>
    <s v="Decaf Espresso"/>
    <s v="Decaf"/>
    <n v="422"/>
    <n v="17"/>
    <x v="18"/>
    <n v="46"/>
    <n v="51"/>
    <n v="6"/>
    <n v="5.8299999999999998E-2"/>
    <n v="130"/>
    <n v="50"/>
    <n v="40"/>
    <n v="0.30769999999999997"/>
  </r>
  <r>
    <d v="2024-12-25T00:00:00"/>
    <n v="509"/>
    <x v="5"/>
    <s v="West"/>
    <s v="Small Market"/>
    <s v="Beans"/>
    <s v="Espresso"/>
    <s v="Caffe Mocha"/>
    <s v="Regular"/>
    <n v="403"/>
    <n v="24"/>
    <x v="143"/>
    <n v="65"/>
    <n v="57"/>
    <n v="23"/>
    <n v="0.15859999999999999"/>
    <n v="140"/>
    <n v="60"/>
    <n v="30"/>
    <n v="0.21429999999999999"/>
  </r>
  <r>
    <d v="2024-12-25T00:00:00"/>
    <n v="504"/>
    <x v="4"/>
    <s v="South"/>
    <s v="Small Market"/>
    <s v="Leaves"/>
    <s v="Herbal Tea"/>
    <s v="Lemon"/>
    <s v="Decaf"/>
    <n v="593"/>
    <n v="30"/>
    <x v="196"/>
    <n v="79"/>
    <n v="64"/>
    <n v="34"/>
    <n v="0.19209999999999999"/>
    <n v="150"/>
    <n v="60"/>
    <n v="60"/>
    <n v="0.4"/>
  </r>
  <r>
    <d v="2024-12-26T00:00:00"/>
    <n v="603"/>
    <x v="15"/>
    <s v="East"/>
    <s v="Small Market"/>
    <s v="Beans"/>
    <s v="Espresso"/>
    <s v="Caffe Mocha"/>
    <s v="Regular"/>
    <n v="320"/>
    <n v="41"/>
    <x v="97"/>
    <n v="45"/>
    <n v="71"/>
    <n v="-7"/>
    <n v="-6.4199999999999993E-2"/>
    <n v="90"/>
    <n v="30"/>
    <n v="30"/>
    <n v="0.33329999999999999"/>
  </r>
  <r>
    <d v="2024-12-26T00:00:00"/>
    <n v="937"/>
    <x v="12"/>
    <s v="Central"/>
    <s v="Major Market"/>
    <s v="Leaves"/>
    <s v="Herbal Tea"/>
    <s v="Chamomile"/>
    <s v="Decaf"/>
    <n v="480"/>
    <n v="5"/>
    <x v="17"/>
    <n v="21"/>
    <n v="16"/>
    <n v="16"/>
    <n v="0.3019"/>
    <n v="30"/>
    <n v="0"/>
    <n v="30"/>
    <n v="1"/>
  </r>
  <r>
    <d v="2024-12-26T00:00:00"/>
    <n v="972"/>
    <x v="10"/>
    <s v="South"/>
    <s v="Major Market"/>
    <s v="Beans"/>
    <s v="Coffee"/>
    <s v="Colombian"/>
    <s v="Regular"/>
    <n v="1321"/>
    <n v="74"/>
    <x v="226"/>
    <n v="241"/>
    <n v="96"/>
    <n v="188"/>
    <n v="0.35809999999999997"/>
    <n v="620"/>
    <n v="280"/>
    <n v="240"/>
    <n v="0.3871"/>
  </r>
  <r>
    <d v="2024-12-26T00:00:00"/>
    <n v="786"/>
    <x v="16"/>
    <s v="East"/>
    <s v="Major Market"/>
    <s v="Beans"/>
    <s v="Coffee"/>
    <s v="Colombian"/>
    <s v="Regular"/>
    <n v="798"/>
    <n v="25"/>
    <x v="169"/>
    <n v="78"/>
    <n v="56"/>
    <n v="93"/>
    <n v="0.44290000000000002"/>
    <n v="170"/>
    <n v="70"/>
    <n v="60"/>
    <n v="0.35289999999999999"/>
  </r>
  <r>
    <d v="2024-12-26T00:00:00"/>
    <n v="917"/>
    <x v="14"/>
    <s v="East"/>
    <s v="Major Market"/>
    <s v="Beans"/>
    <s v="Espresso"/>
    <s v="Regular Espresso"/>
    <s v="Regular"/>
    <n v="933"/>
    <n v="59"/>
    <x v="241"/>
    <n v="211"/>
    <n v="83"/>
    <n v="565"/>
    <n v="0.78580000000000005"/>
    <n v="660"/>
    <n v="200"/>
    <n v="390"/>
    <n v="0.59089999999999998"/>
  </r>
  <r>
    <d v="2024-12-26T00:00:00"/>
    <n v="435"/>
    <x v="13"/>
    <s v="West"/>
    <s v="Small Market"/>
    <s v="Beans"/>
    <s v="Coffee"/>
    <s v="Amaretto"/>
    <s v="Regular"/>
    <n v="1075"/>
    <n v="19"/>
    <x v="164"/>
    <n v="63"/>
    <n v="40"/>
    <n v="53"/>
    <n v="0.35809999999999997"/>
    <n v="160"/>
    <n v="70"/>
    <n v="50"/>
    <n v="0.3125"/>
  </r>
  <r>
    <d v="2024-12-27T00:00:00"/>
    <n v="262"/>
    <x v="0"/>
    <s v="Central"/>
    <s v="Small Market"/>
    <s v="Beans"/>
    <s v="Coffee"/>
    <s v="Amaretto"/>
    <s v="Regular"/>
    <n v="391"/>
    <n v="20"/>
    <x v="93"/>
    <n v="54"/>
    <n v="53"/>
    <n v="21"/>
    <n v="0.1628"/>
    <n v="110"/>
    <n v="50"/>
    <n v="20"/>
    <n v="0.18179999999999999"/>
  </r>
  <r>
    <d v="2024-12-27T00:00:00"/>
    <n v="407"/>
    <x v="16"/>
    <s v="East"/>
    <s v="Major Market"/>
    <s v="Leaves"/>
    <s v="Herbal Tea"/>
    <s v="Mint"/>
    <s v="Decaf"/>
    <n v="1079"/>
    <n v="24"/>
    <x v="5"/>
    <n v="80"/>
    <n v="46"/>
    <n v="74"/>
    <n v="0.39360000000000001"/>
    <n v="120"/>
    <n v="60"/>
    <n v="30"/>
    <n v="0.25"/>
  </r>
  <r>
    <d v="2024-12-27T00:00:00"/>
    <n v="505"/>
    <x v="3"/>
    <s v="South"/>
    <s v="Small Market"/>
    <s v="Beans"/>
    <s v="Coffee"/>
    <s v="Decaf Irish Cream"/>
    <s v="Decaf"/>
    <n v="1698"/>
    <n v="26"/>
    <x v="97"/>
    <n v="86"/>
    <n v="49"/>
    <n v="-26"/>
    <n v="-0.23849999999999999"/>
    <n v="150"/>
    <n v="110"/>
    <n v="10"/>
    <n v="6.6699999999999995E-2"/>
  </r>
  <r>
    <d v="2024-12-27T00:00:00"/>
    <n v="541"/>
    <x v="9"/>
    <s v="West"/>
    <s v="Small Market"/>
    <s v="Leaves"/>
    <s v="Herbal Tea"/>
    <s v="Lemon"/>
    <s v="Decaf"/>
    <n v="572"/>
    <n v="29"/>
    <x v="175"/>
    <n v="90"/>
    <n v="42"/>
    <n v="108"/>
    <n v="0.49540000000000001"/>
    <n v="160"/>
    <n v="60"/>
    <n v="90"/>
    <n v="0.5625"/>
  </r>
  <r>
    <d v="2024-12-27T00:00:00"/>
    <n v="775"/>
    <x v="8"/>
    <s v="West"/>
    <s v="Small Market"/>
    <s v="Leaves"/>
    <s v="Herbal Tea"/>
    <s v="Mint"/>
    <s v="Decaf"/>
    <n v="830"/>
    <n v="40"/>
    <x v="192"/>
    <n v="127"/>
    <n v="63"/>
    <n v="181"/>
    <n v="0.54520000000000002"/>
    <n v="290"/>
    <n v="120"/>
    <n v="120"/>
    <n v="0.4138"/>
  </r>
  <r>
    <d v="2024-12-28T00:00:00"/>
    <n v="715"/>
    <x v="0"/>
    <s v="Central"/>
    <s v="Small Market"/>
    <s v="Leaves"/>
    <s v="Herbal Tea"/>
    <s v="Lemon"/>
    <s v="Decaf"/>
    <n v="863"/>
    <n v="9"/>
    <x v="138"/>
    <n v="34"/>
    <n v="21"/>
    <n v="30"/>
    <n v="0.35289999999999999"/>
    <n v="70"/>
    <n v="30"/>
    <n v="30"/>
    <n v="0.42859999999999998"/>
  </r>
  <r>
    <d v="2024-12-28T00:00:00"/>
    <n v="608"/>
    <x v="0"/>
    <s v="Central"/>
    <s v="Small Market"/>
    <s v="Beans"/>
    <s v="Espresso"/>
    <s v="Decaf Espresso"/>
    <s v="Decaf"/>
    <n v="567"/>
    <n v="7"/>
    <x v="26"/>
    <n v="24"/>
    <n v="19"/>
    <n v="19"/>
    <n v="0.31669999999999998"/>
    <n v="70"/>
    <n v="30"/>
    <n v="30"/>
    <n v="0.42859999999999998"/>
  </r>
  <r>
    <d v="2024-12-28T00:00:00"/>
    <n v="603"/>
    <x v="15"/>
    <s v="East"/>
    <s v="Small Market"/>
    <s v="Leaves"/>
    <s v="Tea"/>
    <s v="Darjeeling"/>
    <s v="Regular"/>
    <n v="851"/>
    <n v="4"/>
    <x v="123"/>
    <n v="16"/>
    <n v="15"/>
    <n v="15"/>
    <n v="0.34089999999999998"/>
    <n v="40"/>
    <n v="10"/>
    <n v="20"/>
    <n v="0.5"/>
  </r>
  <r>
    <d v="2024-12-28T00:00:00"/>
    <n v="845"/>
    <x v="14"/>
    <s v="East"/>
    <s v="Major Market"/>
    <s v="Leaves"/>
    <s v="Herbal Tea"/>
    <s v="Lemon"/>
    <s v="Decaf"/>
    <n v="1622"/>
    <n v="96"/>
    <x v="242"/>
    <n v="255"/>
    <n v="129"/>
    <n v="129"/>
    <n v="0.2515"/>
    <n v="290"/>
    <n v="140"/>
    <n v="70"/>
    <n v="0.24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363433-F2E7-4CFF-9893-56775DE242BA}" name="PivotTable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3:H35" firstHeaderRow="1" firstDataRow="2" firstDataCol="1"/>
  <pivotFields count="20">
    <pivotField numFmtId="14" showAll="0"/>
    <pivotField showAll="0"/>
    <pivotField axis="axisCol" showAll="0" measureFilter="1" sortType="descending">
      <items count="21">
        <item x="7"/>
        <item x="1"/>
        <item x="18"/>
        <item x="16"/>
        <item x="2"/>
        <item x="17"/>
        <item x="4"/>
        <item x="11"/>
        <item x="6"/>
        <item x="8"/>
        <item x="15"/>
        <item x="3"/>
        <item x="14"/>
        <item x="12"/>
        <item x="19"/>
        <item x="9"/>
        <item x="10"/>
        <item x="13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8" showAll="0">
      <items count="244">
        <item x="238"/>
        <item x="209"/>
        <item x="49"/>
        <item x="221"/>
        <item x="173"/>
        <item x="199"/>
        <item x="183"/>
        <item x="207"/>
        <item x="237"/>
        <item x="235"/>
        <item x="121"/>
        <item x="70"/>
        <item x="104"/>
        <item x="101"/>
        <item x="123"/>
        <item x="129"/>
        <item x="190"/>
        <item x="15"/>
        <item x="6"/>
        <item x="96"/>
        <item x="17"/>
        <item x="170"/>
        <item x="27"/>
        <item x="166"/>
        <item x="118"/>
        <item x="26"/>
        <item x="141"/>
        <item x="148"/>
        <item x="184"/>
        <item x="86"/>
        <item x="218"/>
        <item x="32"/>
        <item x="111"/>
        <item x="137"/>
        <item x="187"/>
        <item x="154"/>
        <item x="3"/>
        <item x="24"/>
        <item x="7"/>
        <item x="197"/>
        <item x="159"/>
        <item x="125"/>
        <item x="28"/>
        <item x="171"/>
        <item x="21"/>
        <item x="105"/>
        <item x="74"/>
        <item x="116"/>
        <item x="180"/>
        <item x="138"/>
        <item x="208"/>
        <item x="172"/>
        <item x="202"/>
        <item x="43"/>
        <item x="162"/>
        <item x="89"/>
        <item x="132"/>
        <item x="64"/>
        <item x="75"/>
        <item x="157"/>
        <item x="71"/>
        <item x="73"/>
        <item x="200"/>
        <item x="54"/>
        <item x="95"/>
        <item x="18"/>
        <item x="211"/>
        <item x="110"/>
        <item x="60"/>
        <item x="189"/>
        <item x="97"/>
        <item x="204"/>
        <item x="193"/>
        <item x="22"/>
        <item x="153"/>
        <item x="13"/>
        <item x="160"/>
        <item x="44"/>
        <item x="77"/>
        <item x="124"/>
        <item x="40"/>
        <item x="16"/>
        <item x="139"/>
        <item x="57"/>
        <item x="37"/>
        <item x="151"/>
        <item x="29"/>
        <item x="117"/>
        <item x="0"/>
        <item x="93"/>
        <item x="174"/>
        <item x="30"/>
        <item x="50"/>
        <item x="2"/>
        <item x="168"/>
        <item x="39"/>
        <item x="230"/>
        <item x="87"/>
        <item x="76"/>
        <item x="4"/>
        <item x="19"/>
        <item x="146"/>
        <item x="114"/>
        <item x="143"/>
        <item x="240"/>
        <item x="14"/>
        <item x="164"/>
        <item x="182"/>
        <item x="66"/>
        <item x="130"/>
        <item x="47"/>
        <item x="158"/>
        <item x="53"/>
        <item x="220"/>
        <item x="201"/>
        <item x="59"/>
        <item x="80"/>
        <item x="67"/>
        <item x="150"/>
        <item x="69"/>
        <item x="23"/>
        <item x="205"/>
        <item x="127"/>
        <item x="147"/>
        <item x="179"/>
        <item x="144"/>
        <item x="196"/>
        <item x="216"/>
        <item x="99"/>
        <item x="134"/>
        <item x="68"/>
        <item x="58"/>
        <item x="42"/>
        <item x="163"/>
        <item x="5"/>
        <item x="62"/>
        <item x="233"/>
        <item x="177"/>
        <item x="90"/>
        <item x="82"/>
        <item x="108"/>
        <item x="88"/>
        <item x="131"/>
        <item x="198"/>
        <item x="9"/>
        <item x="228"/>
        <item x="41"/>
        <item x="20"/>
        <item x="169"/>
        <item x="217"/>
        <item x="206"/>
        <item x="186"/>
        <item x="119"/>
        <item x="175"/>
        <item x="149"/>
        <item x="92"/>
        <item x="8"/>
        <item x="35"/>
        <item x="219"/>
        <item x="48"/>
        <item x="78"/>
        <item x="142"/>
        <item x="152"/>
        <item x="45"/>
        <item x="145"/>
        <item x="122"/>
        <item x="81"/>
        <item x="223"/>
        <item x="128"/>
        <item x="225"/>
        <item x="79"/>
        <item x="100"/>
        <item x="10"/>
        <item x="210"/>
        <item x="11"/>
        <item x="1"/>
        <item x="61"/>
        <item x="12"/>
        <item x="102"/>
        <item x="36"/>
        <item x="113"/>
        <item x="38"/>
        <item x="56"/>
        <item x="34"/>
        <item x="224"/>
        <item x="109"/>
        <item x="192"/>
        <item x="229"/>
        <item x="106"/>
        <item x="63"/>
        <item x="98"/>
        <item x="84"/>
        <item x="83"/>
        <item x="65"/>
        <item x="46"/>
        <item x="194"/>
        <item x="51"/>
        <item x="115"/>
        <item x="178"/>
        <item x="107"/>
        <item x="156"/>
        <item x="120"/>
        <item x="231"/>
        <item x="155"/>
        <item x="72"/>
        <item x="165"/>
        <item x="133"/>
        <item x="239"/>
        <item x="242"/>
        <item x="94"/>
        <item x="140"/>
        <item x="226"/>
        <item x="195"/>
        <item x="85"/>
        <item x="232"/>
        <item x="181"/>
        <item x="212"/>
        <item x="25"/>
        <item x="31"/>
        <item x="103"/>
        <item x="176"/>
        <item x="55"/>
        <item x="188"/>
        <item x="185"/>
        <item x="236"/>
        <item x="136"/>
        <item x="161"/>
        <item x="91"/>
        <item x="112"/>
        <item x="227"/>
        <item x="203"/>
        <item x="215"/>
        <item x="214"/>
        <item x="191"/>
        <item x="135"/>
        <item x="213"/>
        <item x="33"/>
        <item x="241"/>
        <item x="52"/>
        <item x="167"/>
        <item x="234"/>
        <item x="126"/>
        <item x="222"/>
        <item t="default"/>
      </items>
    </pivotField>
    <pivotField numFmtId="8" showAll="0"/>
    <pivotField numFmtId="8" showAll="0"/>
    <pivotField numFmtId="8" showAll="0"/>
    <pivotField numFmtId="10" showAll="0"/>
    <pivotField numFmtId="8" showAll="0"/>
    <pivotField numFmtId="8" showAll="0"/>
    <pivotField numFmtId="8" showAll="0"/>
    <pivotField showAll="0"/>
  </pivotFields>
  <rowItems count="1">
    <i/>
  </rowItems>
  <colFields count="1">
    <field x="2"/>
  </colFields>
  <colItems count="6">
    <i>
      <x/>
    </i>
    <i>
      <x v="12"/>
    </i>
    <i>
      <x v="4"/>
    </i>
    <i>
      <x v="9"/>
    </i>
    <i>
      <x v="5"/>
    </i>
    <i t="grand">
      <x/>
    </i>
  </colItems>
  <dataFields count="1">
    <dataField name="Sum of Sales" fld="11" baseField="0" baseItem="0" numFmtId="8"/>
  </dataFields>
  <formats count="12">
    <format dxfId="35">
      <pivotArea outline="0" collapsedLevelsAreSubtotals="1" fieldPosition="0"/>
    </format>
    <format dxfId="34">
      <pivotArea dataOnly="0" labelOnly="1" fieldPosition="0">
        <references count="1">
          <reference field="2" count="5">
            <x v="0"/>
            <x v="4"/>
            <x v="5"/>
            <x v="9"/>
            <x v="12"/>
          </reference>
        </references>
      </pivotArea>
    </format>
    <format dxfId="33">
      <pivotArea dataOnly="0" labelOnly="1" grandCol="1" outline="0" fieldPosition="0"/>
    </format>
    <format dxfId="32">
      <pivotArea outline="0" collapsedLevelsAreSubtotals="1" fieldPosition="0"/>
    </format>
    <format dxfId="31">
      <pivotArea dataOnly="0" labelOnly="1" fieldPosition="0">
        <references count="1">
          <reference field="2" count="5">
            <x v="0"/>
            <x v="4"/>
            <x v="5"/>
            <x v="9"/>
            <x v="12"/>
          </reference>
        </references>
      </pivotArea>
    </format>
    <format dxfId="30">
      <pivotArea dataOnly="0" labelOnly="1" grandCol="1" outline="0" fieldPosition="0"/>
    </format>
    <format dxfId="29">
      <pivotArea outline="0" collapsedLevelsAreSubtotals="1" fieldPosition="0"/>
    </format>
    <format dxfId="28">
      <pivotArea dataOnly="0" labelOnly="1" fieldPosition="0">
        <references count="1">
          <reference field="2" count="5">
            <x v="0"/>
            <x v="4"/>
            <x v="5"/>
            <x v="9"/>
            <x v="12"/>
          </reference>
        </references>
      </pivotArea>
    </format>
    <format dxfId="27">
      <pivotArea dataOnly="0" labelOnly="1" grandCol="1" outline="0" fieldPosition="0"/>
    </format>
    <format dxfId="26">
      <pivotArea outline="0" collapsedLevelsAreSubtotals="1" fieldPosition="0"/>
    </format>
    <format dxfId="25">
      <pivotArea dataOnly="0" labelOnly="1" fieldPosition="0">
        <references count="1">
          <reference field="2" count="5">
            <x v="0"/>
            <x v="4"/>
            <x v="5"/>
            <x v="9"/>
            <x v="12"/>
          </reference>
        </references>
      </pivotArea>
    </format>
    <format dxfId="24">
      <pivotArea dataOnly="0" labelOnly="1" grandCol="1" outline="0" fieldPosition="0"/>
    </format>
  </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5362D2-80DE-4EF0-A5E8-0A3CF6CFC599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7:H29" firstHeaderRow="1" firstDataRow="2" firstDataCol="1"/>
  <pivotFields count="21">
    <pivotField showAll="0"/>
    <pivotField numFmtId="14" showAll="0"/>
    <pivotField showAll="0"/>
    <pivotField showAll="0"/>
    <pivotField showAll="0"/>
    <pivotField showAll="0"/>
    <pivotField showAll="0"/>
    <pivotField showAll="0">
      <items count="5">
        <item x="1"/>
        <item x="3"/>
        <item x="2"/>
        <item x="0"/>
        <item t="default"/>
      </items>
    </pivotField>
    <pivotField axis="axisCol" showAll="0" measureFilter="1" sortType="descending">
      <items count="14">
        <item x="12"/>
        <item x="8"/>
        <item x="4"/>
        <item x="7"/>
        <item x="3"/>
        <item x="11"/>
        <item x="6"/>
        <item x="0"/>
        <item x="5"/>
        <item x="2"/>
        <item x="9"/>
        <item x="1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numFmtId="8" showAll="0" sortType="descending">
      <items count="244">
        <item x="222"/>
        <item x="126"/>
        <item x="234"/>
        <item x="167"/>
        <item x="52"/>
        <item x="241"/>
        <item x="33"/>
        <item x="213"/>
        <item x="135"/>
        <item x="191"/>
        <item x="214"/>
        <item x="215"/>
        <item x="203"/>
        <item x="227"/>
        <item x="112"/>
        <item x="91"/>
        <item x="161"/>
        <item x="136"/>
        <item x="236"/>
        <item x="185"/>
        <item x="188"/>
        <item x="55"/>
        <item x="176"/>
        <item x="103"/>
        <item x="31"/>
        <item x="25"/>
        <item x="212"/>
        <item x="181"/>
        <item x="232"/>
        <item x="85"/>
        <item x="195"/>
        <item x="226"/>
        <item x="140"/>
        <item x="94"/>
        <item x="242"/>
        <item x="239"/>
        <item x="133"/>
        <item x="165"/>
        <item x="72"/>
        <item x="155"/>
        <item x="231"/>
        <item x="120"/>
        <item x="156"/>
        <item x="107"/>
        <item x="178"/>
        <item x="115"/>
        <item x="51"/>
        <item x="194"/>
        <item x="46"/>
        <item x="65"/>
        <item x="83"/>
        <item x="84"/>
        <item x="98"/>
        <item x="63"/>
        <item x="106"/>
        <item x="229"/>
        <item x="192"/>
        <item x="109"/>
        <item x="224"/>
        <item x="34"/>
        <item x="56"/>
        <item x="38"/>
        <item x="113"/>
        <item x="36"/>
        <item x="102"/>
        <item x="12"/>
        <item x="61"/>
        <item x="1"/>
        <item x="11"/>
        <item x="210"/>
        <item x="10"/>
        <item x="100"/>
        <item x="79"/>
        <item x="225"/>
        <item x="128"/>
        <item x="223"/>
        <item x="81"/>
        <item x="122"/>
        <item x="145"/>
        <item x="45"/>
        <item x="152"/>
        <item x="142"/>
        <item x="78"/>
        <item x="48"/>
        <item x="219"/>
        <item x="35"/>
        <item x="8"/>
        <item x="92"/>
        <item x="149"/>
        <item x="175"/>
        <item x="119"/>
        <item x="186"/>
        <item x="206"/>
        <item x="217"/>
        <item x="169"/>
        <item x="20"/>
        <item x="41"/>
        <item x="228"/>
        <item x="9"/>
        <item x="198"/>
        <item x="131"/>
        <item x="88"/>
        <item x="108"/>
        <item x="82"/>
        <item x="90"/>
        <item x="177"/>
        <item x="233"/>
        <item x="62"/>
        <item x="5"/>
        <item x="163"/>
        <item x="42"/>
        <item x="58"/>
        <item x="68"/>
        <item x="134"/>
        <item x="99"/>
        <item x="216"/>
        <item x="196"/>
        <item x="144"/>
        <item x="179"/>
        <item x="147"/>
        <item x="127"/>
        <item x="205"/>
        <item x="23"/>
        <item x="69"/>
        <item x="150"/>
        <item x="67"/>
        <item x="80"/>
        <item x="59"/>
        <item x="201"/>
        <item x="220"/>
        <item x="53"/>
        <item x="158"/>
        <item x="47"/>
        <item x="130"/>
        <item x="66"/>
        <item x="182"/>
        <item x="164"/>
        <item x="14"/>
        <item x="240"/>
        <item x="143"/>
        <item x="114"/>
        <item x="146"/>
        <item x="19"/>
        <item x="4"/>
        <item x="76"/>
        <item x="87"/>
        <item x="230"/>
        <item x="39"/>
        <item x="168"/>
        <item x="2"/>
        <item x="50"/>
        <item x="30"/>
        <item x="174"/>
        <item x="93"/>
        <item x="0"/>
        <item x="117"/>
        <item x="29"/>
        <item x="151"/>
        <item x="37"/>
        <item x="57"/>
        <item x="139"/>
        <item x="16"/>
        <item x="40"/>
        <item x="124"/>
        <item x="77"/>
        <item x="44"/>
        <item x="160"/>
        <item x="13"/>
        <item x="153"/>
        <item x="22"/>
        <item x="193"/>
        <item x="204"/>
        <item x="97"/>
        <item x="189"/>
        <item x="60"/>
        <item x="110"/>
        <item x="211"/>
        <item x="18"/>
        <item x="95"/>
        <item x="54"/>
        <item x="200"/>
        <item x="73"/>
        <item x="71"/>
        <item x="157"/>
        <item x="75"/>
        <item x="64"/>
        <item x="132"/>
        <item x="89"/>
        <item x="162"/>
        <item x="43"/>
        <item x="202"/>
        <item x="172"/>
        <item x="208"/>
        <item x="138"/>
        <item x="180"/>
        <item x="116"/>
        <item x="74"/>
        <item x="105"/>
        <item x="21"/>
        <item x="171"/>
        <item x="28"/>
        <item x="125"/>
        <item x="159"/>
        <item x="197"/>
        <item x="7"/>
        <item x="24"/>
        <item x="3"/>
        <item x="154"/>
        <item x="187"/>
        <item x="137"/>
        <item x="111"/>
        <item x="32"/>
        <item x="218"/>
        <item x="86"/>
        <item x="184"/>
        <item x="148"/>
        <item x="141"/>
        <item x="26"/>
        <item x="118"/>
        <item x="166"/>
        <item x="27"/>
        <item x="170"/>
        <item x="17"/>
        <item x="96"/>
        <item x="6"/>
        <item x="15"/>
        <item x="190"/>
        <item x="129"/>
        <item x="123"/>
        <item x="101"/>
        <item x="104"/>
        <item x="70"/>
        <item x="121"/>
        <item x="235"/>
        <item x="237"/>
        <item x="207"/>
        <item x="183"/>
        <item x="199"/>
        <item x="173"/>
        <item x="221"/>
        <item x="49"/>
        <item x="209"/>
        <item x="238"/>
        <item t="default"/>
      </items>
    </pivotField>
    <pivotField numFmtId="8" showAll="0"/>
    <pivotField numFmtId="8" showAll="0"/>
    <pivotField numFmtId="8" showAll="0"/>
    <pivotField numFmtId="10" showAll="0"/>
    <pivotField numFmtId="8" showAll="0"/>
    <pivotField numFmtId="8" showAll="0"/>
    <pivotField numFmtId="8" showAll="0"/>
    <pivotField showAll="0"/>
  </pivotFields>
  <rowItems count="1">
    <i/>
  </rowItems>
  <colFields count="1">
    <field x="8"/>
  </colFields>
  <colItems count="6">
    <i>
      <x v="8"/>
    </i>
    <i>
      <x v="2"/>
    </i>
    <i>
      <x v="10"/>
    </i>
    <i>
      <x v="9"/>
    </i>
    <i>
      <x v="6"/>
    </i>
    <i t="grand">
      <x/>
    </i>
  </colItems>
  <dataFields count="1">
    <dataField name="Sum of Sales" fld="12" baseField="8" baseItem="0" numFmtId="8"/>
  </dataFields>
  <formats count="6">
    <format dxfId="23">
      <pivotArea outline="0" collapsedLevelsAreSubtotals="1" fieldPosition="0"/>
    </format>
    <format dxfId="22">
      <pivotArea dataOnly="0" labelOnly="1" fieldPosition="0">
        <references count="1">
          <reference field="8" count="5">
            <x v="2"/>
            <x v="6"/>
            <x v="8"/>
            <x v="9"/>
            <x v="10"/>
          </reference>
        </references>
      </pivotArea>
    </format>
    <format dxfId="21">
      <pivotArea dataOnly="0" labelOnly="1" grandCol="1" outline="0" fieldPosition="0"/>
    </format>
    <format dxfId="20">
      <pivotArea outline="0" collapsedLevelsAreSubtotals="1" fieldPosition="0"/>
    </format>
    <format dxfId="19">
      <pivotArea dataOnly="0" labelOnly="1" fieldPosition="0">
        <references count="1">
          <reference field="8" count="5">
            <x v="2"/>
            <x v="6"/>
            <x v="8"/>
            <x v="9"/>
            <x v="10"/>
          </reference>
        </references>
      </pivotArea>
    </format>
    <format dxfId="18">
      <pivotArea dataOnly="0" labelOnly="1" grandCol="1" outline="0" fieldPosition="0"/>
    </format>
  </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F9DA6-BE61-4075-8FD8-43F9A777062F}">
  <dimension ref="A1:V1063"/>
  <sheetViews>
    <sheetView workbookViewId="0">
      <selection activeCell="B1063" sqref="B1063"/>
    </sheetView>
  </sheetViews>
  <sheetFormatPr defaultRowHeight="15" x14ac:dyDescent="0.25"/>
  <cols>
    <col min="2" max="2" width="19.85546875" style="1" customWidth="1"/>
    <col min="21" max="21" width="18.7109375" customWidth="1"/>
  </cols>
  <sheetData>
    <row r="1" spans="1:22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s="1">
        <v>45292</v>
      </c>
      <c r="C2">
        <v>715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>
        <v>454</v>
      </c>
      <c r="L2">
        <v>15</v>
      </c>
      <c r="M2" s="2">
        <v>128</v>
      </c>
      <c r="N2" s="2">
        <v>49</v>
      </c>
      <c r="O2" s="2">
        <v>38</v>
      </c>
      <c r="P2" s="2">
        <v>49</v>
      </c>
      <c r="Q2" s="3">
        <v>0.38279999999999997</v>
      </c>
      <c r="R2" s="2">
        <v>90</v>
      </c>
      <c r="S2" s="2">
        <v>40</v>
      </c>
      <c r="T2" s="2">
        <v>20</v>
      </c>
      <c r="U2" s="3">
        <v>0.22220000000000001</v>
      </c>
      <c r="V2" s="2">
        <v>29</v>
      </c>
    </row>
    <row r="3" spans="1:22" x14ac:dyDescent="0.25">
      <c r="A3" t="s">
        <v>30</v>
      </c>
      <c r="B3" s="1">
        <v>45292</v>
      </c>
      <c r="C3">
        <v>719</v>
      </c>
      <c r="D3" t="s">
        <v>31</v>
      </c>
      <c r="E3" t="s">
        <v>24</v>
      </c>
      <c r="F3" t="s">
        <v>32</v>
      </c>
      <c r="G3" t="s">
        <v>33</v>
      </c>
      <c r="H3" t="s">
        <v>34</v>
      </c>
      <c r="I3" t="s">
        <v>35</v>
      </c>
      <c r="J3" t="s">
        <v>29</v>
      </c>
      <c r="K3">
        <v>959</v>
      </c>
      <c r="L3">
        <v>34</v>
      </c>
      <c r="M3" s="2">
        <v>302</v>
      </c>
      <c r="N3" s="2">
        <v>123</v>
      </c>
      <c r="O3" s="2">
        <v>45</v>
      </c>
      <c r="P3" s="2">
        <v>134</v>
      </c>
      <c r="Q3" s="3">
        <v>0.44369999999999998</v>
      </c>
      <c r="R3" s="2">
        <v>290</v>
      </c>
      <c r="S3" s="2">
        <v>120</v>
      </c>
      <c r="T3" s="2">
        <v>130</v>
      </c>
      <c r="U3" s="3">
        <v>0.44829999999999998</v>
      </c>
      <c r="V3" s="2">
        <v>4</v>
      </c>
    </row>
    <row r="4" spans="1:22" x14ac:dyDescent="0.25">
      <c r="A4" t="s">
        <v>36</v>
      </c>
      <c r="B4" s="1">
        <v>45292</v>
      </c>
      <c r="C4">
        <v>309</v>
      </c>
      <c r="D4" t="s">
        <v>37</v>
      </c>
      <c r="E4" t="s">
        <v>24</v>
      </c>
      <c r="F4" t="s">
        <v>32</v>
      </c>
      <c r="G4" t="s">
        <v>26</v>
      </c>
      <c r="H4" t="s">
        <v>38</v>
      </c>
      <c r="I4" t="s">
        <v>39</v>
      </c>
      <c r="J4" t="s">
        <v>40</v>
      </c>
      <c r="K4">
        <v>959</v>
      </c>
      <c r="L4">
        <v>34</v>
      </c>
      <c r="M4" s="2">
        <v>302</v>
      </c>
      <c r="N4" s="2">
        <v>123</v>
      </c>
      <c r="O4" s="2">
        <v>46</v>
      </c>
      <c r="P4" s="2">
        <v>133</v>
      </c>
      <c r="Q4" s="3">
        <v>0.44040000000000001</v>
      </c>
      <c r="R4" s="2">
        <v>280</v>
      </c>
      <c r="S4" s="2">
        <v>110</v>
      </c>
      <c r="T4" s="2">
        <v>130</v>
      </c>
      <c r="U4" s="3">
        <v>0.46429999999999999</v>
      </c>
      <c r="V4" s="2">
        <v>3</v>
      </c>
    </row>
    <row r="5" spans="1:22" x14ac:dyDescent="0.25">
      <c r="A5" t="s">
        <v>41</v>
      </c>
      <c r="B5" s="1">
        <v>45293</v>
      </c>
      <c r="C5">
        <v>719</v>
      </c>
      <c r="D5" t="s">
        <v>31</v>
      </c>
      <c r="E5" t="s">
        <v>24</v>
      </c>
      <c r="F5" t="s">
        <v>32</v>
      </c>
      <c r="G5" t="s">
        <v>26</v>
      </c>
      <c r="H5" t="s">
        <v>27</v>
      </c>
      <c r="I5" t="s">
        <v>42</v>
      </c>
      <c r="J5" t="s">
        <v>29</v>
      </c>
      <c r="K5">
        <v>1042</v>
      </c>
      <c r="L5">
        <v>17</v>
      </c>
      <c r="M5" s="2">
        <v>133</v>
      </c>
      <c r="N5" s="2">
        <v>57</v>
      </c>
      <c r="O5" s="2">
        <v>39</v>
      </c>
      <c r="P5" s="2">
        <v>43</v>
      </c>
      <c r="Q5" s="3">
        <v>0.32329999999999998</v>
      </c>
      <c r="R5" s="2">
        <v>100</v>
      </c>
      <c r="S5" s="2">
        <v>40</v>
      </c>
      <c r="T5" s="2">
        <v>30</v>
      </c>
      <c r="U5" s="3">
        <v>0.3</v>
      </c>
      <c r="V5" s="2">
        <v>13</v>
      </c>
    </row>
    <row r="6" spans="1:22" x14ac:dyDescent="0.25">
      <c r="A6" t="s">
        <v>43</v>
      </c>
      <c r="B6" s="1">
        <v>45293</v>
      </c>
      <c r="C6">
        <v>505</v>
      </c>
      <c r="D6" t="s">
        <v>44</v>
      </c>
      <c r="E6" t="s">
        <v>45</v>
      </c>
      <c r="F6" t="s">
        <v>25</v>
      </c>
      <c r="G6" t="s">
        <v>26</v>
      </c>
      <c r="H6" t="s">
        <v>38</v>
      </c>
      <c r="I6" t="s">
        <v>46</v>
      </c>
      <c r="J6" t="s">
        <v>40</v>
      </c>
      <c r="K6">
        <v>1000</v>
      </c>
      <c r="L6">
        <v>9</v>
      </c>
      <c r="M6" s="2">
        <v>72</v>
      </c>
      <c r="N6" s="2">
        <v>31</v>
      </c>
      <c r="O6" s="2">
        <v>31</v>
      </c>
      <c r="P6" s="2">
        <v>9</v>
      </c>
      <c r="Q6" s="3">
        <v>0.125</v>
      </c>
      <c r="R6" s="2">
        <v>50</v>
      </c>
      <c r="S6" s="2">
        <v>10</v>
      </c>
      <c r="T6" s="2">
        <v>30</v>
      </c>
      <c r="U6" s="3">
        <v>0.6</v>
      </c>
      <c r="V6" s="2">
        <v>-21</v>
      </c>
    </row>
    <row r="7" spans="1:22" x14ac:dyDescent="0.25">
      <c r="A7" t="s">
        <v>47</v>
      </c>
      <c r="B7" s="1">
        <v>45294</v>
      </c>
      <c r="C7">
        <v>262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42</v>
      </c>
      <c r="J7" t="s">
        <v>29</v>
      </c>
      <c r="K7">
        <v>627</v>
      </c>
      <c r="L7">
        <v>49</v>
      </c>
      <c r="M7" s="2">
        <v>140</v>
      </c>
      <c r="N7" s="2">
        <v>55</v>
      </c>
      <c r="O7" s="2">
        <v>79</v>
      </c>
      <c r="P7" s="2">
        <v>-4</v>
      </c>
      <c r="Q7" s="3">
        <v>-2.86E-2</v>
      </c>
      <c r="R7" s="2">
        <v>100</v>
      </c>
      <c r="S7" s="2">
        <v>40</v>
      </c>
      <c r="T7" s="2">
        <v>0</v>
      </c>
      <c r="U7" s="3">
        <v>0</v>
      </c>
      <c r="V7" s="2">
        <v>-4</v>
      </c>
    </row>
    <row r="8" spans="1:22" x14ac:dyDescent="0.25">
      <c r="A8" t="s">
        <v>48</v>
      </c>
      <c r="B8" s="1">
        <v>45294</v>
      </c>
      <c r="C8">
        <v>985</v>
      </c>
      <c r="D8" t="s">
        <v>49</v>
      </c>
      <c r="E8" t="s">
        <v>45</v>
      </c>
      <c r="F8" t="s">
        <v>25</v>
      </c>
      <c r="G8" t="s">
        <v>33</v>
      </c>
      <c r="H8" t="s">
        <v>34</v>
      </c>
      <c r="I8" t="s">
        <v>50</v>
      </c>
      <c r="J8" t="s">
        <v>29</v>
      </c>
      <c r="K8">
        <v>845</v>
      </c>
      <c r="L8">
        <v>13</v>
      </c>
      <c r="M8" s="2">
        <v>128</v>
      </c>
      <c r="N8" s="2">
        <v>49</v>
      </c>
      <c r="O8" s="2">
        <v>25</v>
      </c>
      <c r="P8" s="2">
        <v>68</v>
      </c>
      <c r="Q8" s="3">
        <v>0.53129999999999999</v>
      </c>
      <c r="R8" s="2">
        <v>140</v>
      </c>
      <c r="S8" s="2">
        <v>50</v>
      </c>
      <c r="T8" s="2">
        <v>70</v>
      </c>
      <c r="U8" s="3">
        <v>0.5</v>
      </c>
      <c r="V8" s="2">
        <v>-2</v>
      </c>
    </row>
    <row r="9" spans="1:22" x14ac:dyDescent="0.25">
      <c r="A9" t="s">
        <v>51</v>
      </c>
      <c r="B9" s="1">
        <v>45295</v>
      </c>
      <c r="C9">
        <v>360</v>
      </c>
      <c r="D9" t="s">
        <v>52</v>
      </c>
      <c r="E9" t="s">
        <v>53</v>
      </c>
      <c r="F9" t="s">
        <v>25</v>
      </c>
      <c r="G9" t="s">
        <v>33</v>
      </c>
      <c r="H9" t="s">
        <v>54</v>
      </c>
      <c r="I9" t="s">
        <v>55</v>
      </c>
      <c r="J9" t="s">
        <v>40</v>
      </c>
      <c r="K9">
        <v>1079</v>
      </c>
      <c r="L9">
        <v>24</v>
      </c>
      <c r="M9" s="2">
        <v>188</v>
      </c>
      <c r="N9" s="2">
        <v>80</v>
      </c>
      <c r="O9" s="2">
        <v>45</v>
      </c>
      <c r="P9" s="2">
        <v>76</v>
      </c>
      <c r="Q9" s="3">
        <v>0.40429999999999999</v>
      </c>
      <c r="R9" s="2">
        <v>170</v>
      </c>
      <c r="S9" s="2">
        <v>70</v>
      </c>
      <c r="T9" s="2">
        <v>60</v>
      </c>
      <c r="U9" s="3">
        <v>0.35289999999999999</v>
      </c>
      <c r="V9" s="2">
        <v>16</v>
      </c>
    </row>
    <row r="10" spans="1:22" x14ac:dyDescent="0.25">
      <c r="A10" t="s">
        <v>56</v>
      </c>
      <c r="B10" s="1">
        <v>45296</v>
      </c>
      <c r="C10">
        <v>715</v>
      </c>
      <c r="D10" t="s">
        <v>23</v>
      </c>
      <c r="E10" t="s">
        <v>24</v>
      </c>
      <c r="F10" t="s">
        <v>25</v>
      </c>
      <c r="G10" t="s">
        <v>33</v>
      </c>
      <c r="H10" t="s">
        <v>54</v>
      </c>
      <c r="I10" t="s">
        <v>55</v>
      </c>
      <c r="J10" t="s">
        <v>40</v>
      </c>
      <c r="K10">
        <v>573</v>
      </c>
      <c r="L10">
        <v>7</v>
      </c>
      <c r="M10" s="2">
        <v>51</v>
      </c>
      <c r="N10" s="2">
        <v>22</v>
      </c>
      <c r="O10" s="2">
        <v>19</v>
      </c>
      <c r="P10" s="2">
        <v>10</v>
      </c>
      <c r="Q10" s="3">
        <v>0.1961</v>
      </c>
      <c r="R10" s="2">
        <v>70</v>
      </c>
      <c r="S10" s="2">
        <v>20</v>
      </c>
      <c r="T10" s="2">
        <v>50</v>
      </c>
      <c r="U10" s="3">
        <v>0.71430000000000005</v>
      </c>
      <c r="V10" s="2">
        <v>-40</v>
      </c>
    </row>
    <row r="11" spans="1:22" x14ac:dyDescent="0.25">
      <c r="A11" t="s">
        <v>57</v>
      </c>
      <c r="B11" s="1">
        <v>45296</v>
      </c>
      <c r="C11">
        <v>314</v>
      </c>
      <c r="D11" t="s">
        <v>58</v>
      </c>
      <c r="E11" t="s">
        <v>24</v>
      </c>
      <c r="F11" t="s">
        <v>25</v>
      </c>
      <c r="G11" t="s">
        <v>26</v>
      </c>
      <c r="H11" t="s">
        <v>27</v>
      </c>
      <c r="I11" t="s">
        <v>59</v>
      </c>
      <c r="J11" t="s">
        <v>29</v>
      </c>
      <c r="K11">
        <v>243</v>
      </c>
      <c r="L11">
        <v>12</v>
      </c>
      <c r="M11" s="2">
        <v>74</v>
      </c>
      <c r="N11" s="2">
        <v>33</v>
      </c>
      <c r="O11" s="2">
        <v>45</v>
      </c>
      <c r="P11" s="2">
        <v>-4</v>
      </c>
      <c r="Q11" s="3">
        <v>-5.4100000000000002E-2</v>
      </c>
      <c r="R11" s="2">
        <v>60</v>
      </c>
      <c r="S11" s="2">
        <v>20</v>
      </c>
      <c r="T11" s="2">
        <v>0</v>
      </c>
      <c r="U11" s="3">
        <v>0</v>
      </c>
      <c r="V11" s="2">
        <v>-4</v>
      </c>
    </row>
    <row r="12" spans="1:22" x14ac:dyDescent="0.25">
      <c r="A12" t="s">
        <v>60</v>
      </c>
      <c r="B12" s="1">
        <v>45296</v>
      </c>
      <c r="C12">
        <v>985</v>
      </c>
      <c r="D12" t="s">
        <v>49</v>
      </c>
      <c r="E12" t="s">
        <v>45</v>
      </c>
      <c r="F12" t="s">
        <v>25</v>
      </c>
      <c r="G12" t="s">
        <v>26</v>
      </c>
      <c r="H12" t="s">
        <v>38</v>
      </c>
      <c r="I12" t="s">
        <v>39</v>
      </c>
      <c r="J12" t="s">
        <v>40</v>
      </c>
      <c r="K12">
        <v>540</v>
      </c>
      <c r="L12">
        <v>31</v>
      </c>
      <c r="M12" s="2">
        <v>228</v>
      </c>
      <c r="N12" s="2">
        <v>94</v>
      </c>
      <c r="O12" s="2">
        <v>43</v>
      </c>
      <c r="P12" s="2">
        <v>114</v>
      </c>
      <c r="Q12" s="3">
        <v>0.5</v>
      </c>
      <c r="R12" s="2">
        <v>190</v>
      </c>
      <c r="S12" s="2">
        <v>80</v>
      </c>
      <c r="T12" s="2">
        <v>70</v>
      </c>
      <c r="U12" s="3">
        <v>0.36840000000000001</v>
      </c>
      <c r="V12" s="2">
        <v>44</v>
      </c>
    </row>
    <row r="13" spans="1:22" x14ac:dyDescent="0.25">
      <c r="A13" t="s">
        <v>61</v>
      </c>
      <c r="B13" s="1">
        <v>45298</v>
      </c>
      <c r="C13">
        <v>209</v>
      </c>
      <c r="D13" t="s">
        <v>62</v>
      </c>
      <c r="E13" t="s">
        <v>53</v>
      </c>
      <c r="F13" t="s">
        <v>32</v>
      </c>
      <c r="G13" t="s">
        <v>26</v>
      </c>
      <c r="H13" t="s">
        <v>27</v>
      </c>
      <c r="I13" t="s">
        <v>59</v>
      </c>
      <c r="J13" t="s">
        <v>29</v>
      </c>
      <c r="K13">
        <v>659</v>
      </c>
      <c r="L13">
        <v>24</v>
      </c>
      <c r="M13" s="2">
        <v>201</v>
      </c>
      <c r="N13" s="2">
        <v>75</v>
      </c>
      <c r="O13" s="2">
        <v>55</v>
      </c>
      <c r="P13" s="2">
        <v>88</v>
      </c>
      <c r="Q13" s="3">
        <v>0.43780000000000002</v>
      </c>
      <c r="R13" s="2">
        <v>130</v>
      </c>
      <c r="S13" s="2">
        <v>50</v>
      </c>
      <c r="T13" s="2">
        <v>40</v>
      </c>
      <c r="U13" s="3">
        <v>0.30769999999999997</v>
      </c>
      <c r="V13" s="2">
        <v>48</v>
      </c>
    </row>
    <row r="14" spans="1:22" x14ac:dyDescent="0.25">
      <c r="A14" t="s">
        <v>63</v>
      </c>
      <c r="B14" s="1">
        <v>45298</v>
      </c>
      <c r="C14">
        <v>970</v>
      </c>
      <c r="D14" t="s">
        <v>31</v>
      </c>
      <c r="E14" t="s">
        <v>24</v>
      </c>
      <c r="F14" t="s">
        <v>32</v>
      </c>
      <c r="G14" t="s">
        <v>33</v>
      </c>
      <c r="H14" t="s">
        <v>34</v>
      </c>
      <c r="I14" t="s">
        <v>35</v>
      </c>
      <c r="J14" t="s">
        <v>29</v>
      </c>
      <c r="K14">
        <v>930</v>
      </c>
      <c r="L14">
        <v>33</v>
      </c>
      <c r="M14" s="2">
        <v>290</v>
      </c>
      <c r="N14" s="2">
        <v>118</v>
      </c>
      <c r="O14" s="2">
        <v>44</v>
      </c>
      <c r="P14" s="2">
        <v>128</v>
      </c>
      <c r="Q14" s="3">
        <v>0.44140000000000001</v>
      </c>
      <c r="R14" s="2">
        <v>280</v>
      </c>
      <c r="S14" s="2">
        <v>110</v>
      </c>
      <c r="T14" s="2">
        <v>130</v>
      </c>
      <c r="U14" s="3">
        <v>0.46429999999999999</v>
      </c>
      <c r="V14" s="2">
        <v>-2</v>
      </c>
    </row>
    <row r="15" spans="1:22" x14ac:dyDescent="0.25">
      <c r="A15" t="s">
        <v>64</v>
      </c>
      <c r="B15" s="1">
        <v>45298</v>
      </c>
      <c r="C15">
        <v>702</v>
      </c>
      <c r="D15" t="s">
        <v>65</v>
      </c>
      <c r="E15" t="s">
        <v>53</v>
      </c>
      <c r="F15" t="s">
        <v>25</v>
      </c>
      <c r="G15" t="s">
        <v>26</v>
      </c>
      <c r="H15" t="s">
        <v>38</v>
      </c>
      <c r="I15" t="s">
        <v>66</v>
      </c>
      <c r="J15" t="s">
        <v>40</v>
      </c>
      <c r="K15">
        <v>789</v>
      </c>
      <c r="L15">
        <v>39</v>
      </c>
      <c r="M15" s="2">
        <v>298</v>
      </c>
      <c r="N15" s="2">
        <v>122</v>
      </c>
      <c r="O15" s="2">
        <v>62</v>
      </c>
      <c r="P15" s="2">
        <v>114</v>
      </c>
      <c r="Q15" s="3">
        <v>0.3826</v>
      </c>
      <c r="R15" s="2">
        <v>240</v>
      </c>
      <c r="S15" s="2">
        <v>90</v>
      </c>
      <c r="T15" s="2">
        <v>130</v>
      </c>
      <c r="U15" s="3">
        <v>0.54169999999999996</v>
      </c>
      <c r="V15" s="2">
        <v>-16</v>
      </c>
    </row>
    <row r="16" spans="1:22" x14ac:dyDescent="0.25">
      <c r="A16" t="s">
        <v>67</v>
      </c>
      <c r="B16" s="1">
        <v>45298</v>
      </c>
      <c r="C16">
        <v>916</v>
      </c>
      <c r="D16" t="s">
        <v>62</v>
      </c>
      <c r="E16" t="s">
        <v>53</v>
      </c>
      <c r="F16" t="s">
        <v>32</v>
      </c>
      <c r="G16" t="s">
        <v>33</v>
      </c>
      <c r="H16" t="s">
        <v>54</v>
      </c>
      <c r="I16" t="s">
        <v>68</v>
      </c>
      <c r="J16" t="s">
        <v>29</v>
      </c>
      <c r="K16">
        <v>912</v>
      </c>
      <c r="L16">
        <v>109</v>
      </c>
      <c r="M16" s="2">
        <v>308</v>
      </c>
      <c r="N16" s="2">
        <v>121</v>
      </c>
      <c r="O16" s="2">
        <v>142</v>
      </c>
      <c r="P16" s="2">
        <v>39</v>
      </c>
      <c r="Q16" s="3">
        <v>0.12659999999999999</v>
      </c>
      <c r="R16" s="2">
        <v>280</v>
      </c>
      <c r="S16" s="2">
        <v>110</v>
      </c>
      <c r="T16" s="2">
        <v>40</v>
      </c>
      <c r="U16" s="3">
        <v>0.1429</v>
      </c>
      <c r="V16" s="2">
        <v>-1</v>
      </c>
    </row>
    <row r="17" spans="1:22" x14ac:dyDescent="0.25">
      <c r="A17" t="s">
        <v>69</v>
      </c>
      <c r="B17" s="1">
        <v>45299</v>
      </c>
      <c r="C17">
        <v>920</v>
      </c>
      <c r="D17" t="s">
        <v>23</v>
      </c>
      <c r="E17" t="s">
        <v>24</v>
      </c>
      <c r="F17" t="s">
        <v>25</v>
      </c>
      <c r="G17" t="s">
        <v>26</v>
      </c>
      <c r="H17" t="s">
        <v>38</v>
      </c>
      <c r="I17" t="s">
        <v>39</v>
      </c>
      <c r="J17" t="s">
        <v>40</v>
      </c>
      <c r="K17">
        <v>320</v>
      </c>
      <c r="L17">
        <v>12</v>
      </c>
      <c r="M17" s="2">
        <v>114</v>
      </c>
      <c r="N17" s="2">
        <v>41</v>
      </c>
      <c r="O17" s="2">
        <v>36</v>
      </c>
      <c r="P17" s="2">
        <v>45</v>
      </c>
      <c r="Q17" s="3">
        <v>0.3947</v>
      </c>
      <c r="R17" s="2">
        <v>90</v>
      </c>
      <c r="S17" s="2">
        <v>30</v>
      </c>
      <c r="T17" s="2">
        <v>30</v>
      </c>
      <c r="U17" s="3">
        <v>0.33329999999999999</v>
      </c>
      <c r="V17" s="2">
        <v>15</v>
      </c>
    </row>
    <row r="18" spans="1:22" x14ac:dyDescent="0.25">
      <c r="A18" t="s">
        <v>70</v>
      </c>
      <c r="B18" s="1">
        <v>45300</v>
      </c>
      <c r="C18">
        <v>971</v>
      </c>
      <c r="D18" t="s">
        <v>71</v>
      </c>
      <c r="E18" t="s">
        <v>53</v>
      </c>
      <c r="F18" t="s">
        <v>25</v>
      </c>
      <c r="G18" t="s">
        <v>33</v>
      </c>
      <c r="H18" t="s">
        <v>54</v>
      </c>
      <c r="I18" t="s">
        <v>72</v>
      </c>
      <c r="J18" t="s">
        <v>29</v>
      </c>
      <c r="K18">
        <v>404</v>
      </c>
      <c r="L18">
        <v>20</v>
      </c>
      <c r="M18" s="2">
        <v>128</v>
      </c>
      <c r="N18" s="2">
        <v>54</v>
      </c>
      <c r="O18" s="2">
        <v>54</v>
      </c>
      <c r="P18" s="2">
        <v>18</v>
      </c>
      <c r="Q18" s="3">
        <v>0.1406</v>
      </c>
      <c r="R18" s="2">
        <v>100</v>
      </c>
      <c r="S18" s="2">
        <v>40</v>
      </c>
      <c r="T18" s="2">
        <v>40</v>
      </c>
      <c r="U18" s="3">
        <v>0.4</v>
      </c>
      <c r="V18" s="2">
        <v>-22</v>
      </c>
    </row>
    <row r="19" spans="1:22" x14ac:dyDescent="0.25">
      <c r="A19" t="s">
        <v>73</v>
      </c>
      <c r="B19" s="1">
        <v>45300</v>
      </c>
      <c r="C19">
        <v>541</v>
      </c>
      <c r="D19" t="s">
        <v>71</v>
      </c>
      <c r="E19" t="s">
        <v>53</v>
      </c>
      <c r="F19" t="s">
        <v>25</v>
      </c>
      <c r="G19" t="s">
        <v>33</v>
      </c>
      <c r="H19" t="s">
        <v>54</v>
      </c>
      <c r="I19" t="s">
        <v>68</v>
      </c>
      <c r="J19" t="s">
        <v>29</v>
      </c>
      <c r="K19">
        <v>411</v>
      </c>
      <c r="L19">
        <v>19</v>
      </c>
      <c r="M19" s="2">
        <v>147</v>
      </c>
      <c r="N19" s="2">
        <v>59</v>
      </c>
      <c r="O19" s="2">
        <v>46</v>
      </c>
      <c r="P19" s="2">
        <v>49</v>
      </c>
      <c r="Q19" s="3">
        <v>0.33329999999999999</v>
      </c>
      <c r="R19" s="2">
        <v>130</v>
      </c>
      <c r="S19" s="2">
        <v>50</v>
      </c>
      <c r="T19" s="2">
        <v>50</v>
      </c>
      <c r="U19" s="3">
        <v>0.3846</v>
      </c>
      <c r="V19" s="2">
        <v>-1</v>
      </c>
    </row>
    <row r="20" spans="1:22" x14ac:dyDescent="0.25">
      <c r="A20" t="s">
        <v>74</v>
      </c>
      <c r="B20" s="1">
        <v>45300</v>
      </c>
      <c r="C20">
        <v>816</v>
      </c>
      <c r="D20" t="s">
        <v>58</v>
      </c>
      <c r="E20" t="s">
        <v>24</v>
      </c>
      <c r="F20" t="s">
        <v>25</v>
      </c>
      <c r="G20" t="s">
        <v>26</v>
      </c>
      <c r="H20" t="s">
        <v>27</v>
      </c>
      <c r="I20" t="s">
        <v>42</v>
      </c>
      <c r="J20" t="s">
        <v>29</v>
      </c>
      <c r="K20">
        <v>218</v>
      </c>
      <c r="L20">
        <v>7</v>
      </c>
      <c r="M20" s="2">
        <v>48</v>
      </c>
      <c r="N20" s="2">
        <v>20</v>
      </c>
      <c r="O20" s="2">
        <v>41</v>
      </c>
      <c r="P20" s="2">
        <v>-24</v>
      </c>
      <c r="Q20" s="3">
        <v>-0.5</v>
      </c>
      <c r="R20" s="2">
        <v>30</v>
      </c>
      <c r="S20" s="2">
        <v>10</v>
      </c>
      <c r="T20" s="2">
        <v>-10</v>
      </c>
      <c r="U20" s="3">
        <v>-0.33329999999999999</v>
      </c>
      <c r="V20" s="2">
        <v>-14</v>
      </c>
    </row>
    <row r="21" spans="1:22" x14ac:dyDescent="0.25">
      <c r="A21" t="s">
        <v>75</v>
      </c>
      <c r="B21" s="1">
        <v>45301</v>
      </c>
      <c r="C21">
        <v>806</v>
      </c>
      <c r="D21" t="s">
        <v>76</v>
      </c>
      <c r="E21" t="s">
        <v>45</v>
      </c>
      <c r="F21" t="s">
        <v>32</v>
      </c>
      <c r="G21" t="s">
        <v>26</v>
      </c>
      <c r="H21" t="s">
        <v>38</v>
      </c>
      <c r="I21" t="s">
        <v>46</v>
      </c>
      <c r="J21" t="s">
        <v>40</v>
      </c>
      <c r="K21">
        <v>424</v>
      </c>
      <c r="L21">
        <v>14</v>
      </c>
      <c r="M21" s="2">
        <v>121</v>
      </c>
      <c r="N21" s="2">
        <v>46</v>
      </c>
      <c r="O21" s="2">
        <v>37</v>
      </c>
      <c r="P21" s="2">
        <v>46</v>
      </c>
      <c r="Q21" s="3">
        <v>0.38019999999999998</v>
      </c>
      <c r="R21" s="2">
        <v>100</v>
      </c>
      <c r="S21" s="2">
        <v>40</v>
      </c>
      <c r="T21" s="2">
        <v>30</v>
      </c>
      <c r="U21" s="3">
        <v>0.3</v>
      </c>
      <c r="V21" s="2">
        <v>16</v>
      </c>
    </row>
    <row r="22" spans="1:22" x14ac:dyDescent="0.25">
      <c r="A22" t="s">
        <v>77</v>
      </c>
      <c r="B22" s="1">
        <v>45301</v>
      </c>
      <c r="C22">
        <v>413</v>
      </c>
      <c r="D22" t="s">
        <v>78</v>
      </c>
      <c r="E22" t="s">
        <v>79</v>
      </c>
      <c r="F22" t="s">
        <v>32</v>
      </c>
      <c r="G22" t="s">
        <v>26</v>
      </c>
      <c r="H22" t="s">
        <v>27</v>
      </c>
      <c r="I22" t="s">
        <v>59</v>
      </c>
      <c r="J22" t="s">
        <v>29</v>
      </c>
      <c r="K22">
        <v>480</v>
      </c>
      <c r="L22">
        <v>5</v>
      </c>
      <c r="M22" s="2">
        <v>53</v>
      </c>
      <c r="N22" s="2">
        <v>21</v>
      </c>
      <c r="O22" s="2">
        <v>17</v>
      </c>
      <c r="P22" s="2">
        <v>15</v>
      </c>
      <c r="Q22" s="3">
        <v>0.28299999999999997</v>
      </c>
      <c r="R22" s="2">
        <v>50</v>
      </c>
      <c r="S22" s="2">
        <v>20</v>
      </c>
      <c r="T22" s="2">
        <v>30</v>
      </c>
      <c r="U22" s="3">
        <v>0.6</v>
      </c>
      <c r="V22" s="2">
        <v>-15</v>
      </c>
    </row>
    <row r="23" spans="1:22" x14ac:dyDescent="0.25">
      <c r="A23" t="s">
        <v>80</v>
      </c>
      <c r="B23" s="1">
        <v>45302</v>
      </c>
      <c r="C23">
        <v>508</v>
      </c>
      <c r="D23" t="s">
        <v>78</v>
      </c>
      <c r="E23" t="s">
        <v>79</v>
      </c>
      <c r="F23" t="s">
        <v>32</v>
      </c>
      <c r="G23" t="s">
        <v>26</v>
      </c>
      <c r="H23" t="s">
        <v>38</v>
      </c>
      <c r="I23" t="s">
        <v>46</v>
      </c>
      <c r="J23" t="s">
        <v>40</v>
      </c>
      <c r="K23">
        <v>422</v>
      </c>
      <c r="L23">
        <v>17</v>
      </c>
      <c r="M23" s="2">
        <v>103</v>
      </c>
      <c r="N23" s="2">
        <v>46</v>
      </c>
      <c r="O23" s="2">
        <v>50</v>
      </c>
      <c r="P23" s="2">
        <v>7</v>
      </c>
      <c r="Q23" s="3">
        <v>6.8000000000000005E-2</v>
      </c>
      <c r="R23" s="2">
        <v>70</v>
      </c>
      <c r="S23" s="2">
        <v>30</v>
      </c>
      <c r="T23" s="2">
        <v>10</v>
      </c>
      <c r="U23" s="3">
        <v>0.1429</v>
      </c>
      <c r="V23" s="2">
        <v>-3</v>
      </c>
    </row>
    <row r="24" spans="1:22" x14ac:dyDescent="0.25">
      <c r="A24" t="s">
        <v>81</v>
      </c>
      <c r="B24" s="1">
        <v>45302</v>
      </c>
      <c r="C24">
        <v>573</v>
      </c>
      <c r="D24" t="s">
        <v>58</v>
      </c>
      <c r="E24" t="s">
        <v>24</v>
      </c>
      <c r="F24" t="s">
        <v>25</v>
      </c>
      <c r="G24" t="s">
        <v>33</v>
      </c>
      <c r="H24" t="s">
        <v>54</v>
      </c>
      <c r="I24" t="s">
        <v>68</v>
      </c>
      <c r="J24" t="s">
        <v>29</v>
      </c>
      <c r="K24">
        <v>885</v>
      </c>
      <c r="L24">
        <v>15</v>
      </c>
      <c r="M24" s="2">
        <v>141</v>
      </c>
      <c r="N24" s="2">
        <v>54</v>
      </c>
      <c r="O24" s="2">
        <v>27</v>
      </c>
      <c r="P24" s="2">
        <v>76</v>
      </c>
      <c r="Q24" s="3">
        <v>0.53900000000000003</v>
      </c>
      <c r="R24" s="2">
        <v>160</v>
      </c>
      <c r="S24" s="2">
        <v>60</v>
      </c>
      <c r="T24" s="2">
        <v>80</v>
      </c>
      <c r="U24" s="3">
        <v>0.5</v>
      </c>
      <c r="V24" s="2">
        <v>-4</v>
      </c>
    </row>
    <row r="25" spans="1:22" x14ac:dyDescent="0.25">
      <c r="A25" t="s">
        <v>82</v>
      </c>
      <c r="B25" s="1">
        <v>45302</v>
      </c>
      <c r="C25">
        <v>414</v>
      </c>
      <c r="D25" t="s">
        <v>23</v>
      </c>
      <c r="E25" t="s">
        <v>24</v>
      </c>
      <c r="F25" t="s">
        <v>25</v>
      </c>
      <c r="G25" t="s">
        <v>33</v>
      </c>
      <c r="H25" t="s">
        <v>34</v>
      </c>
      <c r="I25" t="s">
        <v>83</v>
      </c>
      <c r="J25" t="s">
        <v>40</v>
      </c>
      <c r="K25">
        <v>575</v>
      </c>
      <c r="L25">
        <v>27</v>
      </c>
      <c r="M25" s="2">
        <v>208</v>
      </c>
      <c r="N25" s="2">
        <v>83</v>
      </c>
      <c r="O25" s="2">
        <v>55</v>
      </c>
      <c r="P25" s="2">
        <v>85</v>
      </c>
      <c r="Q25" s="3">
        <v>0.40870000000000001</v>
      </c>
      <c r="R25" s="2">
        <v>190</v>
      </c>
      <c r="S25" s="2">
        <v>80</v>
      </c>
      <c r="T25" s="2">
        <v>70</v>
      </c>
      <c r="U25" s="3">
        <v>0.36840000000000001</v>
      </c>
      <c r="V25" s="2">
        <v>15</v>
      </c>
    </row>
    <row r="26" spans="1:22" x14ac:dyDescent="0.25">
      <c r="A26" t="s">
        <v>84</v>
      </c>
      <c r="B26" s="1">
        <v>45303</v>
      </c>
      <c r="C26">
        <v>937</v>
      </c>
      <c r="D26" t="s">
        <v>85</v>
      </c>
      <c r="E26" t="s">
        <v>24</v>
      </c>
      <c r="F26" t="s">
        <v>32</v>
      </c>
      <c r="G26" t="s">
        <v>26</v>
      </c>
      <c r="H26" t="s">
        <v>38</v>
      </c>
      <c r="I26" t="s">
        <v>39</v>
      </c>
      <c r="J26" t="s">
        <v>40</v>
      </c>
      <c r="K26">
        <v>482</v>
      </c>
      <c r="L26">
        <v>8</v>
      </c>
      <c r="M26" s="2">
        <v>80</v>
      </c>
      <c r="N26" s="2">
        <v>32</v>
      </c>
      <c r="O26" s="2">
        <v>19</v>
      </c>
      <c r="P26" s="2">
        <v>29</v>
      </c>
      <c r="Q26" s="3">
        <v>0.36249999999999999</v>
      </c>
      <c r="R26" s="2">
        <v>70</v>
      </c>
      <c r="S26" s="2">
        <v>30</v>
      </c>
      <c r="T26" s="2">
        <v>30</v>
      </c>
      <c r="U26" s="3">
        <v>0.42859999999999998</v>
      </c>
      <c r="V26" s="2">
        <v>-1</v>
      </c>
    </row>
    <row r="27" spans="1:22" x14ac:dyDescent="0.25">
      <c r="A27" t="s">
        <v>86</v>
      </c>
      <c r="B27" s="1">
        <v>45303</v>
      </c>
      <c r="C27">
        <v>419</v>
      </c>
      <c r="D27" t="s">
        <v>85</v>
      </c>
      <c r="E27" t="s">
        <v>24</v>
      </c>
      <c r="F27" t="s">
        <v>32</v>
      </c>
      <c r="G27" t="s">
        <v>33</v>
      </c>
      <c r="H27" t="s">
        <v>34</v>
      </c>
      <c r="I27" t="s">
        <v>83</v>
      </c>
      <c r="J27" t="s">
        <v>40</v>
      </c>
      <c r="K27">
        <v>521</v>
      </c>
      <c r="L27">
        <v>42</v>
      </c>
      <c r="M27" s="2">
        <v>112</v>
      </c>
      <c r="N27" s="2">
        <v>47</v>
      </c>
      <c r="O27" s="2">
        <v>71</v>
      </c>
      <c r="P27" s="2">
        <v>-6</v>
      </c>
      <c r="Q27" s="3">
        <v>-5.3600000000000002E-2</v>
      </c>
      <c r="R27" s="2">
        <v>110</v>
      </c>
      <c r="S27" s="2">
        <v>40</v>
      </c>
      <c r="T27" s="2">
        <v>10</v>
      </c>
      <c r="U27" s="3">
        <v>9.0899999999999995E-2</v>
      </c>
      <c r="V27" s="2">
        <v>-16</v>
      </c>
    </row>
    <row r="28" spans="1:22" x14ac:dyDescent="0.25">
      <c r="A28" t="s">
        <v>87</v>
      </c>
      <c r="B28" s="1">
        <v>45303</v>
      </c>
      <c r="C28">
        <v>970</v>
      </c>
      <c r="D28" t="s">
        <v>31</v>
      </c>
      <c r="E28" t="s">
        <v>24</v>
      </c>
      <c r="F28" t="s">
        <v>32</v>
      </c>
      <c r="G28" t="s">
        <v>33</v>
      </c>
      <c r="H28" t="s">
        <v>54</v>
      </c>
      <c r="I28" t="s">
        <v>55</v>
      </c>
      <c r="J28" t="s">
        <v>40</v>
      </c>
      <c r="K28">
        <v>677</v>
      </c>
      <c r="L28">
        <v>22</v>
      </c>
      <c r="M28" s="2">
        <v>168</v>
      </c>
      <c r="N28" s="2">
        <v>67</v>
      </c>
      <c r="O28" s="2">
        <v>54</v>
      </c>
      <c r="P28" s="2">
        <v>47</v>
      </c>
      <c r="Q28" s="3">
        <v>0.27979999999999999</v>
      </c>
      <c r="R28" s="2">
        <v>210</v>
      </c>
      <c r="S28" s="2">
        <v>80</v>
      </c>
      <c r="T28" s="2">
        <v>80</v>
      </c>
      <c r="U28" s="3">
        <v>0.38100000000000001</v>
      </c>
      <c r="V28" s="2">
        <v>-33</v>
      </c>
    </row>
    <row r="29" spans="1:22" x14ac:dyDescent="0.25">
      <c r="A29" t="s">
        <v>88</v>
      </c>
      <c r="B29" s="1">
        <v>45304</v>
      </c>
      <c r="C29">
        <v>937</v>
      </c>
      <c r="D29" t="s">
        <v>85</v>
      </c>
      <c r="E29" t="s">
        <v>24</v>
      </c>
      <c r="F29" t="s">
        <v>32</v>
      </c>
      <c r="G29" t="s">
        <v>26</v>
      </c>
      <c r="H29" t="s">
        <v>38</v>
      </c>
      <c r="I29" t="s">
        <v>39</v>
      </c>
      <c r="J29" t="s">
        <v>40</v>
      </c>
      <c r="K29">
        <v>490</v>
      </c>
      <c r="L29">
        <v>8</v>
      </c>
      <c r="M29" s="2">
        <v>73</v>
      </c>
      <c r="N29" s="2">
        <v>29</v>
      </c>
      <c r="O29" s="2">
        <v>19</v>
      </c>
      <c r="P29" s="2">
        <v>25</v>
      </c>
      <c r="Q29" s="3">
        <v>0.34250000000000003</v>
      </c>
      <c r="R29" s="2">
        <v>60</v>
      </c>
      <c r="S29" s="2">
        <v>20</v>
      </c>
      <c r="T29" s="2">
        <v>30</v>
      </c>
      <c r="U29" s="3">
        <v>0.5</v>
      </c>
      <c r="V29" s="2">
        <v>-5</v>
      </c>
    </row>
    <row r="30" spans="1:22" x14ac:dyDescent="0.25">
      <c r="A30" t="s">
        <v>89</v>
      </c>
      <c r="B30" s="1">
        <v>45304</v>
      </c>
      <c r="C30">
        <v>504</v>
      </c>
      <c r="D30" t="s">
        <v>49</v>
      </c>
      <c r="E30" t="s">
        <v>45</v>
      </c>
      <c r="F30" t="s">
        <v>25</v>
      </c>
      <c r="G30" t="s">
        <v>33</v>
      </c>
      <c r="H30" t="s">
        <v>54</v>
      </c>
      <c r="I30" t="s">
        <v>72</v>
      </c>
      <c r="J30" t="s">
        <v>29</v>
      </c>
      <c r="K30">
        <v>-906</v>
      </c>
      <c r="L30">
        <v>55</v>
      </c>
      <c r="M30" s="2">
        <v>147</v>
      </c>
      <c r="N30" s="2">
        <v>61</v>
      </c>
      <c r="O30" s="2">
        <v>85</v>
      </c>
      <c r="P30" s="2">
        <v>1</v>
      </c>
      <c r="Q30" s="3">
        <v>6.7999999999999996E-3</v>
      </c>
      <c r="R30" s="2">
        <v>110</v>
      </c>
      <c r="S30" s="2">
        <v>40</v>
      </c>
      <c r="T30" s="2">
        <v>10</v>
      </c>
      <c r="U30" s="3">
        <v>9.0899999999999995E-2</v>
      </c>
      <c r="V30" s="2">
        <v>-9</v>
      </c>
    </row>
    <row r="31" spans="1:22" x14ac:dyDescent="0.25">
      <c r="A31" t="s">
        <v>90</v>
      </c>
      <c r="B31" s="1">
        <v>45304</v>
      </c>
      <c r="C31">
        <v>432</v>
      </c>
      <c r="D31" t="s">
        <v>76</v>
      </c>
      <c r="E31" t="s">
        <v>45</v>
      </c>
      <c r="F31" t="s">
        <v>32</v>
      </c>
      <c r="G31" t="s">
        <v>33</v>
      </c>
      <c r="H31" t="s">
        <v>34</v>
      </c>
      <c r="I31" t="s">
        <v>50</v>
      </c>
      <c r="J31" t="s">
        <v>29</v>
      </c>
      <c r="K31">
        <v>1246</v>
      </c>
      <c r="L31">
        <v>74</v>
      </c>
      <c r="M31" s="2">
        <v>554</v>
      </c>
      <c r="N31" s="2">
        <v>239</v>
      </c>
      <c r="O31" s="2">
        <v>96</v>
      </c>
      <c r="P31" s="2">
        <v>275</v>
      </c>
      <c r="Q31" s="3">
        <v>0.49640000000000001</v>
      </c>
      <c r="R31" s="2">
        <v>770</v>
      </c>
      <c r="S31" s="2">
        <v>350</v>
      </c>
      <c r="T31" s="2">
        <v>340</v>
      </c>
      <c r="U31" s="3">
        <v>0.44159999999999999</v>
      </c>
      <c r="V31" s="2">
        <v>-65</v>
      </c>
    </row>
    <row r="32" spans="1:22" x14ac:dyDescent="0.25">
      <c r="A32" t="s">
        <v>91</v>
      </c>
      <c r="B32" s="1">
        <v>45304</v>
      </c>
      <c r="C32">
        <v>573</v>
      </c>
      <c r="D32" t="s">
        <v>58</v>
      </c>
      <c r="E32" t="s">
        <v>24</v>
      </c>
      <c r="F32" t="s">
        <v>25</v>
      </c>
      <c r="G32" t="s">
        <v>26</v>
      </c>
      <c r="H32" t="s">
        <v>27</v>
      </c>
      <c r="I32" t="s">
        <v>42</v>
      </c>
      <c r="J32" t="s">
        <v>29</v>
      </c>
      <c r="K32">
        <v>209</v>
      </c>
      <c r="L32">
        <v>9</v>
      </c>
      <c r="M32" s="2">
        <v>60</v>
      </c>
      <c r="N32" s="2">
        <v>25</v>
      </c>
      <c r="O32" s="2">
        <v>42</v>
      </c>
      <c r="P32" s="2">
        <v>-16</v>
      </c>
      <c r="Q32" s="3">
        <v>-0.26669999999999999</v>
      </c>
      <c r="R32" s="2">
        <v>30</v>
      </c>
      <c r="S32" s="2">
        <v>10</v>
      </c>
      <c r="T32" s="2">
        <v>0</v>
      </c>
      <c r="U32" s="3">
        <v>0</v>
      </c>
      <c r="V32" s="2">
        <v>-16</v>
      </c>
    </row>
    <row r="33" spans="1:22" x14ac:dyDescent="0.25">
      <c r="A33" t="s">
        <v>92</v>
      </c>
      <c r="B33" s="1">
        <v>45304</v>
      </c>
      <c r="C33">
        <v>775</v>
      </c>
      <c r="D33" t="s">
        <v>65</v>
      </c>
      <c r="E33" t="s">
        <v>53</v>
      </c>
      <c r="F33" t="s">
        <v>25</v>
      </c>
      <c r="G33" t="s">
        <v>33</v>
      </c>
      <c r="H33" t="s">
        <v>54</v>
      </c>
      <c r="I33" t="s">
        <v>68</v>
      </c>
      <c r="J33" t="s">
        <v>29</v>
      </c>
      <c r="K33">
        <v>846</v>
      </c>
      <c r="L33">
        <v>5</v>
      </c>
      <c r="M33" s="2">
        <v>55</v>
      </c>
      <c r="N33" s="2">
        <v>21</v>
      </c>
      <c r="O33" s="2">
        <v>17</v>
      </c>
      <c r="P33" s="2">
        <v>21</v>
      </c>
      <c r="Q33" s="3">
        <v>0.38179999999999997</v>
      </c>
      <c r="R33" s="2">
        <v>30</v>
      </c>
      <c r="S33" s="2">
        <v>10</v>
      </c>
      <c r="T33" s="2">
        <v>20</v>
      </c>
      <c r="U33" s="3">
        <v>0.66669999999999996</v>
      </c>
      <c r="V33" s="2">
        <v>1</v>
      </c>
    </row>
    <row r="34" spans="1:22" x14ac:dyDescent="0.25">
      <c r="A34" t="s">
        <v>93</v>
      </c>
      <c r="B34" s="1">
        <v>45305</v>
      </c>
      <c r="C34">
        <v>262</v>
      </c>
      <c r="D34" t="s">
        <v>23</v>
      </c>
      <c r="E34" t="s">
        <v>24</v>
      </c>
      <c r="F34" t="s">
        <v>25</v>
      </c>
      <c r="G34" t="s">
        <v>26</v>
      </c>
      <c r="H34" t="s">
        <v>38</v>
      </c>
      <c r="I34" t="s">
        <v>46</v>
      </c>
      <c r="J34" t="s">
        <v>40</v>
      </c>
      <c r="K34">
        <v>856</v>
      </c>
      <c r="L34">
        <v>8</v>
      </c>
      <c r="M34" s="2">
        <v>78</v>
      </c>
      <c r="N34" s="2">
        <v>31</v>
      </c>
      <c r="O34" s="2">
        <v>20</v>
      </c>
      <c r="P34" s="2">
        <v>27</v>
      </c>
      <c r="Q34" s="3">
        <v>0.34620000000000001</v>
      </c>
      <c r="R34" s="2">
        <v>70</v>
      </c>
      <c r="S34" s="2">
        <v>20</v>
      </c>
      <c r="T34" s="2">
        <v>40</v>
      </c>
      <c r="U34" s="3">
        <v>0.57140000000000002</v>
      </c>
      <c r="V34" s="2">
        <v>-13</v>
      </c>
    </row>
    <row r="35" spans="1:22" x14ac:dyDescent="0.25">
      <c r="A35" t="s">
        <v>94</v>
      </c>
      <c r="B35" s="1">
        <v>45305</v>
      </c>
      <c r="C35">
        <v>435</v>
      </c>
      <c r="D35" t="s">
        <v>95</v>
      </c>
      <c r="E35" t="s">
        <v>53</v>
      </c>
      <c r="F35" t="s">
        <v>25</v>
      </c>
      <c r="G35" t="s">
        <v>26</v>
      </c>
      <c r="H35" t="s">
        <v>27</v>
      </c>
      <c r="I35" t="s">
        <v>28</v>
      </c>
      <c r="J35" t="s">
        <v>29</v>
      </c>
      <c r="K35">
        <v>335</v>
      </c>
      <c r="L35">
        <v>44</v>
      </c>
      <c r="M35" s="2">
        <v>126</v>
      </c>
      <c r="N35" s="2">
        <v>49</v>
      </c>
      <c r="O35" s="2">
        <v>73</v>
      </c>
      <c r="P35" s="2">
        <v>-6</v>
      </c>
      <c r="Q35" s="3">
        <v>-4.7600000000000003E-2</v>
      </c>
      <c r="R35" s="2">
        <v>80</v>
      </c>
      <c r="S35" s="2">
        <v>30</v>
      </c>
      <c r="T35" s="2">
        <v>0</v>
      </c>
      <c r="U35" s="3">
        <v>0</v>
      </c>
      <c r="V35" s="2">
        <v>-6</v>
      </c>
    </row>
    <row r="36" spans="1:22" x14ac:dyDescent="0.25">
      <c r="A36" t="s">
        <v>96</v>
      </c>
      <c r="B36" s="1">
        <v>45305</v>
      </c>
      <c r="C36">
        <v>614</v>
      </c>
      <c r="D36" t="s">
        <v>85</v>
      </c>
      <c r="E36" t="s">
        <v>24</v>
      </c>
      <c r="F36" t="s">
        <v>32</v>
      </c>
      <c r="G36" t="s">
        <v>33</v>
      </c>
      <c r="H36" t="s">
        <v>34</v>
      </c>
      <c r="I36" t="s">
        <v>35</v>
      </c>
      <c r="J36" t="s">
        <v>29</v>
      </c>
      <c r="K36">
        <v>405</v>
      </c>
      <c r="L36">
        <v>17</v>
      </c>
      <c r="M36" s="2">
        <v>131</v>
      </c>
      <c r="N36" s="2">
        <v>52</v>
      </c>
      <c r="O36" s="2">
        <v>45</v>
      </c>
      <c r="P36" s="2">
        <v>39</v>
      </c>
      <c r="Q36" s="3">
        <v>0.29770000000000002</v>
      </c>
      <c r="R36" s="2">
        <v>110</v>
      </c>
      <c r="S36" s="2">
        <v>40</v>
      </c>
      <c r="T36" s="2">
        <v>60</v>
      </c>
      <c r="U36" s="3">
        <v>0.54549999999999998</v>
      </c>
      <c r="V36" s="2">
        <v>-21</v>
      </c>
    </row>
    <row r="37" spans="1:22" x14ac:dyDescent="0.25">
      <c r="A37" t="s">
        <v>97</v>
      </c>
      <c r="B37" s="1">
        <v>45305</v>
      </c>
      <c r="C37">
        <v>409</v>
      </c>
      <c r="D37" t="s">
        <v>76</v>
      </c>
      <c r="E37" t="s">
        <v>45</v>
      </c>
      <c r="F37" t="s">
        <v>32</v>
      </c>
      <c r="G37" t="s">
        <v>33</v>
      </c>
      <c r="H37" t="s">
        <v>34</v>
      </c>
      <c r="I37" t="s">
        <v>50</v>
      </c>
      <c r="J37" t="s">
        <v>29</v>
      </c>
      <c r="K37">
        <v>1321</v>
      </c>
      <c r="L37">
        <v>74</v>
      </c>
      <c r="M37" s="2">
        <v>559</v>
      </c>
      <c r="N37" s="2">
        <v>241</v>
      </c>
      <c r="O37" s="2">
        <v>96</v>
      </c>
      <c r="P37" s="2">
        <v>279</v>
      </c>
      <c r="Q37" s="3">
        <v>0.49909999999999999</v>
      </c>
      <c r="R37" s="2">
        <v>620</v>
      </c>
      <c r="S37" s="2">
        <v>280</v>
      </c>
      <c r="T37" s="2">
        <v>240</v>
      </c>
      <c r="U37" s="3">
        <v>0.3871</v>
      </c>
      <c r="V37" s="2">
        <v>39</v>
      </c>
    </row>
    <row r="38" spans="1:22" x14ac:dyDescent="0.25">
      <c r="A38" t="s">
        <v>98</v>
      </c>
      <c r="B38" s="1">
        <v>45306</v>
      </c>
      <c r="C38">
        <v>212</v>
      </c>
      <c r="D38" t="s">
        <v>99</v>
      </c>
      <c r="E38" t="s">
        <v>79</v>
      </c>
      <c r="F38" t="s">
        <v>32</v>
      </c>
      <c r="G38" t="s">
        <v>33</v>
      </c>
      <c r="H38" t="s">
        <v>54</v>
      </c>
      <c r="I38" t="s">
        <v>68</v>
      </c>
      <c r="J38" t="s">
        <v>29</v>
      </c>
      <c r="K38">
        <v>3641</v>
      </c>
      <c r="L38">
        <v>122</v>
      </c>
      <c r="M38" s="2">
        <v>66</v>
      </c>
      <c r="N38" s="2">
        <v>135</v>
      </c>
      <c r="O38" s="2">
        <v>155</v>
      </c>
      <c r="P38" s="2">
        <v>-224</v>
      </c>
      <c r="Q38" s="3">
        <v>-3.3938999999999999</v>
      </c>
      <c r="R38" s="2">
        <v>60</v>
      </c>
      <c r="S38" s="2">
        <v>130</v>
      </c>
      <c r="T38" s="2">
        <v>-210</v>
      </c>
      <c r="U38" s="3">
        <v>-3.5</v>
      </c>
      <c r="V38" s="2">
        <v>-14</v>
      </c>
    </row>
    <row r="39" spans="1:22" x14ac:dyDescent="0.25">
      <c r="A39" t="s">
        <v>100</v>
      </c>
      <c r="B39" s="1">
        <v>45306</v>
      </c>
      <c r="C39">
        <v>518</v>
      </c>
      <c r="D39" t="s">
        <v>99</v>
      </c>
      <c r="E39" t="s">
        <v>79</v>
      </c>
      <c r="F39" t="s">
        <v>32</v>
      </c>
      <c r="G39" t="s">
        <v>33</v>
      </c>
      <c r="H39" t="s">
        <v>54</v>
      </c>
      <c r="I39" t="s">
        <v>101</v>
      </c>
      <c r="J39" t="s">
        <v>29</v>
      </c>
      <c r="K39">
        <v>723</v>
      </c>
      <c r="L39">
        <v>70</v>
      </c>
      <c r="M39" s="2">
        <v>700</v>
      </c>
      <c r="N39" s="2">
        <v>250</v>
      </c>
      <c r="O39" s="2">
        <v>95</v>
      </c>
      <c r="P39" s="2">
        <v>463</v>
      </c>
      <c r="Q39" s="3">
        <v>0.66139999999999999</v>
      </c>
      <c r="R39" s="2">
        <v>640</v>
      </c>
      <c r="S39" s="2">
        <v>240</v>
      </c>
      <c r="T39" s="2">
        <v>320</v>
      </c>
      <c r="U39" s="3">
        <v>0.5</v>
      </c>
      <c r="V39" s="2">
        <v>143</v>
      </c>
    </row>
    <row r="40" spans="1:22" x14ac:dyDescent="0.25">
      <c r="A40" t="s">
        <v>102</v>
      </c>
      <c r="B40" s="1">
        <v>45306</v>
      </c>
      <c r="C40">
        <v>518</v>
      </c>
      <c r="D40" t="s">
        <v>99</v>
      </c>
      <c r="E40" t="s">
        <v>79</v>
      </c>
      <c r="F40" t="s">
        <v>32</v>
      </c>
      <c r="G40" t="s">
        <v>26</v>
      </c>
      <c r="H40" t="s">
        <v>27</v>
      </c>
      <c r="I40" t="s">
        <v>42</v>
      </c>
      <c r="J40" t="s">
        <v>29</v>
      </c>
      <c r="K40">
        <v>959</v>
      </c>
      <c r="L40">
        <v>34</v>
      </c>
      <c r="M40" s="2">
        <v>322</v>
      </c>
      <c r="N40" s="2">
        <v>123</v>
      </c>
      <c r="O40" s="2">
        <v>46</v>
      </c>
      <c r="P40" s="2">
        <v>197</v>
      </c>
      <c r="Q40" s="3">
        <v>0.61180000000000001</v>
      </c>
      <c r="R40" s="2">
        <v>310</v>
      </c>
      <c r="S40" s="2">
        <v>120</v>
      </c>
      <c r="T40" s="2">
        <v>150</v>
      </c>
      <c r="U40" s="3">
        <v>0.4839</v>
      </c>
      <c r="V40" s="2">
        <v>47</v>
      </c>
    </row>
    <row r="41" spans="1:22" x14ac:dyDescent="0.25">
      <c r="A41" t="s">
        <v>103</v>
      </c>
      <c r="B41" s="1">
        <v>45306</v>
      </c>
      <c r="C41">
        <v>715</v>
      </c>
      <c r="D41" t="s">
        <v>23</v>
      </c>
      <c r="E41" t="s">
        <v>24</v>
      </c>
      <c r="F41" t="s">
        <v>25</v>
      </c>
      <c r="G41" t="s">
        <v>33</v>
      </c>
      <c r="H41" t="s">
        <v>34</v>
      </c>
      <c r="I41" t="s">
        <v>50</v>
      </c>
      <c r="J41" t="s">
        <v>29</v>
      </c>
      <c r="K41">
        <v>683</v>
      </c>
      <c r="L41">
        <v>87</v>
      </c>
      <c r="M41" s="2">
        <v>230</v>
      </c>
      <c r="N41" s="2">
        <v>96</v>
      </c>
      <c r="O41" s="2">
        <v>116</v>
      </c>
      <c r="P41" s="2">
        <v>18</v>
      </c>
      <c r="Q41" s="3">
        <v>7.8299999999999995E-2</v>
      </c>
      <c r="R41" s="2">
        <v>230</v>
      </c>
      <c r="S41" s="2">
        <v>90</v>
      </c>
      <c r="T41" s="2">
        <v>60</v>
      </c>
      <c r="U41" s="3">
        <v>0.26090000000000002</v>
      </c>
      <c r="V41" s="2">
        <v>-42</v>
      </c>
    </row>
    <row r="42" spans="1:22" x14ac:dyDescent="0.25">
      <c r="A42" t="s">
        <v>104</v>
      </c>
      <c r="B42" s="1">
        <v>45306</v>
      </c>
      <c r="C42">
        <v>775</v>
      </c>
      <c r="D42" t="s">
        <v>65</v>
      </c>
      <c r="E42" t="s">
        <v>53</v>
      </c>
      <c r="F42" t="s">
        <v>25</v>
      </c>
      <c r="G42" t="s">
        <v>26</v>
      </c>
      <c r="H42" t="s">
        <v>38</v>
      </c>
      <c r="I42" t="s">
        <v>66</v>
      </c>
      <c r="J42" t="s">
        <v>40</v>
      </c>
      <c r="K42">
        <v>830</v>
      </c>
      <c r="L42">
        <v>40</v>
      </c>
      <c r="M42" s="2">
        <v>312</v>
      </c>
      <c r="N42" s="2">
        <v>127</v>
      </c>
      <c r="O42" s="2">
        <v>63</v>
      </c>
      <c r="P42" s="2">
        <v>122</v>
      </c>
      <c r="Q42" s="3">
        <v>0.39100000000000001</v>
      </c>
      <c r="R42" s="2">
        <v>290</v>
      </c>
      <c r="S42" s="2">
        <v>120</v>
      </c>
      <c r="T42" s="2">
        <v>120</v>
      </c>
      <c r="U42" s="3">
        <v>0.4138</v>
      </c>
      <c r="V42" s="2">
        <v>2</v>
      </c>
    </row>
    <row r="43" spans="1:22" x14ac:dyDescent="0.25">
      <c r="A43" t="s">
        <v>105</v>
      </c>
      <c r="B43" s="1">
        <v>45307</v>
      </c>
      <c r="C43">
        <v>541</v>
      </c>
      <c r="D43" t="s">
        <v>71</v>
      </c>
      <c r="E43" t="s">
        <v>53</v>
      </c>
      <c r="F43" t="s">
        <v>25</v>
      </c>
      <c r="G43" t="s">
        <v>33</v>
      </c>
      <c r="H43" t="s">
        <v>54</v>
      </c>
      <c r="I43" t="s">
        <v>72</v>
      </c>
      <c r="J43" t="s">
        <v>29</v>
      </c>
      <c r="K43">
        <v>410</v>
      </c>
      <c r="L43">
        <v>20</v>
      </c>
      <c r="M43" s="2">
        <v>124</v>
      </c>
      <c r="N43" s="2">
        <v>55</v>
      </c>
      <c r="O43" s="2">
        <v>53</v>
      </c>
      <c r="P43" s="2">
        <v>16</v>
      </c>
      <c r="Q43" s="3">
        <v>0.129</v>
      </c>
      <c r="R43" s="2">
        <v>120</v>
      </c>
      <c r="S43" s="2">
        <v>50</v>
      </c>
      <c r="T43" s="2">
        <v>30</v>
      </c>
      <c r="U43" s="3">
        <v>0.25</v>
      </c>
      <c r="V43" s="2">
        <v>-14</v>
      </c>
    </row>
    <row r="44" spans="1:22" x14ac:dyDescent="0.25">
      <c r="A44" t="s">
        <v>106</v>
      </c>
      <c r="B44" s="1">
        <v>45307</v>
      </c>
      <c r="C44">
        <v>503</v>
      </c>
      <c r="D44" t="s">
        <v>71</v>
      </c>
      <c r="E44" t="s">
        <v>53</v>
      </c>
      <c r="F44" t="s">
        <v>25</v>
      </c>
      <c r="G44" t="s">
        <v>33</v>
      </c>
      <c r="H44" t="s">
        <v>34</v>
      </c>
      <c r="I44" t="s">
        <v>83</v>
      </c>
      <c r="J44" t="s">
        <v>40</v>
      </c>
      <c r="K44">
        <v>424</v>
      </c>
      <c r="L44">
        <v>14</v>
      </c>
      <c r="M44" s="2">
        <v>121</v>
      </c>
      <c r="N44" s="2">
        <v>46</v>
      </c>
      <c r="O44" s="2">
        <v>36</v>
      </c>
      <c r="P44" s="2">
        <v>47</v>
      </c>
      <c r="Q44" s="3">
        <v>0.38840000000000002</v>
      </c>
      <c r="R44" s="2">
        <v>130</v>
      </c>
      <c r="S44" s="2">
        <v>50</v>
      </c>
      <c r="T44" s="2">
        <v>50</v>
      </c>
      <c r="U44" s="3">
        <v>0.3846</v>
      </c>
      <c r="V44" s="2">
        <v>-3</v>
      </c>
    </row>
    <row r="45" spans="1:22" x14ac:dyDescent="0.25">
      <c r="A45" t="s">
        <v>107</v>
      </c>
      <c r="B45" s="1">
        <v>45307</v>
      </c>
      <c r="C45">
        <v>805</v>
      </c>
      <c r="D45" t="s">
        <v>62</v>
      </c>
      <c r="E45" t="s">
        <v>53</v>
      </c>
      <c r="F45" t="s">
        <v>32</v>
      </c>
      <c r="G45" t="s">
        <v>33</v>
      </c>
      <c r="H45" t="s">
        <v>54</v>
      </c>
      <c r="I45" t="s">
        <v>68</v>
      </c>
      <c r="J45" t="s">
        <v>29</v>
      </c>
      <c r="K45">
        <v>898</v>
      </c>
      <c r="L45">
        <v>113</v>
      </c>
      <c r="M45" s="2">
        <v>318</v>
      </c>
      <c r="N45" s="2">
        <v>125</v>
      </c>
      <c r="O45" s="2">
        <v>146</v>
      </c>
      <c r="P45" s="2">
        <v>40</v>
      </c>
      <c r="Q45" s="3">
        <v>0.1258</v>
      </c>
      <c r="R45" s="2">
        <v>270</v>
      </c>
      <c r="S45" s="2">
        <v>110</v>
      </c>
      <c r="T45" s="2">
        <v>50</v>
      </c>
      <c r="U45" s="3">
        <v>0.1852</v>
      </c>
      <c r="V45" s="2">
        <v>-10</v>
      </c>
    </row>
    <row r="46" spans="1:22" x14ac:dyDescent="0.25">
      <c r="A46" t="s">
        <v>108</v>
      </c>
      <c r="B46" s="1">
        <v>45308</v>
      </c>
      <c r="C46">
        <v>603</v>
      </c>
      <c r="D46" t="s">
        <v>109</v>
      </c>
      <c r="E46" t="s">
        <v>79</v>
      </c>
      <c r="F46" t="s">
        <v>25</v>
      </c>
      <c r="G46" t="s">
        <v>33</v>
      </c>
      <c r="H46" t="s">
        <v>34</v>
      </c>
      <c r="I46" t="s">
        <v>35</v>
      </c>
      <c r="J46" t="s">
        <v>29</v>
      </c>
      <c r="K46">
        <v>327</v>
      </c>
      <c r="L46">
        <v>16</v>
      </c>
      <c r="M46" s="2">
        <v>135</v>
      </c>
      <c r="N46" s="2">
        <v>52</v>
      </c>
      <c r="O46" s="2">
        <v>38</v>
      </c>
      <c r="P46" s="2">
        <v>55</v>
      </c>
      <c r="Q46" s="3">
        <v>0.40739999999999998</v>
      </c>
      <c r="R46" s="2">
        <v>110</v>
      </c>
      <c r="S46" s="2">
        <v>40</v>
      </c>
      <c r="T46" s="2">
        <v>50</v>
      </c>
      <c r="U46" s="3">
        <v>0.45450000000000002</v>
      </c>
      <c r="V46" s="2">
        <v>5</v>
      </c>
    </row>
    <row r="47" spans="1:22" x14ac:dyDescent="0.25">
      <c r="A47" t="s">
        <v>110</v>
      </c>
      <c r="B47" s="1">
        <v>45308</v>
      </c>
      <c r="C47">
        <v>318</v>
      </c>
      <c r="D47" t="s">
        <v>49</v>
      </c>
      <c r="E47" t="s">
        <v>45</v>
      </c>
      <c r="F47" t="s">
        <v>25</v>
      </c>
      <c r="G47" t="s">
        <v>33</v>
      </c>
      <c r="H47" t="s">
        <v>34</v>
      </c>
      <c r="I47" t="s">
        <v>50</v>
      </c>
      <c r="J47" t="s">
        <v>29</v>
      </c>
      <c r="K47">
        <v>845</v>
      </c>
      <c r="L47">
        <v>13</v>
      </c>
      <c r="M47" s="2">
        <v>120</v>
      </c>
      <c r="N47" s="2">
        <v>49</v>
      </c>
      <c r="O47" s="2">
        <v>25</v>
      </c>
      <c r="P47" s="2">
        <v>46</v>
      </c>
      <c r="Q47" s="3">
        <v>0.38329999999999997</v>
      </c>
      <c r="R47" s="2">
        <v>140</v>
      </c>
      <c r="S47" s="2">
        <v>50</v>
      </c>
      <c r="T47" s="2">
        <v>70</v>
      </c>
      <c r="U47" s="3">
        <v>0.5</v>
      </c>
      <c r="V47" s="2">
        <v>-24</v>
      </c>
    </row>
    <row r="48" spans="1:22" x14ac:dyDescent="0.25">
      <c r="A48" t="s">
        <v>111</v>
      </c>
      <c r="B48" s="1">
        <v>45308</v>
      </c>
      <c r="C48">
        <v>720</v>
      </c>
      <c r="D48" t="s">
        <v>31</v>
      </c>
      <c r="E48" t="s">
        <v>24</v>
      </c>
      <c r="F48" t="s">
        <v>32</v>
      </c>
      <c r="G48" t="s">
        <v>26</v>
      </c>
      <c r="H48" t="s">
        <v>27</v>
      </c>
      <c r="I48" t="s">
        <v>59</v>
      </c>
      <c r="J48" t="s">
        <v>29</v>
      </c>
      <c r="K48">
        <v>572</v>
      </c>
      <c r="L48">
        <v>29</v>
      </c>
      <c r="M48" s="2">
        <v>205</v>
      </c>
      <c r="N48" s="2">
        <v>90</v>
      </c>
      <c r="O48" s="2">
        <v>41</v>
      </c>
      <c r="P48" s="2">
        <v>74</v>
      </c>
      <c r="Q48" s="3">
        <v>0.36099999999999999</v>
      </c>
      <c r="R48" s="2">
        <v>140</v>
      </c>
      <c r="S48" s="2">
        <v>50</v>
      </c>
      <c r="T48" s="2">
        <v>80</v>
      </c>
      <c r="U48" s="3">
        <v>0.57140000000000002</v>
      </c>
      <c r="V48" s="2">
        <v>-6</v>
      </c>
    </row>
    <row r="49" spans="1:22" x14ac:dyDescent="0.25">
      <c r="A49" t="s">
        <v>112</v>
      </c>
      <c r="B49" s="1">
        <v>45308</v>
      </c>
      <c r="C49">
        <v>262</v>
      </c>
      <c r="D49" t="s">
        <v>23</v>
      </c>
      <c r="E49" t="s">
        <v>24</v>
      </c>
      <c r="F49" t="s">
        <v>25</v>
      </c>
      <c r="G49" t="s">
        <v>33</v>
      </c>
      <c r="H49" t="s">
        <v>54</v>
      </c>
      <c r="I49" t="s">
        <v>68</v>
      </c>
      <c r="J49" t="s">
        <v>29</v>
      </c>
      <c r="K49">
        <v>1055</v>
      </c>
      <c r="L49">
        <v>24</v>
      </c>
      <c r="M49" s="2">
        <v>185</v>
      </c>
      <c r="N49" s="2">
        <v>80</v>
      </c>
      <c r="O49" s="2">
        <v>46</v>
      </c>
      <c r="P49" s="2">
        <v>71</v>
      </c>
      <c r="Q49" s="3">
        <v>0.38379999999999997</v>
      </c>
      <c r="R49" s="2">
        <v>250</v>
      </c>
      <c r="S49" s="2">
        <v>110</v>
      </c>
      <c r="T49" s="2">
        <v>120</v>
      </c>
      <c r="U49" s="3">
        <v>0.48</v>
      </c>
      <c r="V49" s="2">
        <v>-49</v>
      </c>
    </row>
    <row r="50" spans="1:22" x14ac:dyDescent="0.25">
      <c r="A50" t="s">
        <v>113</v>
      </c>
      <c r="B50" s="1">
        <v>45309</v>
      </c>
      <c r="C50">
        <v>573</v>
      </c>
      <c r="D50" t="s">
        <v>58</v>
      </c>
      <c r="E50" t="s">
        <v>24</v>
      </c>
      <c r="F50" t="s">
        <v>25</v>
      </c>
      <c r="G50" t="s">
        <v>26</v>
      </c>
      <c r="H50" t="s">
        <v>27</v>
      </c>
      <c r="I50" t="s">
        <v>28</v>
      </c>
      <c r="J50" t="s">
        <v>29</v>
      </c>
      <c r="K50">
        <v>256</v>
      </c>
      <c r="L50">
        <v>12</v>
      </c>
      <c r="M50" s="2">
        <v>89</v>
      </c>
      <c r="N50" s="2">
        <v>38</v>
      </c>
      <c r="O50" s="2">
        <v>40</v>
      </c>
      <c r="P50" s="2">
        <v>11</v>
      </c>
      <c r="Q50" s="3">
        <v>0.1236</v>
      </c>
      <c r="R50" s="2">
        <v>70</v>
      </c>
      <c r="S50" s="2">
        <v>30</v>
      </c>
      <c r="T50" s="2">
        <v>10</v>
      </c>
      <c r="U50" s="3">
        <v>0.1429</v>
      </c>
      <c r="V50" s="2">
        <v>1</v>
      </c>
    </row>
    <row r="51" spans="1:22" x14ac:dyDescent="0.25">
      <c r="A51" t="s">
        <v>114</v>
      </c>
      <c r="B51" s="1">
        <v>45309</v>
      </c>
      <c r="C51">
        <v>505</v>
      </c>
      <c r="D51" t="s">
        <v>44</v>
      </c>
      <c r="E51" t="s">
        <v>45</v>
      </c>
      <c r="F51" t="s">
        <v>25</v>
      </c>
      <c r="G51" t="s">
        <v>33</v>
      </c>
      <c r="H51" t="s">
        <v>34</v>
      </c>
      <c r="I51" t="s">
        <v>50</v>
      </c>
      <c r="J51" t="s">
        <v>29</v>
      </c>
      <c r="K51">
        <v>452</v>
      </c>
      <c r="L51">
        <v>14</v>
      </c>
      <c r="M51" s="2">
        <v>116</v>
      </c>
      <c r="N51" s="2">
        <v>43</v>
      </c>
      <c r="O51" s="2">
        <v>46</v>
      </c>
      <c r="P51" s="2">
        <v>30</v>
      </c>
      <c r="Q51" s="3">
        <v>0.2586</v>
      </c>
      <c r="R51" s="2">
        <v>120</v>
      </c>
      <c r="S51" s="2">
        <v>50</v>
      </c>
      <c r="T51" s="2">
        <v>30</v>
      </c>
      <c r="U51" s="3">
        <v>0.25</v>
      </c>
      <c r="V51" s="2">
        <v>0</v>
      </c>
    </row>
    <row r="52" spans="1:22" x14ac:dyDescent="0.25">
      <c r="A52" t="s">
        <v>115</v>
      </c>
      <c r="B52" s="1">
        <v>45309</v>
      </c>
      <c r="C52">
        <v>985</v>
      </c>
      <c r="D52" t="s">
        <v>49</v>
      </c>
      <c r="E52" t="s">
        <v>45</v>
      </c>
      <c r="F52" t="s">
        <v>25</v>
      </c>
      <c r="G52" t="s">
        <v>26</v>
      </c>
      <c r="H52" t="s">
        <v>38</v>
      </c>
      <c r="I52" t="s">
        <v>39</v>
      </c>
      <c r="J52" t="s">
        <v>40</v>
      </c>
      <c r="K52">
        <v>552</v>
      </c>
      <c r="L52">
        <v>33</v>
      </c>
      <c r="M52" s="2">
        <v>246</v>
      </c>
      <c r="N52" s="2">
        <v>101</v>
      </c>
      <c r="O52" s="2">
        <v>45</v>
      </c>
      <c r="P52" s="2">
        <v>126</v>
      </c>
      <c r="Q52" s="3">
        <v>0.51219999999999999</v>
      </c>
      <c r="R52" s="2">
        <v>210</v>
      </c>
      <c r="S52" s="2">
        <v>90</v>
      </c>
      <c r="T52" s="2">
        <v>80</v>
      </c>
      <c r="U52" s="3">
        <v>0.38100000000000001</v>
      </c>
      <c r="V52" s="2">
        <v>46</v>
      </c>
    </row>
    <row r="53" spans="1:22" x14ac:dyDescent="0.25">
      <c r="A53" t="s">
        <v>116</v>
      </c>
      <c r="B53" s="1">
        <v>45309</v>
      </c>
      <c r="C53">
        <v>239</v>
      </c>
      <c r="D53" t="s">
        <v>117</v>
      </c>
      <c r="E53" t="s">
        <v>79</v>
      </c>
      <c r="F53" t="s">
        <v>32</v>
      </c>
      <c r="G53" t="s">
        <v>33</v>
      </c>
      <c r="H53" t="s">
        <v>54</v>
      </c>
      <c r="I53" t="s">
        <v>68</v>
      </c>
      <c r="J53" t="s">
        <v>29</v>
      </c>
      <c r="K53">
        <v>683</v>
      </c>
      <c r="L53">
        <v>87</v>
      </c>
      <c r="M53" s="2">
        <v>230</v>
      </c>
      <c r="N53" s="2">
        <v>96</v>
      </c>
      <c r="O53" s="2">
        <v>116</v>
      </c>
      <c r="P53" s="2">
        <v>18</v>
      </c>
      <c r="Q53" s="3">
        <v>7.8299999999999995E-2</v>
      </c>
      <c r="R53" s="2">
        <v>210</v>
      </c>
      <c r="S53" s="2">
        <v>80</v>
      </c>
      <c r="T53" s="2">
        <v>50</v>
      </c>
      <c r="U53" s="3">
        <v>0.23810000000000001</v>
      </c>
      <c r="V53" s="2">
        <v>-32</v>
      </c>
    </row>
    <row r="54" spans="1:22" x14ac:dyDescent="0.25">
      <c r="A54" t="s">
        <v>118</v>
      </c>
      <c r="B54" s="1">
        <v>45309</v>
      </c>
      <c r="C54">
        <v>815</v>
      </c>
      <c r="D54" t="s">
        <v>37</v>
      </c>
      <c r="E54" t="s">
        <v>24</v>
      </c>
      <c r="F54" t="s">
        <v>32</v>
      </c>
      <c r="G54" t="s">
        <v>33</v>
      </c>
      <c r="H54" t="s">
        <v>34</v>
      </c>
      <c r="I54" t="s">
        <v>50</v>
      </c>
      <c r="J54" t="s">
        <v>29</v>
      </c>
      <c r="K54">
        <v>1132</v>
      </c>
      <c r="L54">
        <v>50</v>
      </c>
      <c r="M54" s="2">
        <v>391</v>
      </c>
      <c r="N54" s="2">
        <v>154</v>
      </c>
      <c r="O54" s="2">
        <v>93</v>
      </c>
      <c r="P54" s="2">
        <v>178</v>
      </c>
      <c r="Q54" s="3">
        <v>0.45519999999999999</v>
      </c>
      <c r="R54" s="2">
        <v>370</v>
      </c>
      <c r="S54" s="2">
        <v>150</v>
      </c>
      <c r="T54" s="2">
        <v>160</v>
      </c>
      <c r="U54" s="3">
        <v>0.43240000000000001</v>
      </c>
      <c r="V54" s="2">
        <v>18</v>
      </c>
    </row>
    <row r="55" spans="1:22" x14ac:dyDescent="0.25">
      <c r="A55" t="s">
        <v>119</v>
      </c>
      <c r="B55" s="1">
        <v>45310</v>
      </c>
      <c r="C55">
        <v>305</v>
      </c>
      <c r="D55" t="s">
        <v>117</v>
      </c>
      <c r="E55" t="s">
        <v>79</v>
      </c>
      <c r="F55" t="s">
        <v>32</v>
      </c>
      <c r="G55" t="s">
        <v>26</v>
      </c>
      <c r="H55" t="s">
        <v>38</v>
      </c>
      <c r="I55" t="s">
        <v>46</v>
      </c>
      <c r="J55" t="s">
        <v>40</v>
      </c>
      <c r="K55">
        <v>403</v>
      </c>
      <c r="L55">
        <v>24</v>
      </c>
      <c r="M55" s="2">
        <v>155</v>
      </c>
      <c r="N55" s="2">
        <v>65</v>
      </c>
      <c r="O55" s="2">
        <v>57</v>
      </c>
      <c r="P55" s="2">
        <v>34</v>
      </c>
      <c r="Q55" s="3">
        <v>0.21940000000000001</v>
      </c>
      <c r="R55" s="2">
        <v>100</v>
      </c>
      <c r="S55" s="2">
        <v>40</v>
      </c>
      <c r="T55" s="2">
        <v>20</v>
      </c>
      <c r="U55" s="3">
        <v>0.2</v>
      </c>
      <c r="V55" s="2">
        <v>14</v>
      </c>
    </row>
    <row r="56" spans="1:22" x14ac:dyDescent="0.25">
      <c r="A56" t="s">
        <v>120</v>
      </c>
      <c r="B56" s="1">
        <v>45310</v>
      </c>
      <c r="C56">
        <v>775</v>
      </c>
      <c r="D56" t="s">
        <v>65</v>
      </c>
      <c r="E56" t="s">
        <v>53</v>
      </c>
      <c r="F56" t="s">
        <v>25</v>
      </c>
      <c r="G56" t="s">
        <v>33</v>
      </c>
      <c r="H56" t="s">
        <v>34</v>
      </c>
      <c r="I56" t="s">
        <v>83</v>
      </c>
      <c r="J56" t="s">
        <v>40</v>
      </c>
      <c r="K56">
        <v>1009</v>
      </c>
      <c r="L56">
        <v>9</v>
      </c>
      <c r="M56" s="2">
        <v>74</v>
      </c>
      <c r="N56" s="2">
        <v>31</v>
      </c>
      <c r="O56" s="2">
        <v>30</v>
      </c>
      <c r="P56" s="2">
        <v>12</v>
      </c>
      <c r="Q56" s="3">
        <v>0.16220000000000001</v>
      </c>
      <c r="R56" s="2">
        <v>80</v>
      </c>
      <c r="S56" s="2">
        <v>30</v>
      </c>
      <c r="T56" s="2">
        <v>30</v>
      </c>
      <c r="U56" s="3">
        <v>0.375</v>
      </c>
      <c r="V56" s="2">
        <v>-18</v>
      </c>
    </row>
    <row r="57" spans="1:22" x14ac:dyDescent="0.25">
      <c r="A57" t="s">
        <v>121</v>
      </c>
      <c r="B57" s="1">
        <v>45310</v>
      </c>
      <c r="C57">
        <v>253</v>
      </c>
      <c r="D57" t="s">
        <v>52</v>
      </c>
      <c r="E57" t="s">
        <v>53</v>
      </c>
      <c r="F57" t="s">
        <v>25</v>
      </c>
      <c r="G57" t="s">
        <v>33</v>
      </c>
      <c r="H57" t="s">
        <v>54</v>
      </c>
      <c r="I57" t="s">
        <v>68</v>
      </c>
      <c r="J57" t="s">
        <v>29</v>
      </c>
      <c r="K57">
        <v>385</v>
      </c>
      <c r="L57">
        <v>21</v>
      </c>
      <c r="M57" s="2">
        <v>126</v>
      </c>
      <c r="N57" s="2">
        <v>56</v>
      </c>
      <c r="O57" s="2">
        <v>54</v>
      </c>
      <c r="P57" s="2">
        <v>16</v>
      </c>
      <c r="Q57" s="3">
        <v>0.127</v>
      </c>
      <c r="R57" s="2">
        <v>110</v>
      </c>
      <c r="S57" s="2">
        <v>40</v>
      </c>
      <c r="T57" s="2">
        <v>50</v>
      </c>
      <c r="U57" s="3">
        <v>0.45450000000000002</v>
      </c>
      <c r="V57" s="2">
        <v>-34</v>
      </c>
    </row>
    <row r="58" spans="1:22" x14ac:dyDescent="0.25">
      <c r="A58" t="s">
        <v>122</v>
      </c>
      <c r="B58" s="1">
        <v>45310</v>
      </c>
      <c r="C58">
        <v>772</v>
      </c>
      <c r="D58" t="s">
        <v>117</v>
      </c>
      <c r="E58" t="s">
        <v>79</v>
      </c>
      <c r="F58" t="s">
        <v>32</v>
      </c>
      <c r="G58" t="s">
        <v>33</v>
      </c>
      <c r="H58" t="s">
        <v>34</v>
      </c>
      <c r="I58" t="s">
        <v>83</v>
      </c>
      <c r="J58" t="s">
        <v>40</v>
      </c>
      <c r="K58">
        <v>656</v>
      </c>
      <c r="L58">
        <v>28</v>
      </c>
      <c r="M58" s="2">
        <v>232</v>
      </c>
      <c r="N58" s="2">
        <v>91</v>
      </c>
      <c r="O58" s="2">
        <v>51</v>
      </c>
      <c r="P58" s="2">
        <v>113</v>
      </c>
      <c r="Q58" s="3">
        <v>0.48709999999999998</v>
      </c>
      <c r="R58" s="2">
        <v>180</v>
      </c>
      <c r="S58" s="2">
        <v>70</v>
      </c>
      <c r="T58" s="2">
        <v>90</v>
      </c>
      <c r="U58" s="3">
        <v>0.5</v>
      </c>
      <c r="V58" s="2">
        <v>23</v>
      </c>
    </row>
    <row r="59" spans="1:22" x14ac:dyDescent="0.25">
      <c r="A59" t="s">
        <v>123</v>
      </c>
      <c r="B59" s="1">
        <v>45310</v>
      </c>
      <c r="C59">
        <v>641</v>
      </c>
      <c r="D59" t="s">
        <v>124</v>
      </c>
      <c r="E59" t="s">
        <v>24</v>
      </c>
      <c r="F59" t="s">
        <v>25</v>
      </c>
      <c r="G59" t="s">
        <v>33</v>
      </c>
      <c r="H59" t="s">
        <v>34</v>
      </c>
      <c r="I59" t="s">
        <v>83</v>
      </c>
      <c r="J59" t="s">
        <v>40</v>
      </c>
      <c r="K59">
        <v>598</v>
      </c>
      <c r="L59">
        <v>3</v>
      </c>
      <c r="M59" s="2">
        <v>23</v>
      </c>
      <c r="N59" s="2">
        <v>10</v>
      </c>
      <c r="O59" s="2">
        <v>15</v>
      </c>
      <c r="P59" s="2">
        <v>-2</v>
      </c>
      <c r="Q59" s="3">
        <v>-8.6999999999999994E-2</v>
      </c>
      <c r="R59" s="2">
        <v>10</v>
      </c>
      <c r="S59" s="2">
        <v>0</v>
      </c>
      <c r="T59" s="2">
        <v>10</v>
      </c>
      <c r="U59" s="3">
        <v>1</v>
      </c>
      <c r="V59" s="2">
        <v>-12</v>
      </c>
    </row>
    <row r="60" spans="1:22" x14ac:dyDescent="0.25">
      <c r="A60" t="s">
        <v>125</v>
      </c>
      <c r="B60" s="1">
        <v>45311</v>
      </c>
      <c r="C60">
        <v>719</v>
      </c>
      <c r="D60" t="s">
        <v>31</v>
      </c>
      <c r="E60" t="s">
        <v>24</v>
      </c>
      <c r="F60" t="s">
        <v>32</v>
      </c>
      <c r="G60" t="s">
        <v>26</v>
      </c>
      <c r="H60" t="s">
        <v>27</v>
      </c>
      <c r="I60" t="s">
        <v>28</v>
      </c>
      <c r="J60" t="s">
        <v>29</v>
      </c>
      <c r="K60">
        <v>410</v>
      </c>
      <c r="L60">
        <v>20</v>
      </c>
      <c r="M60" s="2">
        <v>132</v>
      </c>
      <c r="N60" s="2">
        <v>55</v>
      </c>
      <c r="O60" s="2">
        <v>54</v>
      </c>
      <c r="P60" s="2">
        <v>22</v>
      </c>
      <c r="Q60" s="3">
        <v>0.16669999999999999</v>
      </c>
      <c r="R60" s="2">
        <v>100</v>
      </c>
      <c r="S60" s="2">
        <v>40</v>
      </c>
      <c r="T60" s="2">
        <v>20</v>
      </c>
      <c r="U60" s="3">
        <v>0.2</v>
      </c>
      <c r="V60" s="2">
        <v>2</v>
      </c>
    </row>
    <row r="61" spans="1:22" x14ac:dyDescent="0.25">
      <c r="A61" t="s">
        <v>126</v>
      </c>
      <c r="B61" s="1">
        <v>45311</v>
      </c>
      <c r="C61">
        <v>847</v>
      </c>
      <c r="D61" t="s">
        <v>37</v>
      </c>
      <c r="E61" t="s">
        <v>24</v>
      </c>
      <c r="F61" t="s">
        <v>32</v>
      </c>
      <c r="G61" t="s">
        <v>33</v>
      </c>
      <c r="H61" t="s">
        <v>54</v>
      </c>
      <c r="I61" t="s">
        <v>55</v>
      </c>
      <c r="J61" t="s">
        <v>40</v>
      </c>
      <c r="K61">
        <v>1778</v>
      </c>
      <c r="L61">
        <v>59</v>
      </c>
      <c r="M61" s="2">
        <v>423</v>
      </c>
      <c r="N61" s="2">
        <v>211</v>
      </c>
      <c r="O61" s="2">
        <v>83</v>
      </c>
      <c r="P61" s="2">
        <v>129</v>
      </c>
      <c r="Q61" s="3">
        <v>0.30499999999999999</v>
      </c>
      <c r="R61" s="2">
        <v>540</v>
      </c>
      <c r="S61" s="2">
        <v>270</v>
      </c>
      <c r="T61" s="2">
        <v>200</v>
      </c>
      <c r="U61" s="3">
        <v>0.37040000000000001</v>
      </c>
      <c r="V61" s="2">
        <v>-71</v>
      </c>
    </row>
    <row r="62" spans="1:22" x14ac:dyDescent="0.25">
      <c r="A62" t="s">
        <v>127</v>
      </c>
      <c r="B62" s="1">
        <v>45311</v>
      </c>
      <c r="C62">
        <v>530</v>
      </c>
      <c r="D62" t="s">
        <v>62</v>
      </c>
      <c r="E62" t="s">
        <v>53</v>
      </c>
      <c r="F62" t="s">
        <v>32</v>
      </c>
      <c r="G62" t="s">
        <v>33</v>
      </c>
      <c r="H62" t="s">
        <v>34</v>
      </c>
      <c r="I62" t="s">
        <v>50</v>
      </c>
      <c r="J62" t="s">
        <v>29</v>
      </c>
      <c r="K62">
        <v>2642</v>
      </c>
      <c r="L62">
        <v>97</v>
      </c>
      <c r="M62" s="2">
        <v>745</v>
      </c>
      <c r="N62" s="2">
        <v>279</v>
      </c>
      <c r="O62" s="2">
        <v>149</v>
      </c>
      <c r="P62" s="2">
        <v>402</v>
      </c>
      <c r="Q62" s="3">
        <v>0.53959999999999997</v>
      </c>
      <c r="R62" s="2">
        <v>830</v>
      </c>
      <c r="S62" s="2">
        <v>330</v>
      </c>
      <c r="T62" s="2">
        <v>350</v>
      </c>
      <c r="U62" s="3">
        <v>0.42170000000000002</v>
      </c>
      <c r="V62" s="2">
        <v>52</v>
      </c>
    </row>
    <row r="63" spans="1:22" x14ac:dyDescent="0.25">
      <c r="A63" t="s">
        <v>128</v>
      </c>
      <c r="B63" s="1">
        <v>45312</v>
      </c>
      <c r="C63">
        <v>614</v>
      </c>
      <c r="D63" t="s">
        <v>85</v>
      </c>
      <c r="E63" t="s">
        <v>24</v>
      </c>
      <c r="F63" t="s">
        <v>32</v>
      </c>
      <c r="G63" t="s">
        <v>26</v>
      </c>
      <c r="H63" t="s">
        <v>38</v>
      </c>
      <c r="I63" t="s">
        <v>39</v>
      </c>
      <c r="J63" t="s">
        <v>40</v>
      </c>
      <c r="K63">
        <v>490</v>
      </c>
      <c r="L63">
        <v>8</v>
      </c>
      <c r="M63" s="2">
        <v>78</v>
      </c>
      <c r="N63" s="2">
        <v>29</v>
      </c>
      <c r="O63" s="2">
        <v>19</v>
      </c>
      <c r="P63" s="2">
        <v>37</v>
      </c>
      <c r="Q63" s="3">
        <v>0.47439999999999999</v>
      </c>
      <c r="R63" s="2">
        <v>60</v>
      </c>
      <c r="S63" s="2">
        <v>20</v>
      </c>
      <c r="T63" s="2">
        <v>30</v>
      </c>
      <c r="U63" s="3">
        <v>0.5</v>
      </c>
      <c r="V63" s="2">
        <v>7</v>
      </c>
    </row>
    <row r="64" spans="1:22" x14ac:dyDescent="0.25">
      <c r="A64" t="s">
        <v>129</v>
      </c>
      <c r="B64" s="1">
        <v>45312</v>
      </c>
      <c r="C64">
        <v>715</v>
      </c>
      <c r="D64" t="s">
        <v>23</v>
      </c>
      <c r="E64" t="s">
        <v>24</v>
      </c>
      <c r="F64" t="s">
        <v>25</v>
      </c>
      <c r="G64" t="s">
        <v>26</v>
      </c>
      <c r="H64" t="s">
        <v>27</v>
      </c>
      <c r="I64" t="s">
        <v>42</v>
      </c>
      <c r="J64" t="s">
        <v>29</v>
      </c>
      <c r="K64">
        <v>613</v>
      </c>
      <c r="L64">
        <v>55</v>
      </c>
      <c r="M64" s="2">
        <v>157</v>
      </c>
      <c r="N64" s="2">
        <v>61</v>
      </c>
      <c r="O64" s="2">
        <v>84</v>
      </c>
      <c r="P64" s="2">
        <v>3</v>
      </c>
      <c r="Q64" s="3">
        <v>1.9099999999999999E-2</v>
      </c>
      <c r="R64" s="2">
        <v>120</v>
      </c>
      <c r="S64" s="2">
        <v>50</v>
      </c>
      <c r="T64" s="2">
        <v>0</v>
      </c>
      <c r="U64" s="3">
        <v>0</v>
      </c>
      <c r="V64" s="2">
        <v>3</v>
      </c>
    </row>
    <row r="65" spans="1:22" x14ac:dyDescent="0.25">
      <c r="A65" t="s">
        <v>130</v>
      </c>
      <c r="B65" s="1">
        <v>45312</v>
      </c>
      <c r="C65">
        <v>503</v>
      </c>
      <c r="D65" t="s">
        <v>71</v>
      </c>
      <c r="E65" t="s">
        <v>53</v>
      </c>
      <c r="F65" t="s">
        <v>25</v>
      </c>
      <c r="G65" t="s">
        <v>33</v>
      </c>
      <c r="H65" t="s">
        <v>34</v>
      </c>
      <c r="I65" t="s">
        <v>83</v>
      </c>
      <c r="J65" t="s">
        <v>40</v>
      </c>
      <c r="K65">
        <v>435</v>
      </c>
      <c r="L65">
        <v>13</v>
      </c>
      <c r="M65" s="2">
        <v>101</v>
      </c>
      <c r="N65" s="2">
        <v>41</v>
      </c>
      <c r="O65" s="2">
        <v>35</v>
      </c>
      <c r="P65" s="2">
        <v>25</v>
      </c>
      <c r="Q65" s="3">
        <v>0.2475</v>
      </c>
      <c r="R65" s="2">
        <v>120</v>
      </c>
      <c r="S65" s="2">
        <v>40</v>
      </c>
      <c r="T65" s="2">
        <v>50</v>
      </c>
      <c r="U65" s="3">
        <v>0.41670000000000001</v>
      </c>
      <c r="V65" s="2">
        <v>-25</v>
      </c>
    </row>
    <row r="66" spans="1:22" x14ac:dyDescent="0.25">
      <c r="A66" t="s">
        <v>131</v>
      </c>
      <c r="B66" s="1">
        <v>45313</v>
      </c>
      <c r="C66">
        <v>518</v>
      </c>
      <c r="D66" t="s">
        <v>99</v>
      </c>
      <c r="E66" t="s">
        <v>79</v>
      </c>
      <c r="F66" t="s">
        <v>32</v>
      </c>
      <c r="G66" t="s">
        <v>26</v>
      </c>
      <c r="H66" t="s">
        <v>27</v>
      </c>
      <c r="I66" t="s">
        <v>59</v>
      </c>
      <c r="J66" t="s">
        <v>29</v>
      </c>
      <c r="K66">
        <v>601</v>
      </c>
      <c r="L66">
        <v>15</v>
      </c>
      <c r="M66" s="2">
        <v>133</v>
      </c>
      <c r="N66" s="2">
        <v>54</v>
      </c>
      <c r="O66" s="2">
        <v>27</v>
      </c>
      <c r="P66" s="2">
        <v>52</v>
      </c>
      <c r="Q66" s="3">
        <v>0.39100000000000001</v>
      </c>
      <c r="R66" s="2">
        <v>130</v>
      </c>
      <c r="S66" s="2">
        <v>50</v>
      </c>
      <c r="T66" s="2">
        <v>60</v>
      </c>
      <c r="U66" s="3">
        <v>0.46150000000000002</v>
      </c>
      <c r="V66" s="2">
        <v>-8</v>
      </c>
    </row>
    <row r="67" spans="1:22" x14ac:dyDescent="0.25">
      <c r="A67" t="s">
        <v>132</v>
      </c>
      <c r="B67" s="1">
        <v>45313</v>
      </c>
      <c r="C67">
        <v>631</v>
      </c>
      <c r="D67" t="s">
        <v>99</v>
      </c>
      <c r="E67" t="s">
        <v>79</v>
      </c>
      <c r="F67" t="s">
        <v>32</v>
      </c>
      <c r="G67" t="s">
        <v>26</v>
      </c>
      <c r="H67" t="s">
        <v>38</v>
      </c>
      <c r="I67" t="s">
        <v>46</v>
      </c>
      <c r="J67" t="s">
        <v>40</v>
      </c>
      <c r="K67">
        <v>1704</v>
      </c>
      <c r="L67">
        <v>93</v>
      </c>
      <c r="M67" s="2">
        <v>576</v>
      </c>
      <c r="N67" s="2">
        <v>245</v>
      </c>
      <c r="O67" s="2">
        <v>127</v>
      </c>
      <c r="P67" s="2">
        <v>204</v>
      </c>
      <c r="Q67" s="3">
        <v>0.35420000000000001</v>
      </c>
      <c r="R67" s="2">
        <v>420</v>
      </c>
      <c r="S67" s="2">
        <v>180</v>
      </c>
      <c r="T67" s="2">
        <v>140</v>
      </c>
      <c r="U67" s="3">
        <v>0.33329999999999999</v>
      </c>
      <c r="V67" s="2">
        <v>64</v>
      </c>
    </row>
    <row r="68" spans="1:22" x14ac:dyDescent="0.25">
      <c r="A68" t="s">
        <v>133</v>
      </c>
      <c r="B68" s="1">
        <v>45313</v>
      </c>
      <c r="C68">
        <v>503</v>
      </c>
      <c r="D68" t="s">
        <v>71</v>
      </c>
      <c r="E68" t="s">
        <v>53</v>
      </c>
      <c r="F68" t="s">
        <v>25</v>
      </c>
      <c r="G68" t="s">
        <v>26</v>
      </c>
      <c r="H68" t="s">
        <v>27</v>
      </c>
      <c r="I68" t="s">
        <v>59</v>
      </c>
      <c r="J68" t="s">
        <v>29</v>
      </c>
      <c r="K68">
        <v>690</v>
      </c>
      <c r="L68">
        <v>41</v>
      </c>
      <c r="M68" s="2">
        <v>320</v>
      </c>
      <c r="N68" s="2">
        <v>134</v>
      </c>
      <c r="O68" s="2">
        <v>65</v>
      </c>
      <c r="P68" s="2">
        <v>121</v>
      </c>
      <c r="Q68" s="3">
        <v>0.37809999999999999</v>
      </c>
      <c r="R68" s="2">
        <v>230</v>
      </c>
      <c r="S68" s="2">
        <v>90</v>
      </c>
      <c r="T68" s="2">
        <v>100</v>
      </c>
      <c r="U68" s="3">
        <v>0.43480000000000002</v>
      </c>
      <c r="V68" s="2">
        <v>21</v>
      </c>
    </row>
    <row r="69" spans="1:22" x14ac:dyDescent="0.25">
      <c r="A69" t="s">
        <v>134</v>
      </c>
      <c r="B69" s="1">
        <v>45314</v>
      </c>
      <c r="C69">
        <v>860</v>
      </c>
      <c r="D69" t="s">
        <v>135</v>
      </c>
      <c r="E69" t="s">
        <v>79</v>
      </c>
      <c r="F69" t="s">
        <v>25</v>
      </c>
      <c r="G69" t="s">
        <v>26</v>
      </c>
      <c r="H69" t="s">
        <v>27</v>
      </c>
      <c r="I69" t="s">
        <v>28</v>
      </c>
      <c r="J69" t="s">
        <v>29</v>
      </c>
      <c r="K69">
        <v>898</v>
      </c>
      <c r="L69">
        <v>14</v>
      </c>
      <c r="M69" s="2">
        <v>123</v>
      </c>
      <c r="N69" s="2">
        <v>50</v>
      </c>
      <c r="O69" s="2">
        <v>26</v>
      </c>
      <c r="P69" s="2">
        <v>47</v>
      </c>
      <c r="Q69" s="3">
        <v>0.3821</v>
      </c>
      <c r="R69" s="2">
        <v>120</v>
      </c>
      <c r="S69" s="2">
        <v>50</v>
      </c>
      <c r="T69" s="2">
        <v>50</v>
      </c>
      <c r="U69" s="3">
        <v>0.41670000000000001</v>
      </c>
      <c r="V69" s="2">
        <v>-3</v>
      </c>
    </row>
    <row r="70" spans="1:22" x14ac:dyDescent="0.25">
      <c r="A70" t="s">
        <v>136</v>
      </c>
      <c r="B70" s="1">
        <v>45314</v>
      </c>
      <c r="C70">
        <v>801</v>
      </c>
      <c r="D70" t="s">
        <v>95</v>
      </c>
      <c r="E70" t="s">
        <v>53</v>
      </c>
      <c r="F70" t="s">
        <v>25</v>
      </c>
      <c r="G70" t="s">
        <v>33</v>
      </c>
      <c r="H70" t="s">
        <v>34</v>
      </c>
      <c r="I70" t="s">
        <v>83</v>
      </c>
      <c r="J70" t="s">
        <v>40</v>
      </c>
      <c r="K70">
        <v>601</v>
      </c>
      <c r="L70">
        <v>31</v>
      </c>
      <c r="M70" s="2">
        <v>184</v>
      </c>
      <c r="N70" s="2">
        <v>82</v>
      </c>
      <c r="O70" s="2">
        <v>64</v>
      </c>
      <c r="P70" s="2">
        <v>38</v>
      </c>
      <c r="Q70" s="3">
        <v>0.20649999999999999</v>
      </c>
      <c r="R70" s="2">
        <v>210</v>
      </c>
      <c r="S70" s="2">
        <v>90</v>
      </c>
      <c r="T70" s="2">
        <v>60</v>
      </c>
      <c r="U70" s="3">
        <v>0.28570000000000001</v>
      </c>
      <c r="V70" s="2">
        <v>-22</v>
      </c>
    </row>
    <row r="71" spans="1:22" x14ac:dyDescent="0.25">
      <c r="A71" t="s">
        <v>137</v>
      </c>
      <c r="B71" s="1">
        <v>45315</v>
      </c>
      <c r="C71">
        <v>573</v>
      </c>
      <c r="D71" t="s">
        <v>58</v>
      </c>
      <c r="E71" t="s">
        <v>24</v>
      </c>
      <c r="F71" t="s">
        <v>25</v>
      </c>
      <c r="G71" t="s">
        <v>26</v>
      </c>
      <c r="H71" t="s">
        <v>38</v>
      </c>
      <c r="I71" t="s">
        <v>46</v>
      </c>
      <c r="J71" t="s">
        <v>40</v>
      </c>
      <c r="K71">
        <v>1898</v>
      </c>
      <c r="L71">
        <v>28</v>
      </c>
      <c r="M71" s="2">
        <v>160</v>
      </c>
      <c r="N71" s="2">
        <v>92</v>
      </c>
      <c r="O71" s="2">
        <v>52</v>
      </c>
      <c r="P71" s="2">
        <v>16</v>
      </c>
      <c r="Q71" s="3">
        <v>0.1</v>
      </c>
      <c r="R71" s="2">
        <v>140</v>
      </c>
      <c r="S71" s="2">
        <v>80</v>
      </c>
      <c r="T71" s="2">
        <v>20</v>
      </c>
      <c r="U71" s="3">
        <v>0.1429</v>
      </c>
      <c r="V71" s="2">
        <v>-4</v>
      </c>
    </row>
    <row r="72" spans="1:22" x14ac:dyDescent="0.25">
      <c r="A72" t="s">
        <v>138</v>
      </c>
      <c r="B72" s="1">
        <v>45316</v>
      </c>
      <c r="C72">
        <v>509</v>
      </c>
      <c r="D72" t="s">
        <v>52</v>
      </c>
      <c r="E72" t="s">
        <v>53</v>
      </c>
      <c r="F72" t="s">
        <v>25</v>
      </c>
      <c r="G72" t="s">
        <v>26</v>
      </c>
      <c r="H72" t="s">
        <v>27</v>
      </c>
      <c r="I72" t="s">
        <v>28</v>
      </c>
      <c r="J72" t="s">
        <v>29</v>
      </c>
      <c r="K72">
        <v>320</v>
      </c>
      <c r="L72">
        <v>12</v>
      </c>
      <c r="M72" s="2">
        <v>107</v>
      </c>
      <c r="N72" s="2">
        <v>41</v>
      </c>
      <c r="O72" s="2">
        <v>36</v>
      </c>
      <c r="P72" s="2">
        <v>30</v>
      </c>
      <c r="Q72" s="3">
        <v>0.28039999999999998</v>
      </c>
      <c r="R72" s="2">
        <v>70</v>
      </c>
      <c r="S72" s="2">
        <v>30</v>
      </c>
      <c r="T72" s="2">
        <v>20</v>
      </c>
      <c r="U72" s="3">
        <v>0.28570000000000001</v>
      </c>
      <c r="V72" s="2">
        <v>10</v>
      </c>
    </row>
    <row r="73" spans="1:22" x14ac:dyDescent="0.25">
      <c r="A73" t="s">
        <v>139</v>
      </c>
      <c r="B73" s="1">
        <v>45316</v>
      </c>
      <c r="C73">
        <v>541</v>
      </c>
      <c r="D73" t="s">
        <v>71</v>
      </c>
      <c r="E73" t="s">
        <v>53</v>
      </c>
      <c r="F73" t="s">
        <v>25</v>
      </c>
      <c r="G73" t="s">
        <v>33</v>
      </c>
      <c r="H73" t="s">
        <v>54</v>
      </c>
      <c r="I73" t="s">
        <v>68</v>
      </c>
      <c r="J73" t="s">
        <v>29</v>
      </c>
      <c r="K73">
        <v>405</v>
      </c>
      <c r="L73">
        <v>17</v>
      </c>
      <c r="M73" s="2">
        <v>131</v>
      </c>
      <c r="N73" s="2">
        <v>52</v>
      </c>
      <c r="O73" s="2">
        <v>44</v>
      </c>
      <c r="P73" s="2">
        <v>40</v>
      </c>
      <c r="Q73" s="3">
        <v>0.30530000000000002</v>
      </c>
      <c r="R73" s="2">
        <v>100</v>
      </c>
      <c r="S73" s="2">
        <v>30</v>
      </c>
      <c r="T73" s="2">
        <v>60</v>
      </c>
      <c r="U73" s="3">
        <v>0.6</v>
      </c>
      <c r="V73" s="2">
        <v>-20</v>
      </c>
    </row>
    <row r="74" spans="1:22" x14ac:dyDescent="0.25">
      <c r="A74" t="s">
        <v>140</v>
      </c>
      <c r="B74" s="1">
        <v>45316</v>
      </c>
      <c r="C74">
        <v>203</v>
      </c>
      <c r="D74" t="s">
        <v>135</v>
      </c>
      <c r="E74" t="s">
        <v>79</v>
      </c>
      <c r="F74" t="s">
        <v>25</v>
      </c>
      <c r="G74" t="s">
        <v>33</v>
      </c>
      <c r="H74" t="s">
        <v>54</v>
      </c>
      <c r="I74" t="s">
        <v>55</v>
      </c>
      <c r="J74" t="s">
        <v>40</v>
      </c>
      <c r="K74">
        <v>380</v>
      </c>
      <c r="L74">
        <v>17</v>
      </c>
      <c r="M74" s="2">
        <v>132</v>
      </c>
      <c r="N74" s="2">
        <v>53</v>
      </c>
      <c r="O74" s="2">
        <v>45</v>
      </c>
      <c r="P74" s="2">
        <v>39</v>
      </c>
      <c r="Q74" s="3">
        <v>0.29549999999999998</v>
      </c>
      <c r="R74" s="2">
        <v>120</v>
      </c>
      <c r="S74" s="2">
        <v>50</v>
      </c>
      <c r="T74" s="2">
        <v>40</v>
      </c>
      <c r="U74" s="3">
        <v>0.33329999999999999</v>
      </c>
      <c r="V74" s="2">
        <v>-1</v>
      </c>
    </row>
    <row r="75" spans="1:22" x14ac:dyDescent="0.25">
      <c r="A75" t="s">
        <v>141</v>
      </c>
      <c r="B75" s="1">
        <v>45316</v>
      </c>
      <c r="C75">
        <v>351</v>
      </c>
      <c r="D75" t="s">
        <v>78</v>
      </c>
      <c r="E75" t="s">
        <v>79</v>
      </c>
      <c r="F75" t="s">
        <v>32</v>
      </c>
      <c r="G75" t="s">
        <v>33</v>
      </c>
      <c r="H75" t="s">
        <v>54</v>
      </c>
      <c r="I75" t="s">
        <v>101</v>
      </c>
      <c r="J75" t="s">
        <v>29</v>
      </c>
      <c r="K75">
        <v>1319</v>
      </c>
      <c r="L75">
        <v>42</v>
      </c>
      <c r="M75" s="2">
        <v>306</v>
      </c>
      <c r="N75" s="2">
        <v>153</v>
      </c>
      <c r="O75" s="2">
        <v>66</v>
      </c>
      <c r="P75" s="2">
        <v>87</v>
      </c>
      <c r="Q75" s="3">
        <v>0.2843</v>
      </c>
      <c r="R75" s="2">
        <v>290</v>
      </c>
      <c r="S75" s="2">
        <v>150</v>
      </c>
      <c r="T75" s="2">
        <v>80</v>
      </c>
      <c r="U75" s="3">
        <v>0.27589999999999998</v>
      </c>
      <c r="V75" s="2">
        <v>7</v>
      </c>
    </row>
    <row r="76" spans="1:22" x14ac:dyDescent="0.25">
      <c r="A76" t="s">
        <v>142</v>
      </c>
      <c r="B76" s="1">
        <v>45316</v>
      </c>
      <c r="C76">
        <v>702</v>
      </c>
      <c r="D76" t="s">
        <v>65</v>
      </c>
      <c r="E76" t="s">
        <v>53</v>
      </c>
      <c r="F76" t="s">
        <v>25</v>
      </c>
      <c r="G76" t="s">
        <v>26</v>
      </c>
      <c r="H76" t="s">
        <v>27</v>
      </c>
      <c r="I76" t="s">
        <v>42</v>
      </c>
      <c r="J76" t="s">
        <v>29</v>
      </c>
      <c r="K76">
        <v>1778</v>
      </c>
      <c r="L76">
        <v>59</v>
      </c>
      <c r="M76" s="2">
        <v>423</v>
      </c>
      <c r="N76" s="2">
        <v>211</v>
      </c>
      <c r="O76" s="2">
        <v>84</v>
      </c>
      <c r="P76" s="2">
        <v>128</v>
      </c>
      <c r="Q76" s="3">
        <v>0.30259999999999998</v>
      </c>
      <c r="R76" s="2">
        <v>300</v>
      </c>
      <c r="S76" s="2">
        <v>150</v>
      </c>
      <c r="T76" s="2">
        <v>80</v>
      </c>
      <c r="U76" s="3">
        <v>0.26669999999999999</v>
      </c>
      <c r="V76" s="2">
        <v>48</v>
      </c>
    </row>
    <row r="77" spans="1:22" x14ac:dyDescent="0.25">
      <c r="A77" t="s">
        <v>143</v>
      </c>
      <c r="B77" s="1">
        <v>45317</v>
      </c>
      <c r="C77">
        <v>225</v>
      </c>
      <c r="D77" t="s">
        <v>49</v>
      </c>
      <c r="E77" t="s">
        <v>45</v>
      </c>
      <c r="F77" t="s">
        <v>25</v>
      </c>
      <c r="G77" t="s">
        <v>26</v>
      </c>
      <c r="H77" t="s">
        <v>38</v>
      </c>
      <c r="I77" t="s">
        <v>46</v>
      </c>
      <c r="J77" t="s">
        <v>40</v>
      </c>
      <c r="K77">
        <v>593</v>
      </c>
      <c r="L77">
        <v>30</v>
      </c>
      <c r="M77" s="2">
        <v>189</v>
      </c>
      <c r="N77" s="2">
        <v>79</v>
      </c>
      <c r="O77" s="2">
        <v>64</v>
      </c>
      <c r="P77" s="2">
        <v>50</v>
      </c>
      <c r="Q77" s="3">
        <v>0.2646</v>
      </c>
      <c r="R77" s="2">
        <v>150</v>
      </c>
      <c r="S77" s="2">
        <v>60</v>
      </c>
      <c r="T77" s="2">
        <v>60</v>
      </c>
      <c r="U77" s="3">
        <v>0.4</v>
      </c>
      <c r="V77" s="2">
        <v>-10</v>
      </c>
    </row>
    <row r="78" spans="1:22" x14ac:dyDescent="0.25">
      <c r="A78" t="s">
        <v>144</v>
      </c>
      <c r="B78" s="1">
        <v>45317</v>
      </c>
      <c r="C78">
        <v>508</v>
      </c>
      <c r="D78" t="s">
        <v>78</v>
      </c>
      <c r="E78" t="s">
        <v>79</v>
      </c>
      <c r="F78" t="s">
        <v>32</v>
      </c>
      <c r="G78" t="s">
        <v>33</v>
      </c>
      <c r="H78" t="s">
        <v>54</v>
      </c>
      <c r="I78" t="s">
        <v>101</v>
      </c>
      <c r="J78" t="s">
        <v>29</v>
      </c>
      <c r="K78">
        <v>1267</v>
      </c>
      <c r="L78">
        <v>45</v>
      </c>
      <c r="M78" s="2">
        <v>343</v>
      </c>
      <c r="N78" s="2">
        <v>161</v>
      </c>
      <c r="O78" s="2">
        <v>69</v>
      </c>
      <c r="P78" s="2">
        <v>137</v>
      </c>
      <c r="Q78" s="3">
        <v>0.39939999999999998</v>
      </c>
      <c r="R78" s="2">
        <v>300</v>
      </c>
      <c r="S78" s="2">
        <v>140</v>
      </c>
      <c r="T78" s="2">
        <v>120</v>
      </c>
      <c r="U78" s="3">
        <v>0.4</v>
      </c>
      <c r="V78" s="2">
        <v>17</v>
      </c>
    </row>
    <row r="79" spans="1:22" x14ac:dyDescent="0.25">
      <c r="A79" t="s">
        <v>145</v>
      </c>
      <c r="B79" s="1">
        <v>45318</v>
      </c>
      <c r="C79">
        <v>904</v>
      </c>
      <c r="D79" t="s">
        <v>117</v>
      </c>
      <c r="E79" t="s">
        <v>79</v>
      </c>
      <c r="F79" t="s">
        <v>32</v>
      </c>
      <c r="G79" t="s">
        <v>26</v>
      </c>
      <c r="H79" t="s">
        <v>38</v>
      </c>
      <c r="I79" t="s">
        <v>66</v>
      </c>
      <c r="J79" t="s">
        <v>40</v>
      </c>
      <c r="K79">
        <v>1055</v>
      </c>
      <c r="L79">
        <v>24</v>
      </c>
      <c r="M79" s="2">
        <v>185</v>
      </c>
      <c r="N79" s="2">
        <v>80</v>
      </c>
      <c r="O79" s="2">
        <v>46</v>
      </c>
      <c r="P79" s="2">
        <v>71</v>
      </c>
      <c r="Q79" s="3">
        <v>0.38379999999999997</v>
      </c>
      <c r="R79" s="2">
        <v>90</v>
      </c>
      <c r="S79" s="2">
        <v>40</v>
      </c>
      <c r="T79" s="2">
        <v>40</v>
      </c>
      <c r="U79" s="3">
        <v>0.44440000000000002</v>
      </c>
      <c r="V79" s="2">
        <v>31</v>
      </c>
    </row>
    <row r="80" spans="1:22" x14ac:dyDescent="0.25">
      <c r="A80" t="s">
        <v>146</v>
      </c>
      <c r="B80" s="1">
        <v>45318</v>
      </c>
      <c r="C80">
        <v>603</v>
      </c>
      <c r="D80" t="s">
        <v>109</v>
      </c>
      <c r="E80" t="s">
        <v>79</v>
      </c>
      <c r="F80" t="s">
        <v>25</v>
      </c>
      <c r="G80" t="s">
        <v>26</v>
      </c>
      <c r="H80" t="s">
        <v>38</v>
      </c>
      <c r="I80" t="s">
        <v>46</v>
      </c>
      <c r="J80" t="s">
        <v>40</v>
      </c>
      <c r="K80">
        <v>250</v>
      </c>
      <c r="L80">
        <v>14</v>
      </c>
      <c r="M80" s="2">
        <v>94</v>
      </c>
      <c r="N80" s="2">
        <v>39</v>
      </c>
      <c r="O80" s="2">
        <v>47</v>
      </c>
      <c r="P80" s="2">
        <v>3</v>
      </c>
      <c r="Q80" s="3">
        <v>3.1899999999999998E-2</v>
      </c>
      <c r="R80" s="2">
        <v>60</v>
      </c>
      <c r="S80" s="2">
        <v>20</v>
      </c>
      <c r="T80" s="2">
        <v>10</v>
      </c>
      <c r="U80" s="3">
        <v>0.16669999999999999</v>
      </c>
      <c r="V80" s="2">
        <v>-7</v>
      </c>
    </row>
    <row r="81" spans="1:22" x14ac:dyDescent="0.25">
      <c r="A81" t="s">
        <v>147</v>
      </c>
      <c r="B81" s="1">
        <v>45318</v>
      </c>
      <c r="C81">
        <v>918</v>
      </c>
      <c r="D81" t="s">
        <v>148</v>
      </c>
      <c r="E81" t="s">
        <v>45</v>
      </c>
      <c r="F81" t="s">
        <v>25</v>
      </c>
      <c r="G81" t="s">
        <v>33</v>
      </c>
      <c r="H81" t="s">
        <v>34</v>
      </c>
      <c r="I81" t="s">
        <v>50</v>
      </c>
      <c r="J81" t="s">
        <v>29</v>
      </c>
      <c r="K81">
        <v>572</v>
      </c>
      <c r="L81">
        <v>29</v>
      </c>
      <c r="M81" s="2">
        <v>205</v>
      </c>
      <c r="N81" s="2">
        <v>90</v>
      </c>
      <c r="O81" s="2">
        <v>41</v>
      </c>
      <c r="P81" s="2">
        <v>74</v>
      </c>
      <c r="Q81" s="3">
        <v>0.36099999999999999</v>
      </c>
      <c r="R81" s="2">
        <v>290</v>
      </c>
      <c r="S81" s="2">
        <v>130</v>
      </c>
      <c r="T81" s="2">
        <v>140</v>
      </c>
      <c r="U81" s="3">
        <v>0.48280000000000001</v>
      </c>
      <c r="V81" s="2">
        <v>-66</v>
      </c>
    </row>
    <row r="82" spans="1:22" x14ac:dyDescent="0.25">
      <c r="A82" t="s">
        <v>149</v>
      </c>
      <c r="B82" s="1">
        <v>45318</v>
      </c>
      <c r="C82">
        <v>617</v>
      </c>
      <c r="D82" t="s">
        <v>78</v>
      </c>
      <c r="E82" t="s">
        <v>79</v>
      </c>
      <c r="F82" t="s">
        <v>32</v>
      </c>
      <c r="G82" t="s">
        <v>33</v>
      </c>
      <c r="H82" t="s">
        <v>54</v>
      </c>
      <c r="I82" t="s">
        <v>101</v>
      </c>
      <c r="J82" t="s">
        <v>29</v>
      </c>
      <c r="K82">
        <v>1283</v>
      </c>
      <c r="L82">
        <v>50</v>
      </c>
      <c r="M82" s="2">
        <v>387</v>
      </c>
      <c r="N82" s="2">
        <v>181</v>
      </c>
      <c r="O82" s="2">
        <v>74</v>
      </c>
      <c r="P82" s="2">
        <v>160</v>
      </c>
      <c r="Q82" s="3">
        <v>0.41339999999999999</v>
      </c>
      <c r="R82" s="2">
        <v>350</v>
      </c>
      <c r="S82" s="2">
        <v>170</v>
      </c>
      <c r="T82" s="2">
        <v>120</v>
      </c>
      <c r="U82" s="3">
        <v>0.34289999999999998</v>
      </c>
      <c r="V82" s="2">
        <v>40</v>
      </c>
    </row>
    <row r="83" spans="1:22" x14ac:dyDescent="0.25">
      <c r="A83" t="s">
        <v>150</v>
      </c>
      <c r="B83" s="1">
        <v>45319</v>
      </c>
      <c r="C83">
        <v>920</v>
      </c>
      <c r="D83" t="s">
        <v>23</v>
      </c>
      <c r="E83" t="s">
        <v>24</v>
      </c>
      <c r="F83" t="s">
        <v>25</v>
      </c>
      <c r="G83" t="s">
        <v>26</v>
      </c>
      <c r="H83" t="s">
        <v>27</v>
      </c>
      <c r="I83" t="s">
        <v>42</v>
      </c>
      <c r="J83" t="s">
        <v>29</v>
      </c>
      <c r="K83">
        <v>627</v>
      </c>
      <c r="L83">
        <v>49</v>
      </c>
      <c r="M83" s="2">
        <v>131</v>
      </c>
      <c r="N83" s="2">
        <v>55</v>
      </c>
      <c r="O83" s="2">
        <v>79</v>
      </c>
      <c r="P83" s="2">
        <v>-3</v>
      </c>
      <c r="Q83" s="3">
        <v>-2.29E-2</v>
      </c>
      <c r="R83" s="2">
        <v>100</v>
      </c>
      <c r="S83" s="2">
        <v>40</v>
      </c>
      <c r="T83" s="2">
        <v>0</v>
      </c>
      <c r="U83" s="3">
        <v>0</v>
      </c>
      <c r="V83" s="2">
        <v>-3</v>
      </c>
    </row>
    <row r="84" spans="1:22" x14ac:dyDescent="0.25">
      <c r="A84" t="s">
        <v>151</v>
      </c>
      <c r="B84" s="1">
        <v>45319</v>
      </c>
      <c r="C84">
        <v>203</v>
      </c>
      <c r="D84" t="s">
        <v>135</v>
      </c>
      <c r="E84" t="s">
        <v>79</v>
      </c>
      <c r="F84" t="s">
        <v>25</v>
      </c>
      <c r="G84" t="s">
        <v>26</v>
      </c>
      <c r="H84" t="s">
        <v>38</v>
      </c>
      <c r="I84" t="s">
        <v>66</v>
      </c>
      <c r="J84" t="s">
        <v>40</v>
      </c>
      <c r="K84">
        <v>1053</v>
      </c>
      <c r="L84">
        <v>20</v>
      </c>
      <c r="M84" s="2">
        <v>151</v>
      </c>
      <c r="N84" s="2">
        <v>65</v>
      </c>
      <c r="O84" s="2">
        <v>42</v>
      </c>
      <c r="P84" s="2">
        <v>52</v>
      </c>
      <c r="Q84" s="3">
        <v>0.34439999999999998</v>
      </c>
      <c r="R84" s="2">
        <v>80</v>
      </c>
      <c r="S84" s="2">
        <v>30</v>
      </c>
      <c r="T84" s="2">
        <v>50</v>
      </c>
      <c r="U84" s="3">
        <v>0.625</v>
      </c>
      <c r="V84" s="2">
        <v>2</v>
      </c>
    </row>
    <row r="85" spans="1:22" x14ac:dyDescent="0.25">
      <c r="A85" t="s">
        <v>152</v>
      </c>
      <c r="B85" s="1">
        <v>45319</v>
      </c>
      <c r="C85">
        <v>206</v>
      </c>
      <c r="D85" t="s">
        <v>52</v>
      </c>
      <c r="E85" t="s">
        <v>53</v>
      </c>
      <c r="F85" t="s">
        <v>25</v>
      </c>
      <c r="G85" t="s">
        <v>33</v>
      </c>
      <c r="H85" t="s">
        <v>54</v>
      </c>
      <c r="I85" t="s">
        <v>55</v>
      </c>
      <c r="J85" t="s">
        <v>40</v>
      </c>
      <c r="K85">
        <v>1063</v>
      </c>
      <c r="L85">
        <v>23</v>
      </c>
      <c r="M85" s="2">
        <v>164</v>
      </c>
      <c r="N85" s="2">
        <v>75</v>
      </c>
      <c r="O85" s="2">
        <v>44</v>
      </c>
      <c r="P85" s="2">
        <v>45</v>
      </c>
      <c r="Q85" s="3">
        <v>0.27439999999999998</v>
      </c>
      <c r="R85" s="2">
        <v>150</v>
      </c>
      <c r="S85" s="2">
        <v>70</v>
      </c>
      <c r="T85" s="2">
        <v>40</v>
      </c>
      <c r="U85" s="3">
        <v>0.26669999999999999</v>
      </c>
      <c r="V85" s="2">
        <v>5</v>
      </c>
    </row>
    <row r="86" spans="1:22" x14ac:dyDescent="0.25">
      <c r="A86" t="s">
        <v>153</v>
      </c>
      <c r="B86" s="1">
        <v>45319</v>
      </c>
      <c r="C86">
        <v>817</v>
      </c>
      <c r="D86" t="s">
        <v>76</v>
      </c>
      <c r="E86" t="s">
        <v>45</v>
      </c>
      <c r="F86" t="s">
        <v>32</v>
      </c>
      <c r="G86" t="s">
        <v>33</v>
      </c>
      <c r="H86" t="s">
        <v>54</v>
      </c>
      <c r="I86" t="s">
        <v>72</v>
      </c>
      <c r="J86" t="s">
        <v>29</v>
      </c>
      <c r="K86">
        <v>-1050</v>
      </c>
      <c r="L86">
        <v>24</v>
      </c>
      <c r="M86" s="2">
        <v>189</v>
      </c>
      <c r="N86" s="2">
        <v>75</v>
      </c>
      <c r="O86" s="2">
        <v>55</v>
      </c>
      <c r="P86" s="2">
        <v>59</v>
      </c>
      <c r="Q86" s="3">
        <v>0.31219999999999998</v>
      </c>
      <c r="R86" s="2">
        <v>140</v>
      </c>
      <c r="S86" s="2">
        <v>50</v>
      </c>
      <c r="T86" s="2">
        <v>40</v>
      </c>
      <c r="U86" s="3">
        <v>0.28570000000000001</v>
      </c>
      <c r="V86" s="2">
        <v>19</v>
      </c>
    </row>
    <row r="87" spans="1:22" x14ac:dyDescent="0.25">
      <c r="A87" t="s">
        <v>154</v>
      </c>
      <c r="B87" s="1">
        <v>45323</v>
      </c>
      <c r="C87">
        <v>562</v>
      </c>
      <c r="D87" t="s">
        <v>62</v>
      </c>
      <c r="E87" t="s">
        <v>53</v>
      </c>
      <c r="F87" t="s">
        <v>32</v>
      </c>
      <c r="G87" t="s">
        <v>26</v>
      </c>
      <c r="H87" t="s">
        <v>27</v>
      </c>
      <c r="I87" t="s">
        <v>59</v>
      </c>
      <c r="J87" t="s">
        <v>29</v>
      </c>
      <c r="K87">
        <v>650</v>
      </c>
      <c r="L87">
        <v>23</v>
      </c>
      <c r="M87" s="2">
        <v>182</v>
      </c>
      <c r="N87" s="2">
        <v>72</v>
      </c>
      <c r="O87" s="2">
        <v>54</v>
      </c>
      <c r="P87" s="2">
        <v>56</v>
      </c>
      <c r="Q87" s="3">
        <v>0.30769999999999997</v>
      </c>
      <c r="R87" s="2">
        <v>80</v>
      </c>
      <c r="S87" s="2">
        <v>20</v>
      </c>
      <c r="T87" s="2">
        <v>50</v>
      </c>
      <c r="U87" s="3">
        <v>0.625</v>
      </c>
      <c r="V87" s="2">
        <v>6</v>
      </c>
    </row>
    <row r="88" spans="1:22" x14ac:dyDescent="0.25">
      <c r="A88" t="s">
        <v>155</v>
      </c>
      <c r="B88" s="1">
        <v>45323</v>
      </c>
      <c r="C88">
        <v>206</v>
      </c>
      <c r="D88" t="s">
        <v>52</v>
      </c>
      <c r="E88" t="s">
        <v>53</v>
      </c>
      <c r="F88" t="s">
        <v>25</v>
      </c>
      <c r="G88" t="s">
        <v>33</v>
      </c>
      <c r="H88" t="s">
        <v>34</v>
      </c>
      <c r="I88" t="s">
        <v>50</v>
      </c>
      <c r="J88" t="s">
        <v>29</v>
      </c>
      <c r="K88">
        <v>438</v>
      </c>
      <c r="L88">
        <v>21</v>
      </c>
      <c r="M88" s="2">
        <v>167</v>
      </c>
      <c r="N88" s="2">
        <v>68</v>
      </c>
      <c r="O88" s="2">
        <v>43</v>
      </c>
      <c r="P88" s="2">
        <v>56</v>
      </c>
      <c r="Q88" s="3">
        <v>0.33529999999999999</v>
      </c>
      <c r="R88" s="2">
        <v>230</v>
      </c>
      <c r="S88" s="2">
        <v>90</v>
      </c>
      <c r="T88" s="2">
        <v>110</v>
      </c>
      <c r="U88" s="3">
        <v>0.4783</v>
      </c>
      <c r="V88" s="2">
        <v>-54</v>
      </c>
    </row>
    <row r="89" spans="1:22" x14ac:dyDescent="0.25">
      <c r="A89" t="s">
        <v>156</v>
      </c>
      <c r="B89" s="1">
        <v>45324</v>
      </c>
      <c r="C89">
        <v>603</v>
      </c>
      <c r="D89" t="s">
        <v>109</v>
      </c>
      <c r="E89" t="s">
        <v>79</v>
      </c>
      <c r="F89" t="s">
        <v>25</v>
      </c>
      <c r="G89" t="s">
        <v>26</v>
      </c>
      <c r="H89" t="s">
        <v>27</v>
      </c>
      <c r="I89" t="s">
        <v>28</v>
      </c>
      <c r="J89" t="s">
        <v>29</v>
      </c>
      <c r="K89">
        <v>851</v>
      </c>
      <c r="L89">
        <v>4</v>
      </c>
      <c r="M89" s="2">
        <v>41</v>
      </c>
      <c r="N89" s="2">
        <v>16</v>
      </c>
      <c r="O89" s="2">
        <v>15</v>
      </c>
      <c r="P89" s="2">
        <v>10</v>
      </c>
      <c r="Q89" s="3">
        <v>0.24390000000000001</v>
      </c>
      <c r="R89" s="2">
        <v>40</v>
      </c>
      <c r="S89" s="2">
        <v>10</v>
      </c>
      <c r="T89" s="2">
        <v>20</v>
      </c>
      <c r="U89" s="3">
        <v>0.5</v>
      </c>
      <c r="V89" s="2">
        <v>-10</v>
      </c>
    </row>
    <row r="90" spans="1:22" x14ac:dyDescent="0.25">
      <c r="A90" t="s">
        <v>157</v>
      </c>
      <c r="B90" s="1">
        <v>45324</v>
      </c>
      <c r="C90">
        <v>505</v>
      </c>
      <c r="D90" t="s">
        <v>44</v>
      </c>
      <c r="E90" t="s">
        <v>45</v>
      </c>
      <c r="F90" t="s">
        <v>25</v>
      </c>
      <c r="G90" t="s">
        <v>33</v>
      </c>
      <c r="H90" t="s">
        <v>54</v>
      </c>
      <c r="I90" t="s">
        <v>55</v>
      </c>
      <c r="J90" t="s">
        <v>40</v>
      </c>
      <c r="K90">
        <v>244</v>
      </c>
      <c r="L90">
        <v>12</v>
      </c>
      <c r="M90" s="2">
        <v>98</v>
      </c>
      <c r="N90" s="2">
        <v>39</v>
      </c>
      <c r="O90" s="2">
        <v>39</v>
      </c>
      <c r="P90" s="2">
        <v>21</v>
      </c>
      <c r="Q90" s="3">
        <v>0.21429999999999999</v>
      </c>
      <c r="R90" s="2">
        <v>50</v>
      </c>
      <c r="S90" s="2">
        <v>20</v>
      </c>
      <c r="T90" s="2">
        <v>20</v>
      </c>
      <c r="U90" s="3">
        <v>0.4</v>
      </c>
      <c r="V90" s="2">
        <v>1</v>
      </c>
    </row>
    <row r="91" spans="1:22" x14ac:dyDescent="0.25">
      <c r="A91" t="s">
        <v>158</v>
      </c>
      <c r="B91" s="1">
        <v>45324</v>
      </c>
      <c r="C91">
        <v>314</v>
      </c>
      <c r="D91" t="s">
        <v>58</v>
      </c>
      <c r="E91" t="s">
        <v>24</v>
      </c>
      <c r="F91" t="s">
        <v>25</v>
      </c>
      <c r="G91" t="s">
        <v>33</v>
      </c>
      <c r="H91" t="s">
        <v>54</v>
      </c>
      <c r="I91" t="s">
        <v>68</v>
      </c>
      <c r="J91" t="s">
        <v>29</v>
      </c>
      <c r="K91">
        <v>898</v>
      </c>
      <c r="L91">
        <v>14</v>
      </c>
      <c r="M91" s="2">
        <v>123</v>
      </c>
      <c r="N91" s="2">
        <v>50</v>
      </c>
      <c r="O91" s="2">
        <v>25</v>
      </c>
      <c r="P91" s="2">
        <v>48</v>
      </c>
      <c r="Q91" s="3">
        <v>0.39019999999999999</v>
      </c>
      <c r="R91" s="2">
        <v>150</v>
      </c>
      <c r="S91" s="2">
        <v>60</v>
      </c>
      <c r="T91" s="2">
        <v>70</v>
      </c>
      <c r="U91" s="3">
        <v>0.4667</v>
      </c>
      <c r="V91" s="2">
        <v>-22</v>
      </c>
    </row>
    <row r="92" spans="1:22" x14ac:dyDescent="0.25">
      <c r="A92" t="s">
        <v>159</v>
      </c>
      <c r="B92" s="1">
        <v>45324</v>
      </c>
      <c r="C92">
        <v>641</v>
      </c>
      <c r="D92" t="s">
        <v>124</v>
      </c>
      <c r="E92" t="s">
        <v>24</v>
      </c>
      <c r="F92" t="s">
        <v>25</v>
      </c>
      <c r="G92" t="s">
        <v>26</v>
      </c>
      <c r="H92" t="s">
        <v>27</v>
      </c>
      <c r="I92" t="s">
        <v>28</v>
      </c>
      <c r="J92" t="s">
        <v>29</v>
      </c>
      <c r="K92">
        <v>1820</v>
      </c>
      <c r="L92">
        <v>70</v>
      </c>
      <c r="M92" s="2">
        <v>501</v>
      </c>
      <c r="N92" s="2">
        <v>250</v>
      </c>
      <c r="O92" s="2">
        <v>95</v>
      </c>
      <c r="P92" s="2">
        <v>156</v>
      </c>
      <c r="Q92" s="3">
        <v>0.31140000000000001</v>
      </c>
      <c r="R92" s="2">
        <v>410</v>
      </c>
      <c r="S92" s="2">
        <v>210</v>
      </c>
      <c r="T92" s="2">
        <v>120</v>
      </c>
      <c r="U92" s="3">
        <v>0.29270000000000002</v>
      </c>
      <c r="V92" s="2">
        <v>36</v>
      </c>
    </row>
    <row r="93" spans="1:22" x14ac:dyDescent="0.25">
      <c r="A93" t="s">
        <v>160</v>
      </c>
      <c r="B93" s="1">
        <v>45325</v>
      </c>
      <c r="C93">
        <v>339</v>
      </c>
      <c r="D93" t="s">
        <v>78</v>
      </c>
      <c r="E93" t="s">
        <v>79</v>
      </c>
      <c r="F93" t="s">
        <v>32</v>
      </c>
      <c r="G93" t="s">
        <v>33</v>
      </c>
      <c r="H93" t="s">
        <v>54</v>
      </c>
      <c r="I93" t="s">
        <v>68</v>
      </c>
      <c r="J93" t="s">
        <v>29</v>
      </c>
      <c r="K93">
        <v>571</v>
      </c>
      <c r="L93">
        <v>42</v>
      </c>
      <c r="M93" s="2">
        <v>99</v>
      </c>
      <c r="N93" s="2">
        <v>47</v>
      </c>
      <c r="O93" s="2">
        <v>72</v>
      </c>
      <c r="P93" s="2">
        <v>-20</v>
      </c>
      <c r="Q93" s="3">
        <v>-0.20200000000000001</v>
      </c>
      <c r="R93" s="2">
        <v>90</v>
      </c>
      <c r="S93" s="2">
        <v>40</v>
      </c>
      <c r="T93" s="2">
        <v>-10</v>
      </c>
      <c r="U93" s="3">
        <v>-0.1111</v>
      </c>
      <c r="V93" s="2">
        <v>-10</v>
      </c>
    </row>
    <row r="94" spans="1:22" x14ac:dyDescent="0.25">
      <c r="A94" t="s">
        <v>161</v>
      </c>
      <c r="B94" s="1">
        <v>45326</v>
      </c>
      <c r="C94">
        <v>214</v>
      </c>
      <c r="D94" t="s">
        <v>76</v>
      </c>
      <c r="E94" t="s">
        <v>45</v>
      </c>
      <c r="F94" t="s">
        <v>32</v>
      </c>
      <c r="G94" t="s">
        <v>33</v>
      </c>
      <c r="H94" t="s">
        <v>54</v>
      </c>
      <c r="I94" t="s">
        <v>55</v>
      </c>
      <c r="J94" t="s">
        <v>40</v>
      </c>
      <c r="K94">
        <v>601</v>
      </c>
      <c r="L94">
        <v>15</v>
      </c>
      <c r="M94" s="2">
        <v>133</v>
      </c>
      <c r="N94" s="2">
        <v>54</v>
      </c>
      <c r="O94" s="2">
        <v>27</v>
      </c>
      <c r="P94" s="2">
        <v>52</v>
      </c>
      <c r="Q94" s="3">
        <v>0.39100000000000001</v>
      </c>
      <c r="R94" s="2">
        <v>100</v>
      </c>
      <c r="S94" s="2">
        <v>40</v>
      </c>
      <c r="T94" s="2">
        <v>40</v>
      </c>
      <c r="U94" s="3">
        <v>0.4</v>
      </c>
      <c r="V94" s="2">
        <v>12</v>
      </c>
    </row>
    <row r="95" spans="1:22" x14ac:dyDescent="0.25">
      <c r="A95" t="s">
        <v>162</v>
      </c>
      <c r="B95" s="1">
        <v>45326</v>
      </c>
      <c r="C95">
        <v>435</v>
      </c>
      <c r="D95" t="s">
        <v>95</v>
      </c>
      <c r="E95" t="s">
        <v>53</v>
      </c>
      <c r="F95" t="s">
        <v>25</v>
      </c>
      <c r="G95" t="s">
        <v>33</v>
      </c>
      <c r="H95" t="s">
        <v>54</v>
      </c>
      <c r="I95" t="s">
        <v>72</v>
      </c>
      <c r="J95" t="s">
        <v>29</v>
      </c>
      <c r="K95">
        <v>844</v>
      </c>
      <c r="L95">
        <v>8</v>
      </c>
      <c r="M95" s="2">
        <v>82</v>
      </c>
      <c r="N95" s="2">
        <v>31</v>
      </c>
      <c r="O95" s="2">
        <v>20</v>
      </c>
      <c r="P95" s="2">
        <v>39</v>
      </c>
      <c r="Q95" s="3">
        <v>0.47560000000000002</v>
      </c>
      <c r="R95" s="2">
        <v>70</v>
      </c>
      <c r="S95" s="2">
        <v>30</v>
      </c>
      <c r="T95" s="2">
        <v>30</v>
      </c>
      <c r="U95" s="3">
        <v>0.42859999999999998</v>
      </c>
      <c r="V95" s="2">
        <v>9</v>
      </c>
    </row>
    <row r="96" spans="1:22" x14ac:dyDescent="0.25">
      <c r="A96" t="s">
        <v>163</v>
      </c>
      <c r="B96" s="1">
        <v>45326</v>
      </c>
      <c r="C96">
        <v>314</v>
      </c>
      <c r="D96" t="s">
        <v>58</v>
      </c>
      <c r="E96" t="s">
        <v>24</v>
      </c>
      <c r="F96" t="s">
        <v>25</v>
      </c>
      <c r="G96" t="s">
        <v>26</v>
      </c>
      <c r="H96" t="s">
        <v>27</v>
      </c>
      <c r="I96" t="s">
        <v>28</v>
      </c>
      <c r="J96" t="s">
        <v>29</v>
      </c>
      <c r="K96">
        <v>256</v>
      </c>
      <c r="L96">
        <v>12</v>
      </c>
      <c r="M96" s="2">
        <v>95</v>
      </c>
      <c r="N96" s="2">
        <v>38</v>
      </c>
      <c r="O96" s="2">
        <v>40</v>
      </c>
      <c r="P96" s="2">
        <v>16</v>
      </c>
      <c r="Q96" s="3">
        <v>0.16839999999999999</v>
      </c>
      <c r="R96" s="2">
        <v>70</v>
      </c>
      <c r="S96" s="2">
        <v>30</v>
      </c>
      <c r="T96" s="2">
        <v>10</v>
      </c>
      <c r="U96" s="3">
        <v>0.1429</v>
      </c>
      <c r="V96" s="2">
        <v>6</v>
      </c>
    </row>
    <row r="97" spans="1:22" x14ac:dyDescent="0.25">
      <c r="A97" t="s">
        <v>164</v>
      </c>
      <c r="B97" s="1">
        <v>45326</v>
      </c>
      <c r="C97">
        <v>405</v>
      </c>
      <c r="D97" t="s">
        <v>148</v>
      </c>
      <c r="E97" t="s">
        <v>45</v>
      </c>
      <c r="F97" t="s">
        <v>25</v>
      </c>
      <c r="G97" t="s">
        <v>26</v>
      </c>
      <c r="H97" t="s">
        <v>38</v>
      </c>
      <c r="I97" t="s">
        <v>39</v>
      </c>
      <c r="J97" t="s">
        <v>40</v>
      </c>
      <c r="K97">
        <v>385</v>
      </c>
      <c r="L97">
        <v>21</v>
      </c>
      <c r="M97" s="2">
        <v>126</v>
      </c>
      <c r="N97" s="2">
        <v>56</v>
      </c>
      <c r="O97" s="2">
        <v>54</v>
      </c>
      <c r="P97" s="2">
        <v>16</v>
      </c>
      <c r="Q97" s="3">
        <v>0.127</v>
      </c>
      <c r="R97" s="2">
        <v>110</v>
      </c>
      <c r="S97" s="2">
        <v>40</v>
      </c>
      <c r="T97" s="2">
        <v>50</v>
      </c>
      <c r="U97" s="3">
        <v>0.45450000000000002</v>
      </c>
      <c r="V97" s="2">
        <v>-34</v>
      </c>
    </row>
    <row r="98" spans="1:22" x14ac:dyDescent="0.25">
      <c r="A98" t="s">
        <v>165</v>
      </c>
      <c r="B98" s="1">
        <v>45327</v>
      </c>
      <c r="C98">
        <v>816</v>
      </c>
      <c r="D98" t="s">
        <v>58</v>
      </c>
      <c r="E98" t="s">
        <v>24</v>
      </c>
      <c r="F98" t="s">
        <v>25</v>
      </c>
      <c r="G98" t="s">
        <v>33</v>
      </c>
      <c r="H98" t="s">
        <v>34</v>
      </c>
      <c r="I98" t="s">
        <v>83</v>
      </c>
      <c r="J98" t="s">
        <v>40</v>
      </c>
      <c r="K98">
        <v>1075</v>
      </c>
      <c r="L98">
        <v>19</v>
      </c>
      <c r="M98" s="2">
        <v>139</v>
      </c>
      <c r="N98" s="2">
        <v>63</v>
      </c>
      <c r="O98" s="2">
        <v>40</v>
      </c>
      <c r="P98" s="2">
        <v>36</v>
      </c>
      <c r="Q98" s="3">
        <v>0.25900000000000001</v>
      </c>
      <c r="R98" s="2">
        <v>130</v>
      </c>
      <c r="S98" s="2">
        <v>60</v>
      </c>
      <c r="T98" s="2">
        <v>40</v>
      </c>
      <c r="U98" s="3">
        <v>0.30769999999999997</v>
      </c>
      <c r="V98" s="2">
        <v>-4</v>
      </c>
    </row>
    <row r="99" spans="1:22" x14ac:dyDescent="0.25">
      <c r="A99" t="s">
        <v>166</v>
      </c>
      <c r="B99" s="1">
        <v>45327</v>
      </c>
      <c r="C99">
        <v>918</v>
      </c>
      <c r="D99" t="s">
        <v>148</v>
      </c>
      <c r="E99" t="s">
        <v>45</v>
      </c>
      <c r="F99" t="s">
        <v>25</v>
      </c>
      <c r="G99" t="s">
        <v>33</v>
      </c>
      <c r="H99" t="s">
        <v>54</v>
      </c>
      <c r="I99" t="s">
        <v>72</v>
      </c>
      <c r="J99" t="s">
        <v>29</v>
      </c>
      <c r="K99">
        <v>-2248</v>
      </c>
      <c r="L99">
        <v>41</v>
      </c>
      <c r="M99" s="2">
        <v>320</v>
      </c>
      <c r="N99" s="2">
        <v>134</v>
      </c>
      <c r="O99" s="2">
        <v>65</v>
      </c>
      <c r="P99" s="2">
        <v>121</v>
      </c>
      <c r="Q99" s="3">
        <v>0.37809999999999999</v>
      </c>
      <c r="R99" s="2">
        <v>240</v>
      </c>
      <c r="S99" s="2">
        <v>100</v>
      </c>
      <c r="T99" s="2">
        <v>90</v>
      </c>
      <c r="U99" s="3">
        <v>0.375</v>
      </c>
      <c r="V99" s="2">
        <v>31</v>
      </c>
    </row>
    <row r="100" spans="1:22" x14ac:dyDescent="0.25">
      <c r="A100" t="s">
        <v>167</v>
      </c>
      <c r="B100" s="1">
        <v>45327</v>
      </c>
      <c r="C100">
        <v>435</v>
      </c>
      <c r="D100" t="s">
        <v>95</v>
      </c>
      <c r="E100" t="s">
        <v>53</v>
      </c>
      <c r="F100" t="s">
        <v>25</v>
      </c>
      <c r="G100" t="s">
        <v>33</v>
      </c>
      <c r="H100" t="s">
        <v>34</v>
      </c>
      <c r="I100" t="s">
        <v>50</v>
      </c>
      <c r="J100" t="s">
        <v>29</v>
      </c>
      <c r="K100">
        <v>375</v>
      </c>
      <c r="L100">
        <v>15</v>
      </c>
      <c r="M100" s="2">
        <v>118</v>
      </c>
      <c r="N100" s="2">
        <v>47</v>
      </c>
      <c r="O100" s="2">
        <v>42</v>
      </c>
      <c r="P100" s="2">
        <v>33</v>
      </c>
      <c r="Q100" s="3">
        <v>0.2797</v>
      </c>
      <c r="R100" s="2">
        <v>150</v>
      </c>
      <c r="S100" s="2">
        <v>50</v>
      </c>
      <c r="T100" s="2">
        <v>80</v>
      </c>
      <c r="U100" s="3">
        <v>0.5333</v>
      </c>
      <c r="V100" s="2">
        <v>-47</v>
      </c>
    </row>
    <row r="101" spans="1:22" x14ac:dyDescent="0.25">
      <c r="A101" t="s">
        <v>168</v>
      </c>
      <c r="B101" s="1">
        <v>45327</v>
      </c>
      <c r="C101">
        <v>971</v>
      </c>
      <c r="D101" t="s">
        <v>71</v>
      </c>
      <c r="E101" t="s">
        <v>53</v>
      </c>
      <c r="F101" t="s">
        <v>25</v>
      </c>
      <c r="G101" t="s">
        <v>26</v>
      </c>
      <c r="H101" t="s">
        <v>27</v>
      </c>
      <c r="I101" t="s">
        <v>42</v>
      </c>
      <c r="J101" t="s">
        <v>29</v>
      </c>
      <c r="K101">
        <v>817</v>
      </c>
      <c r="L101">
        <v>29</v>
      </c>
      <c r="M101" s="2">
        <v>236</v>
      </c>
      <c r="N101" s="2">
        <v>88</v>
      </c>
      <c r="O101" s="2">
        <v>60</v>
      </c>
      <c r="P101" s="2">
        <v>108</v>
      </c>
      <c r="Q101" s="3">
        <v>0.45760000000000001</v>
      </c>
      <c r="R101" s="2">
        <v>160</v>
      </c>
      <c r="S101" s="2">
        <v>60</v>
      </c>
      <c r="T101" s="2">
        <v>60</v>
      </c>
      <c r="U101" s="3">
        <v>0.375</v>
      </c>
      <c r="V101" s="2">
        <v>48</v>
      </c>
    </row>
    <row r="102" spans="1:22" x14ac:dyDescent="0.25">
      <c r="A102" t="s">
        <v>169</v>
      </c>
      <c r="B102" s="1">
        <v>45328</v>
      </c>
      <c r="C102">
        <v>925</v>
      </c>
      <c r="D102" t="s">
        <v>62</v>
      </c>
      <c r="E102" t="s">
        <v>53</v>
      </c>
      <c r="F102" t="s">
        <v>32</v>
      </c>
      <c r="G102" t="s">
        <v>26</v>
      </c>
      <c r="H102" t="s">
        <v>38</v>
      </c>
      <c r="I102" t="s">
        <v>39</v>
      </c>
      <c r="J102" t="s">
        <v>40</v>
      </c>
      <c r="K102">
        <v>971</v>
      </c>
      <c r="L102">
        <v>30</v>
      </c>
      <c r="M102" s="2">
        <v>282</v>
      </c>
      <c r="N102" s="2">
        <v>108</v>
      </c>
      <c r="O102" s="2">
        <v>42</v>
      </c>
      <c r="P102" s="2">
        <v>171</v>
      </c>
      <c r="Q102" s="3">
        <v>0.60640000000000005</v>
      </c>
      <c r="R102" s="2">
        <v>210</v>
      </c>
      <c r="S102" s="2">
        <v>80</v>
      </c>
      <c r="T102" s="2">
        <v>120</v>
      </c>
      <c r="U102" s="3">
        <v>0.57140000000000002</v>
      </c>
      <c r="V102" s="2">
        <v>51</v>
      </c>
    </row>
    <row r="103" spans="1:22" x14ac:dyDescent="0.25">
      <c r="A103" t="s">
        <v>170</v>
      </c>
      <c r="B103" s="1">
        <v>45329</v>
      </c>
      <c r="C103">
        <v>561</v>
      </c>
      <c r="D103" t="s">
        <v>117</v>
      </c>
      <c r="E103" t="s">
        <v>79</v>
      </c>
      <c r="F103" t="s">
        <v>32</v>
      </c>
      <c r="G103" t="s">
        <v>26</v>
      </c>
      <c r="H103" t="s">
        <v>27</v>
      </c>
      <c r="I103" t="s">
        <v>59</v>
      </c>
      <c r="J103" t="s">
        <v>29</v>
      </c>
      <c r="K103">
        <v>856</v>
      </c>
      <c r="L103">
        <v>8</v>
      </c>
      <c r="M103" s="2">
        <v>78</v>
      </c>
      <c r="N103" s="2">
        <v>31</v>
      </c>
      <c r="O103" s="2">
        <v>19</v>
      </c>
      <c r="P103" s="2">
        <v>28</v>
      </c>
      <c r="Q103" s="3">
        <v>0.35899999999999999</v>
      </c>
      <c r="R103" s="2">
        <v>80</v>
      </c>
      <c r="S103" s="2">
        <v>30</v>
      </c>
      <c r="T103" s="2">
        <v>40</v>
      </c>
      <c r="U103" s="3">
        <v>0.5</v>
      </c>
      <c r="V103" s="2">
        <v>-12</v>
      </c>
    </row>
    <row r="104" spans="1:22" x14ac:dyDescent="0.25">
      <c r="A104" t="s">
        <v>171</v>
      </c>
      <c r="B104" s="1">
        <v>45329</v>
      </c>
      <c r="C104">
        <v>253</v>
      </c>
      <c r="D104" t="s">
        <v>52</v>
      </c>
      <c r="E104" t="s">
        <v>53</v>
      </c>
      <c r="F104" t="s">
        <v>25</v>
      </c>
      <c r="G104" t="s">
        <v>26</v>
      </c>
      <c r="H104" t="s">
        <v>27</v>
      </c>
      <c r="I104" t="s">
        <v>28</v>
      </c>
      <c r="J104" t="s">
        <v>29</v>
      </c>
      <c r="K104">
        <v>320</v>
      </c>
      <c r="L104">
        <v>12</v>
      </c>
      <c r="M104" s="2">
        <v>114</v>
      </c>
      <c r="N104" s="2">
        <v>41</v>
      </c>
      <c r="O104" s="2">
        <v>36</v>
      </c>
      <c r="P104" s="2">
        <v>45</v>
      </c>
      <c r="Q104" s="3">
        <v>0.3947</v>
      </c>
      <c r="R104" s="2">
        <v>70</v>
      </c>
      <c r="S104" s="2">
        <v>30</v>
      </c>
      <c r="T104" s="2">
        <v>20</v>
      </c>
      <c r="U104" s="3">
        <v>0.28570000000000001</v>
      </c>
      <c r="V104" s="2">
        <v>25</v>
      </c>
    </row>
    <row r="105" spans="1:22" x14ac:dyDescent="0.25">
      <c r="A105" t="s">
        <v>172</v>
      </c>
      <c r="B105" s="1">
        <v>45329</v>
      </c>
      <c r="C105">
        <v>573</v>
      </c>
      <c r="D105" t="s">
        <v>58</v>
      </c>
      <c r="E105" t="s">
        <v>24</v>
      </c>
      <c r="F105" t="s">
        <v>25</v>
      </c>
      <c r="G105" t="s">
        <v>33</v>
      </c>
      <c r="H105" t="s">
        <v>34</v>
      </c>
      <c r="I105" t="s">
        <v>50</v>
      </c>
      <c r="J105" t="s">
        <v>29</v>
      </c>
      <c r="K105">
        <v>619</v>
      </c>
      <c r="L105">
        <v>25</v>
      </c>
      <c r="M105" s="2">
        <v>163</v>
      </c>
      <c r="N105" s="2">
        <v>68</v>
      </c>
      <c r="O105" s="2">
        <v>59</v>
      </c>
      <c r="P105" s="2">
        <v>39</v>
      </c>
      <c r="Q105" s="3">
        <v>0.23930000000000001</v>
      </c>
      <c r="R105" s="2">
        <v>150</v>
      </c>
      <c r="S105" s="2">
        <v>60</v>
      </c>
      <c r="T105" s="2">
        <v>40</v>
      </c>
      <c r="U105" s="3">
        <v>0.26669999999999999</v>
      </c>
      <c r="V105" s="2">
        <v>-1</v>
      </c>
    </row>
    <row r="106" spans="1:22" x14ac:dyDescent="0.25">
      <c r="A106" t="s">
        <v>173</v>
      </c>
      <c r="B106" s="1">
        <v>45330</v>
      </c>
      <c r="C106">
        <v>918</v>
      </c>
      <c r="D106" t="s">
        <v>148</v>
      </c>
      <c r="E106" t="s">
        <v>45</v>
      </c>
      <c r="F106" t="s">
        <v>25</v>
      </c>
      <c r="G106" t="s">
        <v>26</v>
      </c>
      <c r="H106" t="s">
        <v>38</v>
      </c>
      <c r="I106" t="s">
        <v>39</v>
      </c>
      <c r="J106" t="s">
        <v>40</v>
      </c>
      <c r="K106">
        <v>391</v>
      </c>
      <c r="L106">
        <v>20</v>
      </c>
      <c r="M106" s="2">
        <v>121</v>
      </c>
      <c r="N106" s="2">
        <v>54</v>
      </c>
      <c r="O106" s="2">
        <v>54</v>
      </c>
      <c r="P106" s="2">
        <v>13</v>
      </c>
      <c r="Q106" s="3">
        <v>0.1074</v>
      </c>
      <c r="R106" s="2">
        <v>110</v>
      </c>
      <c r="S106" s="2">
        <v>50</v>
      </c>
      <c r="T106" s="2">
        <v>20</v>
      </c>
      <c r="U106" s="3">
        <v>0.18179999999999999</v>
      </c>
      <c r="V106" s="2">
        <v>-7</v>
      </c>
    </row>
    <row r="107" spans="1:22" x14ac:dyDescent="0.25">
      <c r="A107" t="s">
        <v>174</v>
      </c>
      <c r="B107" s="1">
        <v>45330</v>
      </c>
      <c r="C107">
        <v>580</v>
      </c>
      <c r="D107" t="s">
        <v>148</v>
      </c>
      <c r="E107" t="s">
        <v>45</v>
      </c>
      <c r="F107" t="s">
        <v>25</v>
      </c>
      <c r="G107" t="s">
        <v>33</v>
      </c>
      <c r="H107" t="s">
        <v>54</v>
      </c>
      <c r="I107" t="s">
        <v>68</v>
      </c>
      <c r="J107" t="s">
        <v>29</v>
      </c>
      <c r="K107">
        <v>490</v>
      </c>
      <c r="L107">
        <v>8</v>
      </c>
      <c r="M107" s="2">
        <v>78</v>
      </c>
      <c r="N107" s="2">
        <v>29</v>
      </c>
      <c r="O107" s="2">
        <v>20</v>
      </c>
      <c r="P107" s="2">
        <v>36</v>
      </c>
      <c r="Q107" s="3">
        <v>0.46150000000000002</v>
      </c>
      <c r="R107" s="2">
        <v>50</v>
      </c>
      <c r="S107" s="2">
        <v>20</v>
      </c>
      <c r="T107" s="2">
        <v>20</v>
      </c>
      <c r="U107" s="3">
        <v>0.4</v>
      </c>
      <c r="V107" s="2">
        <v>16</v>
      </c>
    </row>
    <row r="108" spans="1:22" x14ac:dyDescent="0.25">
      <c r="A108" t="s">
        <v>175</v>
      </c>
      <c r="B108" s="1">
        <v>45330</v>
      </c>
      <c r="C108">
        <v>971</v>
      </c>
      <c r="D108" t="s">
        <v>71</v>
      </c>
      <c r="E108" t="s">
        <v>53</v>
      </c>
      <c r="F108" t="s">
        <v>25</v>
      </c>
      <c r="G108" t="s">
        <v>26</v>
      </c>
      <c r="H108" t="s">
        <v>27</v>
      </c>
      <c r="I108" t="s">
        <v>59</v>
      </c>
      <c r="J108" t="s">
        <v>29</v>
      </c>
      <c r="K108">
        <v>666</v>
      </c>
      <c r="L108">
        <v>31</v>
      </c>
      <c r="M108" s="2">
        <v>261</v>
      </c>
      <c r="N108" s="2">
        <v>102</v>
      </c>
      <c r="O108" s="2">
        <v>54</v>
      </c>
      <c r="P108" s="2">
        <v>132</v>
      </c>
      <c r="Q108" s="3">
        <v>0.50570000000000004</v>
      </c>
      <c r="R108" s="2">
        <v>170</v>
      </c>
      <c r="S108" s="2">
        <v>70</v>
      </c>
      <c r="T108" s="2">
        <v>70</v>
      </c>
      <c r="U108" s="3">
        <v>0.4118</v>
      </c>
      <c r="V108" s="2">
        <v>62</v>
      </c>
    </row>
    <row r="109" spans="1:22" x14ac:dyDescent="0.25">
      <c r="A109" t="s">
        <v>176</v>
      </c>
      <c r="B109" s="1">
        <v>45331</v>
      </c>
      <c r="C109">
        <v>337</v>
      </c>
      <c r="D109" t="s">
        <v>49</v>
      </c>
      <c r="E109" t="s">
        <v>45</v>
      </c>
      <c r="F109" t="s">
        <v>25</v>
      </c>
      <c r="G109" t="s">
        <v>26</v>
      </c>
      <c r="H109" t="s">
        <v>38</v>
      </c>
      <c r="I109" t="s">
        <v>46</v>
      </c>
      <c r="J109" t="s">
        <v>40</v>
      </c>
      <c r="K109">
        <v>601</v>
      </c>
      <c r="L109">
        <v>31</v>
      </c>
      <c r="M109" s="2">
        <v>196</v>
      </c>
      <c r="N109" s="2">
        <v>82</v>
      </c>
      <c r="O109" s="2">
        <v>64</v>
      </c>
      <c r="P109" s="2">
        <v>56</v>
      </c>
      <c r="Q109" s="3">
        <v>0.28570000000000001</v>
      </c>
      <c r="R109" s="2">
        <v>170</v>
      </c>
      <c r="S109" s="2">
        <v>70</v>
      </c>
      <c r="T109" s="2">
        <v>40</v>
      </c>
      <c r="U109" s="3">
        <v>0.23530000000000001</v>
      </c>
      <c r="V109" s="2">
        <v>16</v>
      </c>
    </row>
    <row r="110" spans="1:22" x14ac:dyDescent="0.25">
      <c r="A110" t="s">
        <v>177</v>
      </c>
      <c r="B110" s="1">
        <v>45331</v>
      </c>
      <c r="C110">
        <v>702</v>
      </c>
      <c r="D110" t="s">
        <v>65</v>
      </c>
      <c r="E110" t="s">
        <v>53</v>
      </c>
      <c r="F110" t="s">
        <v>25</v>
      </c>
      <c r="G110" t="s">
        <v>26</v>
      </c>
      <c r="H110" t="s">
        <v>38</v>
      </c>
      <c r="I110" t="s">
        <v>46</v>
      </c>
      <c r="J110" t="s">
        <v>40</v>
      </c>
      <c r="K110">
        <v>1132</v>
      </c>
      <c r="L110">
        <v>50</v>
      </c>
      <c r="M110" s="2">
        <v>367</v>
      </c>
      <c r="N110" s="2">
        <v>154</v>
      </c>
      <c r="O110" s="2">
        <v>93</v>
      </c>
      <c r="P110" s="2">
        <v>120</v>
      </c>
      <c r="Q110" s="3">
        <v>0.32700000000000001</v>
      </c>
      <c r="R110" s="2">
        <v>290</v>
      </c>
      <c r="S110" s="2">
        <v>120</v>
      </c>
      <c r="T110" s="2">
        <v>120</v>
      </c>
      <c r="U110" s="3">
        <v>0.4138</v>
      </c>
      <c r="V110" s="2">
        <v>0</v>
      </c>
    </row>
    <row r="111" spans="1:22" x14ac:dyDescent="0.25">
      <c r="A111" t="s">
        <v>178</v>
      </c>
      <c r="B111" s="1">
        <v>45332</v>
      </c>
      <c r="C111">
        <v>417</v>
      </c>
      <c r="D111" t="s">
        <v>58</v>
      </c>
      <c r="E111" t="s">
        <v>24</v>
      </c>
      <c r="F111" t="s">
        <v>25</v>
      </c>
      <c r="G111" t="s">
        <v>26</v>
      </c>
      <c r="H111" t="s">
        <v>38</v>
      </c>
      <c r="I111" t="s">
        <v>39</v>
      </c>
      <c r="J111" t="s">
        <v>40</v>
      </c>
      <c r="K111">
        <v>335</v>
      </c>
      <c r="L111">
        <v>44</v>
      </c>
      <c r="M111" s="2">
        <v>118</v>
      </c>
      <c r="N111" s="2">
        <v>49</v>
      </c>
      <c r="O111" s="2">
        <v>74</v>
      </c>
      <c r="P111" s="2">
        <v>-5</v>
      </c>
      <c r="Q111" s="3">
        <v>-4.24E-2</v>
      </c>
      <c r="R111" s="2">
        <v>100</v>
      </c>
      <c r="S111" s="2">
        <v>40</v>
      </c>
      <c r="T111" s="2">
        <v>0</v>
      </c>
      <c r="U111" s="3">
        <v>0</v>
      </c>
      <c r="V111" s="2">
        <v>-5</v>
      </c>
    </row>
    <row r="112" spans="1:22" x14ac:dyDescent="0.25">
      <c r="A112" t="s">
        <v>179</v>
      </c>
      <c r="B112" s="1">
        <v>45332</v>
      </c>
      <c r="C112">
        <v>971</v>
      </c>
      <c r="D112" t="s">
        <v>71</v>
      </c>
      <c r="E112" t="s">
        <v>53</v>
      </c>
      <c r="F112" t="s">
        <v>25</v>
      </c>
      <c r="G112" t="s">
        <v>33</v>
      </c>
      <c r="H112" t="s">
        <v>54</v>
      </c>
      <c r="I112" t="s">
        <v>68</v>
      </c>
      <c r="J112" t="s">
        <v>29</v>
      </c>
      <c r="K112">
        <v>405</v>
      </c>
      <c r="L112">
        <v>17</v>
      </c>
      <c r="M112" s="2">
        <v>123</v>
      </c>
      <c r="N112" s="2">
        <v>52</v>
      </c>
      <c r="O112" s="2">
        <v>44</v>
      </c>
      <c r="P112" s="2">
        <v>27</v>
      </c>
      <c r="Q112" s="3">
        <v>0.2195</v>
      </c>
      <c r="R112" s="2">
        <v>100</v>
      </c>
      <c r="S112" s="2">
        <v>30</v>
      </c>
      <c r="T112" s="2">
        <v>60</v>
      </c>
      <c r="U112" s="3">
        <v>0.6</v>
      </c>
      <c r="V112" s="2">
        <v>-33</v>
      </c>
    </row>
    <row r="113" spans="1:22" x14ac:dyDescent="0.25">
      <c r="A113" t="s">
        <v>180</v>
      </c>
      <c r="B113" s="1">
        <v>45332</v>
      </c>
      <c r="C113">
        <v>970</v>
      </c>
      <c r="D113" t="s">
        <v>31</v>
      </c>
      <c r="E113" t="s">
        <v>24</v>
      </c>
      <c r="F113" t="s">
        <v>32</v>
      </c>
      <c r="G113" t="s">
        <v>26</v>
      </c>
      <c r="H113" t="s">
        <v>38</v>
      </c>
      <c r="I113" t="s">
        <v>39</v>
      </c>
      <c r="J113" t="s">
        <v>40</v>
      </c>
      <c r="K113">
        <v>1283</v>
      </c>
      <c r="L113">
        <v>50</v>
      </c>
      <c r="M113" s="2">
        <v>363</v>
      </c>
      <c r="N113" s="2">
        <v>181</v>
      </c>
      <c r="O113" s="2">
        <v>75</v>
      </c>
      <c r="P113" s="2">
        <v>107</v>
      </c>
      <c r="Q113" s="3">
        <v>0.29480000000000001</v>
      </c>
      <c r="R113" s="2">
        <v>330</v>
      </c>
      <c r="S113" s="2">
        <v>170</v>
      </c>
      <c r="T113" s="2">
        <v>100</v>
      </c>
      <c r="U113" s="3">
        <v>0.30299999999999999</v>
      </c>
      <c r="V113" s="2">
        <v>7</v>
      </c>
    </row>
    <row r="114" spans="1:22" x14ac:dyDescent="0.25">
      <c r="A114" t="s">
        <v>181</v>
      </c>
      <c r="B114" s="1">
        <v>45333</v>
      </c>
      <c r="C114">
        <v>773</v>
      </c>
      <c r="D114" t="s">
        <v>37</v>
      </c>
      <c r="E114" t="s">
        <v>24</v>
      </c>
      <c r="F114" t="s">
        <v>32</v>
      </c>
      <c r="G114" t="s">
        <v>33</v>
      </c>
      <c r="H114" t="s">
        <v>54</v>
      </c>
      <c r="I114" t="s">
        <v>55</v>
      </c>
      <c r="J114" t="s">
        <v>40</v>
      </c>
      <c r="K114">
        <v>1820</v>
      </c>
      <c r="L114">
        <v>70</v>
      </c>
      <c r="M114" s="2">
        <v>534</v>
      </c>
      <c r="N114" s="2">
        <v>250</v>
      </c>
      <c r="O114" s="2">
        <v>94</v>
      </c>
      <c r="P114" s="2">
        <v>233</v>
      </c>
      <c r="Q114" s="3">
        <v>0.43630000000000002</v>
      </c>
      <c r="R114" s="2">
        <v>640</v>
      </c>
      <c r="S114" s="2">
        <v>320</v>
      </c>
      <c r="T114" s="2">
        <v>240</v>
      </c>
      <c r="U114" s="3">
        <v>0.375</v>
      </c>
      <c r="V114" s="2">
        <v>-7</v>
      </c>
    </row>
    <row r="115" spans="1:22" x14ac:dyDescent="0.25">
      <c r="A115" t="s">
        <v>182</v>
      </c>
      <c r="B115" s="1">
        <v>45334</v>
      </c>
      <c r="C115">
        <v>775</v>
      </c>
      <c r="D115" t="s">
        <v>65</v>
      </c>
      <c r="E115" t="s">
        <v>53</v>
      </c>
      <c r="F115" t="s">
        <v>25</v>
      </c>
      <c r="G115" t="s">
        <v>33</v>
      </c>
      <c r="H115" t="s">
        <v>34</v>
      </c>
      <c r="I115" t="s">
        <v>83</v>
      </c>
      <c r="J115" t="s">
        <v>40</v>
      </c>
      <c r="K115">
        <v>1003</v>
      </c>
      <c r="L115">
        <v>8</v>
      </c>
      <c r="M115" s="2">
        <v>64</v>
      </c>
      <c r="N115" s="2">
        <v>29</v>
      </c>
      <c r="O115" s="2">
        <v>30</v>
      </c>
      <c r="P115" s="2">
        <v>5</v>
      </c>
      <c r="Q115" s="3">
        <v>7.8100000000000003E-2</v>
      </c>
      <c r="R115" s="2">
        <v>70</v>
      </c>
      <c r="S115" s="2">
        <v>30</v>
      </c>
      <c r="T115" s="2">
        <v>20</v>
      </c>
      <c r="U115" s="3">
        <v>0.28570000000000001</v>
      </c>
      <c r="V115" s="2">
        <v>-15</v>
      </c>
    </row>
    <row r="116" spans="1:22" x14ac:dyDescent="0.25">
      <c r="A116" t="s">
        <v>183</v>
      </c>
      <c r="B116" s="1">
        <v>45334</v>
      </c>
      <c r="C116">
        <v>720</v>
      </c>
      <c r="D116" t="s">
        <v>31</v>
      </c>
      <c r="E116" t="s">
        <v>24</v>
      </c>
      <c r="F116" t="s">
        <v>32</v>
      </c>
      <c r="G116" t="s">
        <v>26</v>
      </c>
      <c r="H116" t="s">
        <v>38</v>
      </c>
      <c r="I116" t="s">
        <v>66</v>
      </c>
      <c r="J116" t="s">
        <v>40</v>
      </c>
      <c r="K116">
        <v>411</v>
      </c>
      <c r="L116">
        <v>19</v>
      </c>
      <c r="M116" s="2">
        <v>138</v>
      </c>
      <c r="N116" s="2">
        <v>59</v>
      </c>
      <c r="O116" s="2">
        <v>47</v>
      </c>
      <c r="P116" s="2">
        <v>32</v>
      </c>
      <c r="Q116" s="3">
        <v>0.2319</v>
      </c>
      <c r="R116" s="2">
        <v>120</v>
      </c>
      <c r="S116" s="2">
        <v>50</v>
      </c>
      <c r="T116" s="2">
        <v>40</v>
      </c>
      <c r="U116" s="3">
        <v>0.33329999999999999</v>
      </c>
      <c r="V116" s="2">
        <v>-8</v>
      </c>
    </row>
    <row r="117" spans="1:22" x14ac:dyDescent="0.25">
      <c r="A117" t="s">
        <v>184</v>
      </c>
      <c r="B117" s="1">
        <v>45334</v>
      </c>
      <c r="C117">
        <v>630</v>
      </c>
      <c r="D117" t="s">
        <v>37</v>
      </c>
      <c r="E117" t="s">
        <v>24</v>
      </c>
      <c r="F117" t="s">
        <v>32</v>
      </c>
      <c r="G117" t="s">
        <v>26</v>
      </c>
      <c r="H117" t="s">
        <v>38</v>
      </c>
      <c r="I117" t="s">
        <v>66</v>
      </c>
      <c r="J117" t="s">
        <v>40</v>
      </c>
      <c r="K117">
        <v>984</v>
      </c>
      <c r="L117">
        <v>22</v>
      </c>
      <c r="M117" s="2">
        <v>198</v>
      </c>
      <c r="N117" s="2">
        <v>81</v>
      </c>
      <c r="O117" s="2">
        <v>33</v>
      </c>
      <c r="P117" s="2">
        <v>84</v>
      </c>
      <c r="Q117" s="3">
        <v>0.42420000000000002</v>
      </c>
      <c r="R117" s="2">
        <v>180</v>
      </c>
      <c r="S117" s="2">
        <v>70</v>
      </c>
      <c r="T117" s="2">
        <v>80</v>
      </c>
      <c r="U117" s="3">
        <v>0.44440000000000002</v>
      </c>
      <c r="V117" s="2">
        <v>4</v>
      </c>
    </row>
    <row r="118" spans="1:22" x14ac:dyDescent="0.25">
      <c r="A118" t="s">
        <v>185</v>
      </c>
      <c r="B118" s="1">
        <v>45335</v>
      </c>
      <c r="C118">
        <v>985</v>
      </c>
      <c r="D118" t="s">
        <v>49</v>
      </c>
      <c r="E118" t="s">
        <v>45</v>
      </c>
      <c r="F118" t="s">
        <v>25</v>
      </c>
      <c r="G118" t="s">
        <v>33</v>
      </c>
      <c r="H118" t="s">
        <v>54</v>
      </c>
      <c r="I118" t="s">
        <v>72</v>
      </c>
      <c r="J118" t="s">
        <v>29</v>
      </c>
      <c r="K118">
        <v>-1053</v>
      </c>
      <c r="L118">
        <v>49</v>
      </c>
      <c r="M118" s="2">
        <v>131</v>
      </c>
      <c r="N118" s="2">
        <v>55</v>
      </c>
      <c r="O118" s="2">
        <v>79</v>
      </c>
      <c r="P118" s="2">
        <v>-3</v>
      </c>
      <c r="Q118" s="3">
        <v>-2.29E-2</v>
      </c>
      <c r="R118" s="2">
        <v>100</v>
      </c>
      <c r="S118" s="2">
        <v>40</v>
      </c>
      <c r="T118" s="2">
        <v>0</v>
      </c>
      <c r="U118" s="3">
        <v>0</v>
      </c>
      <c r="V118" s="2">
        <v>-3</v>
      </c>
    </row>
    <row r="119" spans="1:22" x14ac:dyDescent="0.25">
      <c r="A119" t="s">
        <v>186</v>
      </c>
      <c r="B119" s="1">
        <v>45335</v>
      </c>
      <c r="C119">
        <v>860</v>
      </c>
      <c r="D119" t="s">
        <v>135</v>
      </c>
      <c r="E119" t="s">
        <v>79</v>
      </c>
      <c r="F119" t="s">
        <v>25</v>
      </c>
      <c r="G119" t="s">
        <v>26</v>
      </c>
      <c r="H119" t="s">
        <v>38</v>
      </c>
      <c r="I119" t="s">
        <v>46</v>
      </c>
      <c r="J119" t="s">
        <v>40</v>
      </c>
      <c r="K119">
        <v>619</v>
      </c>
      <c r="L119">
        <v>25</v>
      </c>
      <c r="M119" s="2">
        <v>163</v>
      </c>
      <c r="N119" s="2">
        <v>68</v>
      </c>
      <c r="O119" s="2">
        <v>58</v>
      </c>
      <c r="P119" s="2">
        <v>40</v>
      </c>
      <c r="Q119" s="3">
        <v>0.24540000000000001</v>
      </c>
      <c r="R119" s="2">
        <v>110</v>
      </c>
      <c r="S119" s="2">
        <v>50</v>
      </c>
      <c r="T119" s="2">
        <v>20</v>
      </c>
      <c r="U119" s="3">
        <v>0.18179999999999999</v>
      </c>
      <c r="V119" s="2">
        <v>20</v>
      </c>
    </row>
    <row r="120" spans="1:22" x14ac:dyDescent="0.25">
      <c r="A120" t="s">
        <v>187</v>
      </c>
      <c r="B120" s="1">
        <v>45335</v>
      </c>
      <c r="C120">
        <v>321</v>
      </c>
      <c r="D120" t="s">
        <v>117</v>
      </c>
      <c r="E120" t="s">
        <v>79</v>
      </c>
      <c r="F120" t="s">
        <v>32</v>
      </c>
      <c r="G120" t="s">
        <v>26</v>
      </c>
      <c r="H120" t="s">
        <v>27</v>
      </c>
      <c r="I120" t="s">
        <v>59</v>
      </c>
      <c r="J120" t="s">
        <v>29</v>
      </c>
      <c r="K120">
        <v>863</v>
      </c>
      <c r="L120">
        <v>9</v>
      </c>
      <c r="M120" s="2">
        <v>91</v>
      </c>
      <c r="N120" s="2">
        <v>34</v>
      </c>
      <c r="O120" s="2">
        <v>21</v>
      </c>
      <c r="P120" s="2">
        <v>45</v>
      </c>
      <c r="Q120" s="3">
        <v>0.4945</v>
      </c>
      <c r="R120" s="2">
        <v>80</v>
      </c>
      <c r="S120" s="2">
        <v>30</v>
      </c>
      <c r="T120" s="2">
        <v>40</v>
      </c>
      <c r="U120" s="3">
        <v>0.5</v>
      </c>
      <c r="V120" s="2">
        <v>5</v>
      </c>
    </row>
    <row r="121" spans="1:22" x14ac:dyDescent="0.25">
      <c r="A121" t="s">
        <v>188</v>
      </c>
      <c r="B121" s="1">
        <v>45335</v>
      </c>
      <c r="C121">
        <v>715</v>
      </c>
      <c r="D121" t="s">
        <v>23</v>
      </c>
      <c r="E121" t="s">
        <v>24</v>
      </c>
      <c r="F121" t="s">
        <v>25</v>
      </c>
      <c r="G121" t="s">
        <v>33</v>
      </c>
      <c r="H121" t="s">
        <v>34</v>
      </c>
      <c r="I121" t="s">
        <v>83</v>
      </c>
      <c r="J121" t="s">
        <v>40</v>
      </c>
      <c r="K121">
        <v>575</v>
      </c>
      <c r="L121">
        <v>27</v>
      </c>
      <c r="M121" s="2">
        <v>195</v>
      </c>
      <c r="N121" s="2">
        <v>83</v>
      </c>
      <c r="O121" s="2">
        <v>55</v>
      </c>
      <c r="P121" s="2">
        <v>57</v>
      </c>
      <c r="Q121" s="3">
        <v>0.2923</v>
      </c>
      <c r="R121" s="2">
        <v>190</v>
      </c>
      <c r="S121" s="2">
        <v>80</v>
      </c>
      <c r="T121" s="2">
        <v>70</v>
      </c>
      <c r="U121" s="3">
        <v>0.36840000000000001</v>
      </c>
      <c r="V121" s="2">
        <v>-13</v>
      </c>
    </row>
    <row r="122" spans="1:22" x14ac:dyDescent="0.25">
      <c r="A122" t="s">
        <v>189</v>
      </c>
      <c r="B122" s="1">
        <v>45335</v>
      </c>
      <c r="C122">
        <v>702</v>
      </c>
      <c r="D122" t="s">
        <v>65</v>
      </c>
      <c r="E122" t="s">
        <v>53</v>
      </c>
      <c r="F122" t="s">
        <v>25</v>
      </c>
      <c r="G122" t="s">
        <v>26</v>
      </c>
      <c r="H122" t="s">
        <v>38</v>
      </c>
      <c r="I122" t="s">
        <v>39</v>
      </c>
      <c r="J122" t="s">
        <v>40</v>
      </c>
      <c r="K122">
        <v>940</v>
      </c>
      <c r="L122">
        <v>122</v>
      </c>
      <c r="M122" s="2">
        <v>322</v>
      </c>
      <c r="N122" s="2">
        <v>135</v>
      </c>
      <c r="O122" s="2">
        <v>155</v>
      </c>
      <c r="P122" s="2">
        <v>32</v>
      </c>
      <c r="Q122" s="3">
        <v>9.9400000000000002E-2</v>
      </c>
      <c r="R122" s="2">
        <v>290</v>
      </c>
      <c r="S122" s="2">
        <v>120</v>
      </c>
      <c r="T122" s="2">
        <v>30</v>
      </c>
      <c r="U122" s="3">
        <v>0.10340000000000001</v>
      </c>
      <c r="V122" s="2">
        <v>2</v>
      </c>
    </row>
    <row r="123" spans="1:22" x14ac:dyDescent="0.25">
      <c r="A123" t="s">
        <v>190</v>
      </c>
      <c r="B123" s="1">
        <v>45335</v>
      </c>
      <c r="C123">
        <v>415</v>
      </c>
      <c r="D123" t="s">
        <v>62</v>
      </c>
      <c r="E123" t="s">
        <v>53</v>
      </c>
      <c r="F123" t="s">
        <v>32</v>
      </c>
      <c r="G123" t="s">
        <v>33</v>
      </c>
      <c r="H123" t="s">
        <v>54</v>
      </c>
      <c r="I123" t="s">
        <v>55</v>
      </c>
      <c r="J123" t="s">
        <v>40</v>
      </c>
      <c r="K123">
        <v>1662</v>
      </c>
      <c r="L123">
        <v>84</v>
      </c>
      <c r="M123" s="2">
        <v>637</v>
      </c>
      <c r="N123" s="2">
        <v>257</v>
      </c>
      <c r="O123" s="2">
        <v>116</v>
      </c>
      <c r="P123" s="2">
        <v>334</v>
      </c>
      <c r="Q123" s="3">
        <v>0.52429999999999999</v>
      </c>
      <c r="R123" s="2">
        <v>550</v>
      </c>
      <c r="S123" s="2">
        <v>230</v>
      </c>
      <c r="T123" s="2">
        <v>240</v>
      </c>
      <c r="U123" s="3">
        <v>0.43640000000000001</v>
      </c>
      <c r="V123" s="2">
        <v>94</v>
      </c>
    </row>
    <row r="124" spans="1:22" x14ac:dyDescent="0.25">
      <c r="A124" t="s">
        <v>191</v>
      </c>
      <c r="B124" s="1">
        <v>45336</v>
      </c>
      <c r="C124">
        <v>504</v>
      </c>
      <c r="D124" t="s">
        <v>49</v>
      </c>
      <c r="E124" t="s">
        <v>45</v>
      </c>
      <c r="F124" t="s">
        <v>25</v>
      </c>
      <c r="G124" t="s">
        <v>33</v>
      </c>
      <c r="H124" t="s">
        <v>34</v>
      </c>
      <c r="I124" t="s">
        <v>83</v>
      </c>
      <c r="J124" t="s">
        <v>40</v>
      </c>
      <c r="K124">
        <v>856</v>
      </c>
      <c r="L124">
        <v>8</v>
      </c>
      <c r="M124" s="2">
        <v>78</v>
      </c>
      <c r="N124" s="2">
        <v>31</v>
      </c>
      <c r="O124" s="2">
        <v>19</v>
      </c>
      <c r="P124" s="2">
        <v>28</v>
      </c>
      <c r="Q124" s="3">
        <v>0.35899999999999999</v>
      </c>
      <c r="R124" s="2">
        <v>90</v>
      </c>
      <c r="S124" s="2">
        <v>30</v>
      </c>
      <c r="T124" s="2">
        <v>50</v>
      </c>
      <c r="U124" s="3">
        <v>0.55559999999999998</v>
      </c>
      <c r="V124" s="2">
        <v>-22</v>
      </c>
    </row>
    <row r="125" spans="1:22" x14ac:dyDescent="0.25">
      <c r="A125" t="s">
        <v>192</v>
      </c>
      <c r="B125" s="1">
        <v>45336</v>
      </c>
      <c r="C125">
        <v>503</v>
      </c>
      <c r="D125" t="s">
        <v>71</v>
      </c>
      <c r="E125" t="s">
        <v>53</v>
      </c>
      <c r="F125" t="s">
        <v>25</v>
      </c>
      <c r="G125" t="s">
        <v>33</v>
      </c>
      <c r="H125" t="s">
        <v>54</v>
      </c>
      <c r="I125" t="s">
        <v>72</v>
      </c>
      <c r="J125" t="s">
        <v>29</v>
      </c>
      <c r="K125">
        <v>410</v>
      </c>
      <c r="L125">
        <v>20</v>
      </c>
      <c r="M125" s="2">
        <v>132</v>
      </c>
      <c r="N125" s="2">
        <v>55</v>
      </c>
      <c r="O125" s="2">
        <v>53</v>
      </c>
      <c r="P125" s="2">
        <v>24</v>
      </c>
      <c r="Q125" s="3">
        <v>0.18179999999999999</v>
      </c>
      <c r="R125" s="2">
        <v>120</v>
      </c>
      <c r="S125" s="2">
        <v>50</v>
      </c>
      <c r="T125" s="2">
        <v>30</v>
      </c>
      <c r="U125" s="3">
        <v>0.25</v>
      </c>
      <c r="V125" s="2">
        <v>-6</v>
      </c>
    </row>
    <row r="126" spans="1:22" x14ac:dyDescent="0.25">
      <c r="A126" t="s">
        <v>193</v>
      </c>
      <c r="B126" s="1">
        <v>45336</v>
      </c>
      <c r="C126">
        <v>503</v>
      </c>
      <c r="D126" t="s">
        <v>71</v>
      </c>
      <c r="E126" t="s">
        <v>53</v>
      </c>
      <c r="F126" t="s">
        <v>25</v>
      </c>
      <c r="G126" t="s">
        <v>33</v>
      </c>
      <c r="H126" t="s">
        <v>34</v>
      </c>
      <c r="I126" t="s">
        <v>83</v>
      </c>
      <c r="J126" t="s">
        <v>40</v>
      </c>
      <c r="K126">
        <v>424</v>
      </c>
      <c r="L126">
        <v>14</v>
      </c>
      <c r="M126" s="2">
        <v>114</v>
      </c>
      <c r="N126" s="2">
        <v>46</v>
      </c>
      <c r="O126" s="2">
        <v>36</v>
      </c>
      <c r="P126" s="2">
        <v>32</v>
      </c>
      <c r="Q126" s="3">
        <v>0.28070000000000001</v>
      </c>
      <c r="R126" s="2">
        <v>130</v>
      </c>
      <c r="S126" s="2">
        <v>50</v>
      </c>
      <c r="T126" s="2">
        <v>50</v>
      </c>
      <c r="U126" s="3">
        <v>0.3846</v>
      </c>
      <c r="V126" s="2">
        <v>-18</v>
      </c>
    </row>
    <row r="127" spans="1:22" x14ac:dyDescent="0.25">
      <c r="A127" t="s">
        <v>194</v>
      </c>
      <c r="B127" s="1">
        <v>45336</v>
      </c>
      <c r="C127">
        <v>303</v>
      </c>
      <c r="D127" t="s">
        <v>31</v>
      </c>
      <c r="E127" t="s">
        <v>24</v>
      </c>
      <c r="F127" t="s">
        <v>32</v>
      </c>
      <c r="G127" t="s">
        <v>33</v>
      </c>
      <c r="H127" t="s">
        <v>54</v>
      </c>
      <c r="I127" t="s">
        <v>55</v>
      </c>
      <c r="J127" t="s">
        <v>40</v>
      </c>
      <c r="K127">
        <v>650</v>
      </c>
      <c r="L127">
        <v>23</v>
      </c>
      <c r="M127" s="2">
        <v>182</v>
      </c>
      <c r="N127" s="2">
        <v>72</v>
      </c>
      <c r="O127" s="2">
        <v>54</v>
      </c>
      <c r="P127" s="2">
        <v>56</v>
      </c>
      <c r="Q127" s="3">
        <v>0.30769999999999997</v>
      </c>
      <c r="R127" s="2">
        <v>260</v>
      </c>
      <c r="S127" s="2">
        <v>100</v>
      </c>
      <c r="T127" s="2">
        <v>130</v>
      </c>
      <c r="U127" s="3">
        <v>0.5</v>
      </c>
      <c r="V127" s="2">
        <v>-74</v>
      </c>
    </row>
    <row r="128" spans="1:22" x14ac:dyDescent="0.25">
      <c r="A128" t="s">
        <v>195</v>
      </c>
      <c r="B128" s="1">
        <v>45336</v>
      </c>
      <c r="C128">
        <v>262</v>
      </c>
      <c r="D128" t="s">
        <v>23</v>
      </c>
      <c r="E128" t="s">
        <v>24</v>
      </c>
      <c r="F128" t="s">
        <v>25</v>
      </c>
      <c r="G128" t="s">
        <v>33</v>
      </c>
      <c r="H128" t="s">
        <v>34</v>
      </c>
      <c r="I128" t="s">
        <v>50</v>
      </c>
      <c r="J128" t="s">
        <v>29</v>
      </c>
      <c r="K128">
        <v>694</v>
      </c>
      <c r="L128">
        <v>85</v>
      </c>
      <c r="M128" s="2">
        <v>224</v>
      </c>
      <c r="N128" s="2">
        <v>94</v>
      </c>
      <c r="O128" s="2">
        <v>114</v>
      </c>
      <c r="P128" s="2">
        <v>16</v>
      </c>
      <c r="Q128" s="3">
        <v>7.1400000000000005E-2</v>
      </c>
      <c r="R128" s="2">
        <v>220</v>
      </c>
      <c r="S128" s="2">
        <v>90</v>
      </c>
      <c r="T128" s="2">
        <v>30</v>
      </c>
      <c r="U128" s="3">
        <v>0.13639999999999999</v>
      </c>
      <c r="V128" s="2">
        <v>-14</v>
      </c>
    </row>
    <row r="129" spans="1:22" x14ac:dyDescent="0.25">
      <c r="A129" t="s">
        <v>196</v>
      </c>
      <c r="B129" s="1">
        <v>45337</v>
      </c>
      <c r="C129">
        <v>775</v>
      </c>
      <c r="D129" t="s">
        <v>65</v>
      </c>
      <c r="E129" t="s">
        <v>53</v>
      </c>
      <c r="F129" t="s">
        <v>25</v>
      </c>
      <c r="G129" t="s">
        <v>33</v>
      </c>
      <c r="H129" t="s">
        <v>54</v>
      </c>
      <c r="I129" t="s">
        <v>55</v>
      </c>
      <c r="J129" t="s">
        <v>40</v>
      </c>
      <c r="K129">
        <v>802</v>
      </c>
      <c r="L129">
        <v>6</v>
      </c>
      <c r="M129" s="2">
        <v>60</v>
      </c>
      <c r="N129" s="2">
        <v>22</v>
      </c>
      <c r="O129" s="2">
        <v>17</v>
      </c>
      <c r="P129" s="2">
        <v>25</v>
      </c>
      <c r="Q129" s="3">
        <v>0.41670000000000001</v>
      </c>
      <c r="R129" s="2">
        <v>50</v>
      </c>
      <c r="S129" s="2">
        <v>20</v>
      </c>
      <c r="T129" s="2">
        <v>20</v>
      </c>
      <c r="U129" s="3">
        <v>0.4</v>
      </c>
      <c r="V129" s="2">
        <v>5</v>
      </c>
    </row>
    <row r="130" spans="1:22" x14ac:dyDescent="0.25">
      <c r="A130" t="s">
        <v>197</v>
      </c>
      <c r="B130" s="1">
        <v>45338</v>
      </c>
      <c r="C130">
        <v>206</v>
      </c>
      <c r="D130" t="s">
        <v>52</v>
      </c>
      <c r="E130" t="s">
        <v>53</v>
      </c>
      <c r="F130" t="s">
        <v>25</v>
      </c>
      <c r="G130" t="s">
        <v>33</v>
      </c>
      <c r="H130" t="s">
        <v>54</v>
      </c>
      <c r="I130" t="s">
        <v>68</v>
      </c>
      <c r="J130" t="s">
        <v>29</v>
      </c>
      <c r="K130">
        <v>391</v>
      </c>
      <c r="L130">
        <v>20</v>
      </c>
      <c r="M130" s="2">
        <v>129</v>
      </c>
      <c r="N130" s="2">
        <v>54</v>
      </c>
      <c r="O130" s="2">
        <v>54</v>
      </c>
      <c r="P130" s="2">
        <v>19</v>
      </c>
      <c r="Q130" s="3">
        <v>0.14729999999999999</v>
      </c>
      <c r="R130" s="2">
        <v>110</v>
      </c>
      <c r="S130" s="2">
        <v>50</v>
      </c>
      <c r="T130" s="2">
        <v>20</v>
      </c>
      <c r="U130" s="3">
        <v>0.18179999999999999</v>
      </c>
      <c r="V130" s="2">
        <v>-1</v>
      </c>
    </row>
    <row r="131" spans="1:22" x14ac:dyDescent="0.25">
      <c r="A131" t="s">
        <v>198</v>
      </c>
      <c r="B131" s="1">
        <v>45338</v>
      </c>
      <c r="C131">
        <v>562</v>
      </c>
      <c r="D131" t="s">
        <v>62</v>
      </c>
      <c r="E131" t="s">
        <v>53</v>
      </c>
      <c r="F131" t="s">
        <v>32</v>
      </c>
      <c r="G131" t="s">
        <v>26</v>
      </c>
      <c r="H131" t="s">
        <v>38</v>
      </c>
      <c r="I131" t="s">
        <v>46</v>
      </c>
      <c r="J131" t="s">
        <v>40</v>
      </c>
      <c r="K131">
        <v>1246</v>
      </c>
      <c r="L131">
        <v>74</v>
      </c>
      <c r="M131" s="2">
        <v>520</v>
      </c>
      <c r="N131" s="2">
        <v>239</v>
      </c>
      <c r="O131" s="2">
        <v>95</v>
      </c>
      <c r="P131" s="2">
        <v>186</v>
      </c>
      <c r="Q131" s="3">
        <v>0.35770000000000002</v>
      </c>
      <c r="R131" s="2">
        <v>410</v>
      </c>
      <c r="S131" s="2">
        <v>190</v>
      </c>
      <c r="T131" s="2">
        <v>170</v>
      </c>
      <c r="U131" s="3">
        <v>0.41460000000000002</v>
      </c>
      <c r="V131" s="2">
        <v>16</v>
      </c>
    </row>
    <row r="132" spans="1:22" x14ac:dyDescent="0.25">
      <c r="A132" t="s">
        <v>199</v>
      </c>
      <c r="B132" s="1">
        <v>45339</v>
      </c>
      <c r="C132">
        <v>505</v>
      </c>
      <c r="D132" t="s">
        <v>44</v>
      </c>
      <c r="E132" t="s">
        <v>45</v>
      </c>
      <c r="F132" t="s">
        <v>25</v>
      </c>
      <c r="G132" t="s">
        <v>26</v>
      </c>
      <c r="H132" t="s">
        <v>38</v>
      </c>
      <c r="I132" t="s">
        <v>46</v>
      </c>
      <c r="J132" t="s">
        <v>40</v>
      </c>
      <c r="K132">
        <v>1009</v>
      </c>
      <c r="L132">
        <v>9</v>
      </c>
      <c r="M132" s="2">
        <v>74</v>
      </c>
      <c r="N132" s="2">
        <v>31</v>
      </c>
      <c r="O132" s="2">
        <v>31</v>
      </c>
      <c r="P132" s="2">
        <v>10</v>
      </c>
      <c r="Q132" s="3">
        <v>0.1351</v>
      </c>
      <c r="R132" s="2">
        <v>60</v>
      </c>
      <c r="S132" s="2">
        <v>20</v>
      </c>
      <c r="T132" s="2">
        <v>20</v>
      </c>
      <c r="U132" s="3">
        <v>0.33329999999999999</v>
      </c>
      <c r="V132" s="2">
        <v>-10</v>
      </c>
    </row>
    <row r="133" spans="1:22" x14ac:dyDescent="0.25">
      <c r="A133" t="s">
        <v>200</v>
      </c>
      <c r="B133" s="1">
        <v>45339</v>
      </c>
      <c r="C133">
        <v>435</v>
      </c>
      <c r="D133" t="s">
        <v>95</v>
      </c>
      <c r="E133" t="s">
        <v>53</v>
      </c>
      <c r="F133" t="s">
        <v>25</v>
      </c>
      <c r="G133" t="s">
        <v>26</v>
      </c>
      <c r="H133" t="s">
        <v>38</v>
      </c>
      <c r="I133" t="s">
        <v>39</v>
      </c>
      <c r="J133" t="s">
        <v>40</v>
      </c>
      <c r="K133">
        <v>327</v>
      </c>
      <c r="L133">
        <v>16</v>
      </c>
      <c r="M133" s="2">
        <v>135</v>
      </c>
      <c r="N133" s="2">
        <v>52</v>
      </c>
      <c r="O133" s="2">
        <v>39</v>
      </c>
      <c r="P133" s="2">
        <v>53</v>
      </c>
      <c r="Q133" s="3">
        <v>0.3926</v>
      </c>
      <c r="R133" s="2">
        <v>110</v>
      </c>
      <c r="S133" s="2">
        <v>40</v>
      </c>
      <c r="T133" s="2">
        <v>40</v>
      </c>
      <c r="U133" s="3">
        <v>0.36359999999999998</v>
      </c>
      <c r="V133" s="2">
        <v>13</v>
      </c>
    </row>
    <row r="134" spans="1:22" x14ac:dyDescent="0.25">
      <c r="A134" t="s">
        <v>201</v>
      </c>
      <c r="B134" s="1">
        <v>45339</v>
      </c>
      <c r="C134">
        <v>417</v>
      </c>
      <c r="D134" t="s">
        <v>58</v>
      </c>
      <c r="E134" t="s">
        <v>24</v>
      </c>
      <c r="F134" t="s">
        <v>25</v>
      </c>
      <c r="G134" t="s">
        <v>33</v>
      </c>
      <c r="H134" t="s">
        <v>34</v>
      </c>
      <c r="I134" t="s">
        <v>83</v>
      </c>
      <c r="J134" t="s">
        <v>40</v>
      </c>
      <c r="K134">
        <v>1060</v>
      </c>
      <c r="L134">
        <v>21</v>
      </c>
      <c r="M134" s="2">
        <v>160</v>
      </c>
      <c r="N134" s="2">
        <v>69</v>
      </c>
      <c r="O134" s="2">
        <v>43</v>
      </c>
      <c r="P134" s="2">
        <v>56</v>
      </c>
      <c r="Q134" s="3">
        <v>0.35</v>
      </c>
      <c r="R134" s="2">
        <v>140</v>
      </c>
      <c r="S134" s="2">
        <v>60</v>
      </c>
      <c r="T134" s="2">
        <v>40</v>
      </c>
      <c r="U134" s="3">
        <v>0.28570000000000001</v>
      </c>
      <c r="V134" s="2">
        <v>16</v>
      </c>
    </row>
    <row r="135" spans="1:22" x14ac:dyDescent="0.25">
      <c r="A135" t="s">
        <v>202</v>
      </c>
      <c r="B135" s="1">
        <v>45339</v>
      </c>
      <c r="C135">
        <v>951</v>
      </c>
      <c r="D135" t="s">
        <v>62</v>
      </c>
      <c r="E135" t="s">
        <v>53</v>
      </c>
      <c r="F135" t="s">
        <v>32</v>
      </c>
      <c r="G135" t="s">
        <v>33</v>
      </c>
      <c r="H135" t="s">
        <v>34</v>
      </c>
      <c r="I135" t="s">
        <v>35</v>
      </c>
      <c r="J135" t="s">
        <v>29</v>
      </c>
      <c r="K135">
        <v>2947</v>
      </c>
      <c r="L135">
        <v>40</v>
      </c>
      <c r="M135" s="2">
        <v>102</v>
      </c>
      <c r="N135" s="2">
        <v>127</v>
      </c>
      <c r="O135" s="2">
        <v>63</v>
      </c>
      <c r="P135" s="2">
        <v>-88</v>
      </c>
      <c r="Q135" s="3">
        <v>-0.86270000000000002</v>
      </c>
      <c r="R135" s="2">
        <v>120</v>
      </c>
      <c r="S135" s="2">
        <v>150</v>
      </c>
      <c r="T135" s="2">
        <v>-90</v>
      </c>
      <c r="U135" s="3">
        <v>-0.75</v>
      </c>
      <c r="V135" s="2">
        <v>2</v>
      </c>
    </row>
    <row r="136" spans="1:22" x14ac:dyDescent="0.25">
      <c r="A136" t="s">
        <v>203</v>
      </c>
      <c r="B136" s="1">
        <v>45339</v>
      </c>
      <c r="C136">
        <v>775</v>
      </c>
      <c r="D136" t="s">
        <v>65</v>
      </c>
      <c r="E136" t="s">
        <v>53</v>
      </c>
      <c r="F136" t="s">
        <v>25</v>
      </c>
      <c r="G136" t="s">
        <v>26</v>
      </c>
      <c r="H136" t="s">
        <v>38</v>
      </c>
      <c r="I136" t="s">
        <v>46</v>
      </c>
      <c r="J136" t="s">
        <v>40</v>
      </c>
      <c r="K136">
        <v>1132</v>
      </c>
      <c r="L136">
        <v>50</v>
      </c>
      <c r="M136" s="2">
        <v>391</v>
      </c>
      <c r="N136" s="2">
        <v>154</v>
      </c>
      <c r="O136" s="2">
        <v>93</v>
      </c>
      <c r="P136" s="2">
        <v>178</v>
      </c>
      <c r="Q136" s="3">
        <v>0.45519999999999999</v>
      </c>
      <c r="R136" s="2">
        <v>290</v>
      </c>
      <c r="S136" s="2">
        <v>120</v>
      </c>
      <c r="T136" s="2">
        <v>120</v>
      </c>
      <c r="U136" s="3">
        <v>0.4138</v>
      </c>
      <c r="V136" s="2">
        <v>58</v>
      </c>
    </row>
    <row r="137" spans="1:22" x14ac:dyDescent="0.25">
      <c r="A137" t="s">
        <v>204</v>
      </c>
      <c r="B137" s="1">
        <v>45340</v>
      </c>
      <c r="C137">
        <v>801</v>
      </c>
      <c r="D137" t="s">
        <v>95</v>
      </c>
      <c r="E137" t="s">
        <v>53</v>
      </c>
      <c r="F137" t="s">
        <v>25</v>
      </c>
      <c r="G137" t="s">
        <v>26</v>
      </c>
      <c r="H137" t="s">
        <v>38</v>
      </c>
      <c r="I137" t="s">
        <v>39</v>
      </c>
      <c r="J137" t="s">
        <v>40</v>
      </c>
      <c r="K137">
        <v>310</v>
      </c>
      <c r="L137">
        <v>15</v>
      </c>
      <c r="M137" s="2">
        <v>128</v>
      </c>
      <c r="N137" s="2">
        <v>49</v>
      </c>
      <c r="O137" s="2">
        <v>38</v>
      </c>
      <c r="P137" s="2">
        <v>49</v>
      </c>
      <c r="Q137" s="3">
        <v>0.38279999999999997</v>
      </c>
      <c r="R137" s="2">
        <v>90</v>
      </c>
      <c r="S137" s="2">
        <v>30</v>
      </c>
      <c r="T137" s="2">
        <v>60</v>
      </c>
      <c r="U137" s="3">
        <v>0.66669999999999996</v>
      </c>
      <c r="V137" s="2">
        <v>-11</v>
      </c>
    </row>
    <row r="138" spans="1:22" x14ac:dyDescent="0.25">
      <c r="A138" t="s">
        <v>205</v>
      </c>
      <c r="B138" s="1">
        <v>45340</v>
      </c>
      <c r="C138">
        <v>351</v>
      </c>
      <c r="D138" t="s">
        <v>78</v>
      </c>
      <c r="E138" t="s">
        <v>79</v>
      </c>
      <c r="F138" t="s">
        <v>32</v>
      </c>
      <c r="G138" t="s">
        <v>26</v>
      </c>
      <c r="H138" t="s">
        <v>27</v>
      </c>
      <c r="I138" t="s">
        <v>28</v>
      </c>
      <c r="J138" t="s">
        <v>29</v>
      </c>
      <c r="K138">
        <v>862</v>
      </c>
      <c r="L138">
        <v>10</v>
      </c>
      <c r="M138" s="2">
        <v>94</v>
      </c>
      <c r="N138" s="2">
        <v>36</v>
      </c>
      <c r="O138" s="2">
        <v>21</v>
      </c>
      <c r="P138" s="2">
        <v>46</v>
      </c>
      <c r="Q138" s="3">
        <v>0.4894</v>
      </c>
      <c r="R138" s="2">
        <v>90</v>
      </c>
      <c r="S138" s="2">
        <v>30</v>
      </c>
      <c r="T138" s="2">
        <v>40</v>
      </c>
      <c r="U138" s="3">
        <v>0.44440000000000002</v>
      </c>
      <c r="V138" s="2">
        <v>6</v>
      </c>
    </row>
    <row r="139" spans="1:22" x14ac:dyDescent="0.25">
      <c r="A139" t="s">
        <v>206</v>
      </c>
      <c r="B139" s="1">
        <v>45340</v>
      </c>
      <c r="C139">
        <v>509</v>
      </c>
      <c r="D139" t="s">
        <v>52</v>
      </c>
      <c r="E139" t="s">
        <v>53</v>
      </c>
      <c r="F139" t="s">
        <v>25</v>
      </c>
      <c r="G139" t="s">
        <v>26</v>
      </c>
      <c r="H139" t="s">
        <v>27</v>
      </c>
      <c r="I139" t="s">
        <v>59</v>
      </c>
      <c r="J139" t="s">
        <v>29</v>
      </c>
      <c r="K139">
        <v>613</v>
      </c>
      <c r="L139">
        <v>55</v>
      </c>
      <c r="M139" s="2">
        <v>157</v>
      </c>
      <c r="N139" s="2">
        <v>61</v>
      </c>
      <c r="O139" s="2">
        <v>85</v>
      </c>
      <c r="P139" s="2">
        <v>1</v>
      </c>
      <c r="Q139" s="3">
        <v>6.4000000000000003E-3</v>
      </c>
      <c r="R139" s="2">
        <v>100</v>
      </c>
      <c r="S139" s="2">
        <v>40</v>
      </c>
      <c r="T139" s="2">
        <v>0</v>
      </c>
      <c r="U139" s="3">
        <v>0</v>
      </c>
      <c r="V139" s="2">
        <v>1</v>
      </c>
    </row>
    <row r="140" spans="1:22" x14ac:dyDescent="0.25">
      <c r="A140" t="s">
        <v>207</v>
      </c>
      <c r="B140" s="1">
        <v>45340</v>
      </c>
      <c r="C140">
        <v>715</v>
      </c>
      <c r="D140" t="s">
        <v>23</v>
      </c>
      <c r="E140" t="s">
        <v>24</v>
      </c>
      <c r="F140" t="s">
        <v>25</v>
      </c>
      <c r="G140" t="s">
        <v>26</v>
      </c>
      <c r="H140" t="s">
        <v>38</v>
      </c>
      <c r="I140" t="s">
        <v>46</v>
      </c>
      <c r="J140" t="s">
        <v>40</v>
      </c>
      <c r="K140">
        <v>863</v>
      </c>
      <c r="L140">
        <v>9</v>
      </c>
      <c r="M140" s="2">
        <v>91</v>
      </c>
      <c r="N140" s="2">
        <v>34</v>
      </c>
      <c r="O140" s="2">
        <v>21</v>
      </c>
      <c r="P140" s="2">
        <v>45</v>
      </c>
      <c r="Q140" s="3">
        <v>0.4945</v>
      </c>
      <c r="R140" s="2">
        <v>70</v>
      </c>
      <c r="S140" s="2">
        <v>30</v>
      </c>
      <c r="T140" s="2">
        <v>30</v>
      </c>
      <c r="U140" s="3">
        <v>0.42859999999999998</v>
      </c>
      <c r="V140" s="2">
        <v>15</v>
      </c>
    </row>
    <row r="141" spans="1:22" x14ac:dyDescent="0.25">
      <c r="A141" t="s">
        <v>208</v>
      </c>
      <c r="B141" s="1">
        <v>45340</v>
      </c>
      <c r="C141">
        <v>203</v>
      </c>
      <c r="D141" t="s">
        <v>135</v>
      </c>
      <c r="E141" t="s">
        <v>79</v>
      </c>
      <c r="F141" t="s">
        <v>25</v>
      </c>
      <c r="G141" t="s">
        <v>33</v>
      </c>
      <c r="H141" t="s">
        <v>54</v>
      </c>
      <c r="I141" t="s">
        <v>55</v>
      </c>
      <c r="J141" t="s">
        <v>40</v>
      </c>
      <c r="K141">
        <v>392</v>
      </c>
      <c r="L141">
        <v>16</v>
      </c>
      <c r="M141" s="2">
        <v>121</v>
      </c>
      <c r="N141" s="2">
        <v>49</v>
      </c>
      <c r="O141" s="2">
        <v>44</v>
      </c>
      <c r="P141" s="2">
        <v>31</v>
      </c>
      <c r="Q141" s="3">
        <v>0.25619999999999998</v>
      </c>
      <c r="R141" s="2">
        <v>110</v>
      </c>
      <c r="S141" s="2">
        <v>40</v>
      </c>
      <c r="T141" s="2">
        <v>40</v>
      </c>
      <c r="U141" s="3">
        <v>0.36359999999999998</v>
      </c>
      <c r="V141" s="2">
        <v>-9</v>
      </c>
    </row>
    <row r="142" spans="1:22" x14ac:dyDescent="0.25">
      <c r="A142" t="s">
        <v>209</v>
      </c>
      <c r="B142" s="1">
        <v>45340</v>
      </c>
      <c r="C142">
        <v>561</v>
      </c>
      <c r="D142" t="s">
        <v>117</v>
      </c>
      <c r="E142" t="s">
        <v>79</v>
      </c>
      <c r="F142" t="s">
        <v>32</v>
      </c>
      <c r="G142" t="s">
        <v>26</v>
      </c>
      <c r="H142" t="s">
        <v>38</v>
      </c>
      <c r="I142" t="s">
        <v>39</v>
      </c>
      <c r="J142" t="s">
        <v>40</v>
      </c>
      <c r="K142">
        <v>570</v>
      </c>
      <c r="L142">
        <v>7</v>
      </c>
      <c r="M142" s="2">
        <v>52</v>
      </c>
      <c r="N142" s="2">
        <v>22</v>
      </c>
      <c r="O142" s="2">
        <v>19</v>
      </c>
      <c r="P142" s="2">
        <v>11</v>
      </c>
      <c r="Q142" s="3">
        <v>0.21149999999999999</v>
      </c>
      <c r="R142" s="2">
        <v>30</v>
      </c>
      <c r="S142" s="2">
        <v>10</v>
      </c>
      <c r="T142" s="2">
        <v>10</v>
      </c>
      <c r="U142" s="3">
        <v>0.33329999999999999</v>
      </c>
      <c r="V142" s="2">
        <v>1</v>
      </c>
    </row>
    <row r="143" spans="1:22" x14ac:dyDescent="0.25">
      <c r="A143" t="s">
        <v>210</v>
      </c>
      <c r="B143" s="1">
        <v>45340</v>
      </c>
      <c r="C143">
        <v>435</v>
      </c>
      <c r="D143" t="s">
        <v>95</v>
      </c>
      <c r="E143" t="s">
        <v>53</v>
      </c>
      <c r="F143" t="s">
        <v>25</v>
      </c>
      <c r="G143" t="s">
        <v>26</v>
      </c>
      <c r="H143" t="s">
        <v>38</v>
      </c>
      <c r="I143" t="s">
        <v>66</v>
      </c>
      <c r="J143" t="s">
        <v>40</v>
      </c>
      <c r="K143">
        <v>1698</v>
      </c>
      <c r="L143">
        <v>26</v>
      </c>
      <c r="M143" s="2">
        <v>109</v>
      </c>
      <c r="N143" s="2">
        <v>86</v>
      </c>
      <c r="O143" s="2">
        <v>50</v>
      </c>
      <c r="P143" s="2">
        <v>-27</v>
      </c>
      <c r="Q143" s="3">
        <v>-0.2477</v>
      </c>
      <c r="R143" s="2">
        <v>80</v>
      </c>
      <c r="S143" s="2">
        <v>60</v>
      </c>
      <c r="T143" s="2">
        <v>0</v>
      </c>
      <c r="U143" s="3">
        <v>0</v>
      </c>
      <c r="V143" s="2">
        <v>-27</v>
      </c>
    </row>
    <row r="144" spans="1:22" x14ac:dyDescent="0.25">
      <c r="A144" t="s">
        <v>211</v>
      </c>
      <c r="B144" s="1">
        <v>45341</v>
      </c>
      <c r="C144">
        <v>203</v>
      </c>
      <c r="D144" t="s">
        <v>135</v>
      </c>
      <c r="E144" t="s">
        <v>79</v>
      </c>
      <c r="F144" t="s">
        <v>25</v>
      </c>
      <c r="G144" t="s">
        <v>33</v>
      </c>
      <c r="H144" t="s">
        <v>34</v>
      </c>
      <c r="I144" t="s">
        <v>50</v>
      </c>
      <c r="J144" t="s">
        <v>29</v>
      </c>
      <c r="K144">
        <v>1134</v>
      </c>
      <c r="L144">
        <v>42</v>
      </c>
      <c r="M144" s="2">
        <v>346</v>
      </c>
      <c r="N144" s="2">
        <v>130</v>
      </c>
      <c r="O144" s="2">
        <v>73</v>
      </c>
      <c r="P144" s="2">
        <v>181</v>
      </c>
      <c r="Q144" s="3">
        <v>0.52310000000000001</v>
      </c>
      <c r="R144" s="2">
        <v>290</v>
      </c>
      <c r="S144" s="2">
        <v>110</v>
      </c>
      <c r="T144" s="2">
        <v>130</v>
      </c>
      <c r="U144" s="3">
        <v>0.44829999999999998</v>
      </c>
      <c r="V144" s="2">
        <v>51</v>
      </c>
    </row>
    <row r="145" spans="1:22" x14ac:dyDescent="0.25">
      <c r="A145" t="s">
        <v>212</v>
      </c>
      <c r="B145" s="1">
        <v>45342</v>
      </c>
      <c r="C145">
        <v>262</v>
      </c>
      <c r="D145" t="s">
        <v>23</v>
      </c>
      <c r="E145" t="s">
        <v>24</v>
      </c>
      <c r="F145" t="s">
        <v>25</v>
      </c>
      <c r="G145" t="s">
        <v>26</v>
      </c>
      <c r="H145" t="s">
        <v>38</v>
      </c>
      <c r="I145" t="s">
        <v>46</v>
      </c>
      <c r="J145" t="s">
        <v>40</v>
      </c>
      <c r="K145">
        <v>851</v>
      </c>
      <c r="L145">
        <v>13</v>
      </c>
      <c r="M145" s="2">
        <v>118</v>
      </c>
      <c r="N145" s="2">
        <v>48</v>
      </c>
      <c r="O145" s="2">
        <v>25</v>
      </c>
      <c r="P145" s="2">
        <v>45</v>
      </c>
      <c r="Q145" s="3">
        <v>0.38140000000000002</v>
      </c>
      <c r="R145" s="2">
        <v>90</v>
      </c>
      <c r="S145" s="2">
        <v>30</v>
      </c>
      <c r="T145" s="2">
        <v>60</v>
      </c>
      <c r="U145" s="3">
        <v>0.66669999999999996</v>
      </c>
      <c r="V145" t="s">
        <v>213</v>
      </c>
    </row>
    <row r="146" spans="1:22" x14ac:dyDescent="0.25">
      <c r="A146" t="s">
        <v>214</v>
      </c>
      <c r="B146" s="1">
        <v>45342</v>
      </c>
      <c r="C146">
        <v>361</v>
      </c>
      <c r="D146" t="s">
        <v>76</v>
      </c>
      <c r="E146" t="s">
        <v>45</v>
      </c>
      <c r="F146" t="s">
        <v>32</v>
      </c>
      <c r="G146" t="s">
        <v>33</v>
      </c>
      <c r="H146" t="s">
        <v>54</v>
      </c>
      <c r="I146" t="s">
        <v>72</v>
      </c>
      <c r="J146" t="s">
        <v>29</v>
      </c>
      <c r="K146">
        <v>-1239</v>
      </c>
      <c r="L146">
        <v>22</v>
      </c>
      <c r="M146" s="2">
        <v>179</v>
      </c>
      <c r="N146" s="2">
        <v>67</v>
      </c>
      <c r="O146" s="2">
        <v>54</v>
      </c>
      <c r="P146" s="2">
        <v>70</v>
      </c>
      <c r="Q146" s="3">
        <v>0.3911</v>
      </c>
      <c r="R146" s="2">
        <v>120</v>
      </c>
      <c r="S146" s="2">
        <v>50</v>
      </c>
      <c r="T146" s="2">
        <v>30</v>
      </c>
      <c r="U146" s="3">
        <v>0.25</v>
      </c>
      <c r="V146" s="2">
        <v>40</v>
      </c>
    </row>
    <row r="147" spans="1:22" x14ac:dyDescent="0.25">
      <c r="A147" t="s">
        <v>215</v>
      </c>
      <c r="B147" s="1">
        <v>45342</v>
      </c>
      <c r="C147">
        <v>509</v>
      </c>
      <c r="D147" t="s">
        <v>52</v>
      </c>
      <c r="E147" t="s">
        <v>53</v>
      </c>
      <c r="F147" t="s">
        <v>25</v>
      </c>
      <c r="G147" t="s">
        <v>26</v>
      </c>
      <c r="H147" t="s">
        <v>38</v>
      </c>
      <c r="I147" t="s">
        <v>39</v>
      </c>
      <c r="J147" t="s">
        <v>40</v>
      </c>
      <c r="K147">
        <v>1166</v>
      </c>
      <c r="L147">
        <v>37</v>
      </c>
      <c r="M147" s="2">
        <v>289</v>
      </c>
      <c r="N147" s="2">
        <v>115</v>
      </c>
      <c r="O147" s="2">
        <v>69</v>
      </c>
      <c r="P147" s="2">
        <v>105</v>
      </c>
      <c r="Q147" s="3">
        <v>0.36330000000000001</v>
      </c>
      <c r="R147" s="2">
        <v>260</v>
      </c>
      <c r="S147" s="2">
        <v>100</v>
      </c>
      <c r="T147" s="2">
        <v>110</v>
      </c>
      <c r="U147" s="3">
        <v>0.42309999999999998</v>
      </c>
      <c r="V147" s="2">
        <v>-5</v>
      </c>
    </row>
    <row r="148" spans="1:22" x14ac:dyDescent="0.25">
      <c r="A148" t="s">
        <v>216</v>
      </c>
      <c r="B148" s="1">
        <v>45343</v>
      </c>
      <c r="C148">
        <v>702</v>
      </c>
      <c r="D148" t="s">
        <v>65</v>
      </c>
      <c r="E148" t="s">
        <v>53</v>
      </c>
      <c r="F148" t="s">
        <v>25</v>
      </c>
      <c r="G148" t="s">
        <v>33</v>
      </c>
      <c r="H148" t="s">
        <v>54</v>
      </c>
      <c r="I148" t="s">
        <v>72</v>
      </c>
      <c r="J148" t="s">
        <v>29</v>
      </c>
      <c r="K148">
        <v>344</v>
      </c>
      <c r="L148">
        <v>0</v>
      </c>
      <c r="M148" s="2">
        <v>43</v>
      </c>
      <c r="N148" s="2">
        <v>0</v>
      </c>
      <c r="O148" s="2">
        <v>12</v>
      </c>
      <c r="P148" s="2">
        <v>31</v>
      </c>
      <c r="Q148" s="3">
        <v>0.72089999999999999</v>
      </c>
      <c r="R148" s="2">
        <v>40</v>
      </c>
      <c r="S148" s="2">
        <v>0</v>
      </c>
      <c r="T148" s="2">
        <v>30</v>
      </c>
      <c r="U148" s="3">
        <v>0.75</v>
      </c>
      <c r="V148" s="2">
        <v>1</v>
      </c>
    </row>
    <row r="149" spans="1:22" x14ac:dyDescent="0.25">
      <c r="A149" t="s">
        <v>217</v>
      </c>
      <c r="B149" s="1">
        <v>45343</v>
      </c>
      <c r="C149">
        <v>203</v>
      </c>
      <c r="D149" t="s">
        <v>135</v>
      </c>
      <c r="E149" t="s">
        <v>79</v>
      </c>
      <c r="F149" t="s">
        <v>25</v>
      </c>
      <c r="G149" t="s">
        <v>26</v>
      </c>
      <c r="H149" t="s">
        <v>27</v>
      </c>
      <c r="I149" t="s">
        <v>59</v>
      </c>
      <c r="J149" t="s">
        <v>29</v>
      </c>
      <c r="K149">
        <v>806</v>
      </c>
      <c r="L149">
        <v>6</v>
      </c>
      <c r="M149" s="2">
        <v>64</v>
      </c>
      <c r="N149" s="2">
        <v>24</v>
      </c>
      <c r="O149" s="2">
        <v>18</v>
      </c>
      <c r="P149" s="2">
        <v>27</v>
      </c>
      <c r="Q149" s="3">
        <v>0.4219</v>
      </c>
      <c r="R149" s="2">
        <v>60</v>
      </c>
      <c r="S149" s="2">
        <v>20</v>
      </c>
      <c r="T149" s="2">
        <v>40</v>
      </c>
      <c r="U149" s="3">
        <v>0.66669999999999996</v>
      </c>
      <c r="V149" s="2">
        <v>-13</v>
      </c>
    </row>
    <row r="150" spans="1:22" x14ac:dyDescent="0.25">
      <c r="A150" t="s">
        <v>218</v>
      </c>
      <c r="B150" s="1">
        <v>45343</v>
      </c>
      <c r="C150">
        <v>915</v>
      </c>
      <c r="D150" t="s">
        <v>76</v>
      </c>
      <c r="E150" t="s">
        <v>45</v>
      </c>
      <c r="F150" t="s">
        <v>32</v>
      </c>
      <c r="G150" t="s">
        <v>33</v>
      </c>
      <c r="H150" t="s">
        <v>54</v>
      </c>
      <c r="I150" t="s">
        <v>68</v>
      </c>
      <c r="J150" t="s">
        <v>29</v>
      </c>
      <c r="K150">
        <v>930</v>
      </c>
      <c r="L150">
        <v>33</v>
      </c>
      <c r="M150" s="2">
        <v>309</v>
      </c>
      <c r="N150" s="2">
        <v>118</v>
      </c>
      <c r="O150" s="2">
        <v>45</v>
      </c>
      <c r="P150" s="2">
        <v>188</v>
      </c>
      <c r="Q150" s="3">
        <v>0.60840000000000005</v>
      </c>
      <c r="R150" s="2">
        <v>220</v>
      </c>
      <c r="S150" s="2">
        <v>90</v>
      </c>
      <c r="T150" s="2">
        <v>100</v>
      </c>
      <c r="U150" s="3">
        <v>0.45450000000000002</v>
      </c>
      <c r="V150" s="2">
        <v>88</v>
      </c>
    </row>
    <row r="151" spans="1:22" x14ac:dyDescent="0.25">
      <c r="A151" t="s">
        <v>219</v>
      </c>
      <c r="B151" s="1">
        <v>45343</v>
      </c>
      <c r="C151">
        <v>641</v>
      </c>
      <c r="D151" t="s">
        <v>124</v>
      </c>
      <c r="E151" t="s">
        <v>24</v>
      </c>
      <c r="F151" t="s">
        <v>25</v>
      </c>
      <c r="G151" t="s">
        <v>26</v>
      </c>
      <c r="H151" t="s">
        <v>38</v>
      </c>
      <c r="I151" t="s">
        <v>39</v>
      </c>
      <c r="J151" t="s">
        <v>40</v>
      </c>
      <c r="K151">
        <v>1691</v>
      </c>
      <c r="L151">
        <v>75</v>
      </c>
      <c r="M151" s="2">
        <v>567</v>
      </c>
      <c r="N151" s="2">
        <v>228</v>
      </c>
      <c r="O151" s="2">
        <v>108</v>
      </c>
      <c r="P151" s="2">
        <v>291</v>
      </c>
      <c r="Q151" s="3">
        <v>0.51319999999999999</v>
      </c>
      <c r="R151" s="2">
        <v>490</v>
      </c>
      <c r="S151" s="2">
        <v>210</v>
      </c>
      <c r="T151" s="2">
        <v>180</v>
      </c>
      <c r="U151" s="3">
        <v>0.36730000000000002</v>
      </c>
      <c r="V151" s="2">
        <v>111</v>
      </c>
    </row>
    <row r="152" spans="1:22" x14ac:dyDescent="0.25">
      <c r="A152" t="s">
        <v>220</v>
      </c>
      <c r="B152" s="1">
        <v>45344</v>
      </c>
      <c r="C152">
        <v>760</v>
      </c>
      <c r="D152" t="s">
        <v>62</v>
      </c>
      <c r="E152" t="s">
        <v>53</v>
      </c>
      <c r="F152" t="s">
        <v>32</v>
      </c>
      <c r="G152" t="s">
        <v>26</v>
      </c>
      <c r="H152" t="s">
        <v>27</v>
      </c>
      <c r="I152" t="s">
        <v>42</v>
      </c>
      <c r="J152" t="s">
        <v>29</v>
      </c>
      <c r="K152">
        <v>589</v>
      </c>
      <c r="L152">
        <v>14</v>
      </c>
      <c r="M152" s="2">
        <v>131</v>
      </c>
      <c r="N152" s="2">
        <v>50</v>
      </c>
      <c r="O152" s="2">
        <v>26</v>
      </c>
      <c r="P152" s="2">
        <v>70</v>
      </c>
      <c r="Q152" s="3">
        <v>0.53439999999999999</v>
      </c>
      <c r="R152" s="2">
        <v>80</v>
      </c>
      <c r="S152" s="2">
        <v>30</v>
      </c>
      <c r="T152" s="2">
        <v>40</v>
      </c>
      <c r="U152" s="3">
        <v>0.5</v>
      </c>
      <c r="V152" s="2">
        <v>30</v>
      </c>
    </row>
    <row r="153" spans="1:22" x14ac:dyDescent="0.25">
      <c r="A153" t="s">
        <v>221</v>
      </c>
      <c r="B153" s="1">
        <v>45344</v>
      </c>
      <c r="C153">
        <v>775</v>
      </c>
      <c r="D153" t="s">
        <v>65</v>
      </c>
      <c r="E153" t="s">
        <v>53</v>
      </c>
      <c r="F153" t="s">
        <v>25</v>
      </c>
      <c r="G153" t="s">
        <v>33</v>
      </c>
      <c r="H153" t="s">
        <v>54</v>
      </c>
      <c r="I153" t="s">
        <v>68</v>
      </c>
      <c r="J153" t="s">
        <v>29</v>
      </c>
      <c r="K153">
        <v>848</v>
      </c>
      <c r="L153">
        <v>4</v>
      </c>
      <c r="M153" s="2">
        <v>42</v>
      </c>
      <c r="N153" s="2">
        <v>15</v>
      </c>
      <c r="O153" s="2">
        <v>15</v>
      </c>
      <c r="P153" s="2">
        <v>13</v>
      </c>
      <c r="Q153" s="3">
        <v>0.3095</v>
      </c>
      <c r="R153" s="2">
        <v>30</v>
      </c>
      <c r="S153" s="2">
        <v>10</v>
      </c>
      <c r="T153" s="2">
        <v>10</v>
      </c>
      <c r="U153" s="3">
        <v>0.33329999999999999</v>
      </c>
      <c r="V153" s="2">
        <v>3</v>
      </c>
    </row>
    <row r="154" spans="1:22" x14ac:dyDescent="0.25">
      <c r="A154" t="s">
        <v>222</v>
      </c>
      <c r="B154" s="1">
        <v>45345</v>
      </c>
      <c r="C154">
        <v>505</v>
      </c>
      <c r="D154" t="s">
        <v>44</v>
      </c>
      <c r="E154" t="s">
        <v>45</v>
      </c>
      <c r="F154" t="s">
        <v>25</v>
      </c>
      <c r="G154" t="s">
        <v>33</v>
      </c>
      <c r="H154" t="s">
        <v>54</v>
      </c>
      <c r="I154" t="s">
        <v>72</v>
      </c>
      <c r="J154" t="s">
        <v>29</v>
      </c>
      <c r="K154">
        <v>-522</v>
      </c>
      <c r="L154">
        <v>12</v>
      </c>
      <c r="M154" s="2">
        <v>81</v>
      </c>
      <c r="N154" s="2">
        <v>34</v>
      </c>
      <c r="O154" s="2">
        <v>46</v>
      </c>
      <c r="P154" s="2">
        <v>-6</v>
      </c>
      <c r="Q154" s="3">
        <v>-7.4099999999999999E-2</v>
      </c>
      <c r="R154" s="2">
        <v>50</v>
      </c>
      <c r="S154" s="2">
        <v>20</v>
      </c>
      <c r="T154" s="2">
        <v>-10</v>
      </c>
      <c r="U154" s="3">
        <v>-0.2</v>
      </c>
      <c r="V154" s="2">
        <v>4</v>
      </c>
    </row>
    <row r="155" spans="1:22" x14ac:dyDescent="0.25">
      <c r="A155" t="s">
        <v>223</v>
      </c>
      <c r="B155" s="1">
        <v>45345</v>
      </c>
      <c r="C155">
        <v>435</v>
      </c>
      <c r="D155" t="s">
        <v>95</v>
      </c>
      <c r="E155" t="s">
        <v>53</v>
      </c>
      <c r="F155" t="s">
        <v>25</v>
      </c>
      <c r="G155" t="s">
        <v>33</v>
      </c>
      <c r="H155" t="s">
        <v>34</v>
      </c>
      <c r="I155" t="s">
        <v>50</v>
      </c>
      <c r="J155" t="s">
        <v>29</v>
      </c>
      <c r="K155">
        <v>392</v>
      </c>
      <c r="L155">
        <v>16</v>
      </c>
      <c r="M155" s="2">
        <v>121</v>
      </c>
      <c r="N155" s="2">
        <v>49</v>
      </c>
      <c r="O155" s="2">
        <v>44</v>
      </c>
      <c r="P155" s="2">
        <v>31</v>
      </c>
      <c r="Q155" s="3">
        <v>0.25619999999999998</v>
      </c>
      <c r="R155" s="2">
        <v>130</v>
      </c>
      <c r="S155" s="2">
        <v>50</v>
      </c>
      <c r="T155" s="2">
        <v>50</v>
      </c>
      <c r="U155" s="3">
        <v>0.3846</v>
      </c>
      <c r="V155" s="2">
        <v>-19</v>
      </c>
    </row>
    <row r="156" spans="1:22" x14ac:dyDescent="0.25">
      <c r="A156" t="s">
        <v>224</v>
      </c>
      <c r="B156" s="1">
        <v>45345</v>
      </c>
      <c r="C156">
        <v>918</v>
      </c>
      <c r="D156" t="s">
        <v>148</v>
      </c>
      <c r="E156" t="s">
        <v>45</v>
      </c>
      <c r="F156" t="s">
        <v>25</v>
      </c>
      <c r="G156" t="s">
        <v>33</v>
      </c>
      <c r="H156" t="s">
        <v>54</v>
      </c>
      <c r="I156" t="s">
        <v>72</v>
      </c>
      <c r="J156" t="s">
        <v>29</v>
      </c>
      <c r="K156">
        <v>-2248</v>
      </c>
      <c r="L156">
        <v>41</v>
      </c>
      <c r="M156" s="2">
        <v>341</v>
      </c>
      <c r="N156" s="2">
        <v>134</v>
      </c>
      <c r="O156" s="2">
        <v>65</v>
      </c>
      <c r="P156" s="2">
        <v>180</v>
      </c>
      <c r="Q156" s="3">
        <v>0.52790000000000004</v>
      </c>
      <c r="R156" s="2">
        <v>240</v>
      </c>
      <c r="S156" s="2">
        <v>100</v>
      </c>
      <c r="T156" s="2">
        <v>90</v>
      </c>
      <c r="U156" s="3">
        <v>0.375</v>
      </c>
      <c r="V156" s="2">
        <v>90</v>
      </c>
    </row>
    <row r="157" spans="1:22" x14ac:dyDescent="0.25">
      <c r="A157" t="s">
        <v>225</v>
      </c>
      <c r="B157" s="1">
        <v>45345</v>
      </c>
      <c r="C157">
        <v>978</v>
      </c>
      <c r="D157" t="s">
        <v>78</v>
      </c>
      <c r="E157" t="s">
        <v>79</v>
      </c>
      <c r="F157" t="s">
        <v>32</v>
      </c>
      <c r="G157" t="s">
        <v>33</v>
      </c>
      <c r="H157" t="s">
        <v>34</v>
      </c>
      <c r="I157" t="s">
        <v>50</v>
      </c>
      <c r="J157" t="s">
        <v>29</v>
      </c>
      <c r="K157">
        <v>-3287</v>
      </c>
      <c r="L157">
        <v>24</v>
      </c>
      <c r="M157" s="2">
        <v>454</v>
      </c>
      <c r="N157" s="2">
        <v>75</v>
      </c>
      <c r="O157" s="2">
        <v>55</v>
      </c>
      <c r="P157" s="2">
        <v>324</v>
      </c>
      <c r="Q157" s="3">
        <v>0.7137</v>
      </c>
      <c r="R157" s="2">
        <v>400</v>
      </c>
      <c r="S157" s="2">
        <v>60</v>
      </c>
      <c r="T157" s="2">
        <v>300</v>
      </c>
      <c r="U157" s="3">
        <v>0.75</v>
      </c>
      <c r="V157" s="2">
        <v>24</v>
      </c>
    </row>
    <row r="158" spans="1:22" x14ac:dyDescent="0.25">
      <c r="A158" t="s">
        <v>226</v>
      </c>
      <c r="B158" s="1">
        <v>45345</v>
      </c>
      <c r="C158">
        <v>971</v>
      </c>
      <c r="D158" t="s">
        <v>71</v>
      </c>
      <c r="E158" t="s">
        <v>53</v>
      </c>
      <c r="F158" t="s">
        <v>25</v>
      </c>
      <c r="G158" t="s">
        <v>26</v>
      </c>
      <c r="H158" t="s">
        <v>27</v>
      </c>
      <c r="I158" t="s">
        <v>42</v>
      </c>
      <c r="J158" t="s">
        <v>29</v>
      </c>
      <c r="K158">
        <v>798</v>
      </c>
      <c r="L158">
        <v>25</v>
      </c>
      <c r="M158" s="2">
        <v>197</v>
      </c>
      <c r="N158" s="2">
        <v>78</v>
      </c>
      <c r="O158" s="2">
        <v>57</v>
      </c>
      <c r="P158" s="2">
        <v>62</v>
      </c>
      <c r="Q158" s="3">
        <v>0.31469999999999998</v>
      </c>
      <c r="R158" s="2">
        <v>140</v>
      </c>
      <c r="S158" s="2">
        <v>50</v>
      </c>
      <c r="T158" s="2">
        <v>50</v>
      </c>
      <c r="U158" s="3">
        <v>0.35709999999999997</v>
      </c>
      <c r="V158" s="2">
        <v>12</v>
      </c>
    </row>
    <row r="159" spans="1:22" x14ac:dyDescent="0.25">
      <c r="A159" t="s">
        <v>227</v>
      </c>
      <c r="B159" s="1">
        <v>45345</v>
      </c>
      <c r="C159">
        <v>435</v>
      </c>
      <c r="D159" t="s">
        <v>95</v>
      </c>
      <c r="E159" t="s">
        <v>53</v>
      </c>
      <c r="F159" t="s">
        <v>25</v>
      </c>
      <c r="G159" t="s">
        <v>26</v>
      </c>
      <c r="H159" t="s">
        <v>27</v>
      </c>
      <c r="I159" t="s">
        <v>59</v>
      </c>
      <c r="J159" t="s">
        <v>29</v>
      </c>
      <c r="K159">
        <v>218</v>
      </c>
      <c r="L159">
        <v>7</v>
      </c>
      <c r="M159" s="2">
        <v>48</v>
      </c>
      <c r="N159" s="2">
        <v>20</v>
      </c>
      <c r="O159" s="2">
        <v>40</v>
      </c>
      <c r="P159" s="2">
        <v>-22</v>
      </c>
      <c r="Q159" s="3">
        <v>-0.45829999999999999</v>
      </c>
      <c r="R159" s="2">
        <v>30</v>
      </c>
      <c r="S159" s="2">
        <v>10</v>
      </c>
      <c r="T159" s="2">
        <v>0</v>
      </c>
      <c r="U159" s="3">
        <v>0</v>
      </c>
      <c r="V159" s="2">
        <v>-22</v>
      </c>
    </row>
    <row r="160" spans="1:22" x14ac:dyDescent="0.25">
      <c r="A160" t="s">
        <v>228</v>
      </c>
      <c r="B160" s="1">
        <v>45346</v>
      </c>
      <c r="C160">
        <v>970</v>
      </c>
      <c r="D160" t="s">
        <v>31</v>
      </c>
      <c r="E160" t="s">
        <v>24</v>
      </c>
      <c r="F160" t="s">
        <v>32</v>
      </c>
      <c r="G160" t="s">
        <v>26</v>
      </c>
      <c r="H160" t="s">
        <v>38</v>
      </c>
      <c r="I160" t="s">
        <v>39</v>
      </c>
      <c r="J160" t="s">
        <v>40</v>
      </c>
      <c r="K160">
        <v>1319</v>
      </c>
      <c r="L160">
        <v>42</v>
      </c>
      <c r="M160" s="2">
        <v>326</v>
      </c>
      <c r="N160" s="2">
        <v>153</v>
      </c>
      <c r="O160" s="2">
        <v>66</v>
      </c>
      <c r="P160" s="2">
        <v>129</v>
      </c>
      <c r="Q160" s="3">
        <v>0.3957</v>
      </c>
      <c r="R160" s="2">
        <v>280</v>
      </c>
      <c r="S160" s="2">
        <v>140</v>
      </c>
      <c r="T160" s="2">
        <v>80</v>
      </c>
      <c r="U160" s="3">
        <v>0.28570000000000001</v>
      </c>
      <c r="V160" s="2">
        <v>49</v>
      </c>
    </row>
    <row r="161" spans="1:22" x14ac:dyDescent="0.25">
      <c r="A161" t="s">
        <v>229</v>
      </c>
      <c r="B161" s="1">
        <v>45347</v>
      </c>
      <c r="C161">
        <v>262</v>
      </c>
      <c r="D161" t="s">
        <v>23</v>
      </c>
      <c r="E161" t="s">
        <v>24</v>
      </c>
      <c r="F161" t="s">
        <v>25</v>
      </c>
      <c r="G161" t="s">
        <v>26</v>
      </c>
      <c r="H161" t="s">
        <v>27</v>
      </c>
      <c r="I161" t="s">
        <v>28</v>
      </c>
      <c r="J161" t="s">
        <v>29</v>
      </c>
      <c r="K161">
        <v>466</v>
      </c>
      <c r="L161">
        <v>13</v>
      </c>
      <c r="M161" s="2">
        <v>106</v>
      </c>
      <c r="N161" s="2">
        <v>43</v>
      </c>
      <c r="O161" s="2">
        <v>35</v>
      </c>
      <c r="P161" s="2">
        <v>28</v>
      </c>
      <c r="Q161" s="3">
        <v>0.26419999999999999</v>
      </c>
      <c r="R161" s="2">
        <v>80</v>
      </c>
      <c r="S161" s="2">
        <v>30</v>
      </c>
      <c r="T161" s="2">
        <v>20</v>
      </c>
      <c r="U161" s="3">
        <v>0.25</v>
      </c>
      <c r="V161" s="2">
        <v>8</v>
      </c>
    </row>
    <row r="162" spans="1:22" x14ac:dyDescent="0.25">
      <c r="A162" t="s">
        <v>230</v>
      </c>
      <c r="B162" s="1">
        <v>45348</v>
      </c>
      <c r="C162">
        <v>603</v>
      </c>
      <c r="D162" t="s">
        <v>109</v>
      </c>
      <c r="E162" t="s">
        <v>79</v>
      </c>
      <c r="F162" t="s">
        <v>25</v>
      </c>
      <c r="G162" t="s">
        <v>33</v>
      </c>
      <c r="H162" t="s">
        <v>54</v>
      </c>
      <c r="I162" t="s">
        <v>101</v>
      </c>
      <c r="J162" t="s">
        <v>29</v>
      </c>
      <c r="K162">
        <v>218</v>
      </c>
      <c r="L162">
        <v>7</v>
      </c>
      <c r="M162" s="2">
        <v>48</v>
      </c>
      <c r="N162" s="2">
        <v>20</v>
      </c>
      <c r="O162" s="2">
        <v>41</v>
      </c>
      <c r="P162" s="2">
        <v>-24</v>
      </c>
      <c r="Q162" s="3">
        <v>-0.5</v>
      </c>
      <c r="R162" s="2">
        <v>40</v>
      </c>
      <c r="S162" s="2">
        <v>10</v>
      </c>
      <c r="T162" s="2">
        <v>0</v>
      </c>
      <c r="U162" s="3">
        <v>0</v>
      </c>
      <c r="V162" s="2">
        <v>-24</v>
      </c>
    </row>
    <row r="163" spans="1:22" x14ac:dyDescent="0.25">
      <c r="A163" t="s">
        <v>231</v>
      </c>
      <c r="B163" s="1">
        <v>45349</v>
      </c>
      <c r="C163">
        <v>541</v>
      </c>
      <c r="D163" t="s">
        <v>71</v>
      </c>
      <c r="E163" t="s">
        <v>53</v>
      </c>
      <c r="F163" t="s">
        <v>25</v>
      </c>
      <c r="G163" t="s">
        <v>26</v>
      </c>
      <c r="H163" t="s">
        <v>38</v>
      </c>
      <c r="I163" t="s">
        <v>39</v>
      </c>
      <c r="J163" t="s">
        <v>40</v>
      </c>
      <c r="K163">
        <v>823</v>
      </c>
      <c r="L163">
        <v>7</v>
      </c>
      <c r="M163" s="2">
        <v>67</v>
      </c>
      <c r="N163" s="2">
        <v>25</v>
      </c>
      <c r="O163" s="2">
        <v>19</v>
      </c>
      <c r="P163" s="2">
        <v>28</v>
      </c>
      <c r="Q163" s="3">
        <v>0.41789999999999999</v>
      </c>
      <c r="R163" s="2">
        <v>50</v>
      </c>
      <c r="S163" s="2">
        <v>20</v>
      </c>
      <c r="T163" s="2">
        <v>20</v>
      </c>
      <c r="U163" s="3">
        <v>0.4</v>
      </c>
      <c r="V163" s="2">
        <v>8</v>
      </c>
    </row>
    <row r="164" spans="1:22" x14ac:dyDescent="0.25">
      <c r="A164" t="s">
        <v>232</v>
      </c>
      <c r="B164" s="1">
        <v>45349</v>
      </c>
      <c r="C164">
        <v>315</v>
      </c>
      <c r="D164" t="s">
        <v>99</v>
      </c>
      <c r="E164" t="s">
        <v>79</v>
      </c>
      <c r="F164" t="s">
        <v>32</v>
      </c>
      <c r="G164" t="s">
        <v>33</v>
      </c>
      <c r="H164" t="s">
        <v>34</v>
      </c>
      <c r="I164" t="s">
        <v>50</v>
      </c>
      <c r="J164" t="s">
        <v>29</v>
      </c>
      <c r="K164">
        <v>2548</v>
      </c>
      <c r="L164">
        <v>91</v>
      </c>
      <c r="M164" s="2">
        <v>650</v>
      </c>
      <c r="N164" s="2">
        <v>260</v>
      </c>
      <c r="O164" s="2">
        <v>143</v>
      </c>
      <c r="P164" s="2">
        <v>247</v>
      </c>
      <c r="Q164" s="3">
        <v>0.38</v>
      </c>
      <c r="R164" s="2">
        <v>540</v>
      </c>
      <c r="S164" s="2">
        <v>210</v>
      </c>
      <c r="T164" s="2">
        <v>230</v>
      </c>
      <c r="U164" s="3">
        <v>0.4259</v>
      </c>
      <c r="V164" s="2">
        <v>17</v>
      </c>
    </row>
    <row r="165" spans="1:22" x14ac:dyDescent="0.25">
      <c r="A165" t="s">
        <v>233</v>
      </c>
      <c r="B165" s="1">
        <v>45349</v>
      </c>
      <c r="C165">
        <v>206</v>
      </c>
      <c r="D165" t="s">
        <v>52</v>
      </c>
      <c r="E165" t="s">
        <v>53</v>
      </c>
      <c r="F165" t="s">
        <v>25</v>
      </c>
      <c r="G165" t="s">
        <v>26</v>
      </c>
      <c r="H165" t="s">
        <v>38</v>
      </c>
      <c r="I165" t="s">
        <v>39</v>
      </c>
      <c r="J165" t="s">
        <v>40</v>
      </c>
      <c r="K165">
        <v>1119</v>
      </c>
      <c r="L165">
        <v>41</v>
      </c>
      <c r="M165" s="2">
        <v>313</v>
      </c>
      <c r="N165" s="2">
        <v>125</v>
      </c>
      <c r="O165" s="2">
        <v>73</v>
      </c>
      <c r="P165" s="2">
        <v>115</v>
      </c>
      <c r="Q165" s="3">
        <v>0.3674</v>
      </c>
      <c r="R165" s="2">
        <v>250</v>
      </c>
      <c r="S165" s="2">
        <v>90</v>
      </c>
      <c r="T165" s="2">
        <v>130</v>
      </c>
      <c r="U165" s="3">
        <v>0.52</v>
      </c>
      <c r="V165" s="2">
        <v>-15</v>
      </c>
    </row>
    <row r="166" spans="1:22" x14ac:dyDescent="0.25">
      <c r="A166" t="s">
        <v>234</v>
      </c>
      <c r="B166" s="1">
        <v>45350</v>
      </c>
      <c r="C166">
        <v>203</v>
      </c>
      <c r="D166" t="s">
        <v>135</v>
      </c>
      <c r="E166" t="s">
        <v>79</v>
      </c>
      <c r="F166" t="s">
        <v>25</v>
      </c>
      <c r="G166" t="s">
        <v>33</v>
      </c>
      <c r="H166" t="s">
        <v>54</v>
      </c>
      <c r="I166" t="s">
        <v>68</v>
      </c>
      <c r="J166" t="s">
        <v>29</v>
      </c>
      <c r="K166">
        <v>606</v>
      </c>
      <c r="L166">
        <v>54</v>
      </c>
      <c r="M166" s="2">
        <v>144</v>
      </c>
      <c r="N166" s="2">
        <v>60</v>
      </c>
      <c r="O166" s="2">
        <v>83</v>
      </c>
      <c r="P166" s="2">
        <v>1</v>
      </c>
      <c r="Q166" s="3">
        <v>6.8999999999999999E-3</v>
      </c>
      <c r="R166" s="2">
        <v>130</v>
      </c>
      <c r="S166" s="2">
        <v>40</v>
      </c>
      <c r="T166" s="2">
        <v>40</v>
      </c>
      <c r="U166" s="3">
        <v>0.30769999999999997</v>
      </c>
      <c r="V166" s="2">
        <v>-39</v>
      </c>
    </row>
    <row r="167" spans="1:22" x14ac:dyDescent="0.25">
      <c r="A167" t="s">
        <v>235</v>
      </c>
      <c r="B167" s="1">
        <v>45350</v>
      </c>
      <c r="C167">
        <v>719</v>
      </c>
      <c r="D167" t="s">
        <v>31</v>
      </c>
      <c r="E167" t="s">
        <v>24</v>
      </c>
      <c r="F167" t="s">
        <v>32</v>
      </c>
      <c r="G167" t="s">
        <v>26</v>
      </c>
      <c r="H167" t="s">
        <v>27</v>
      </c>
      <c r="I167" t="s">
        <v>59</v>
      </c>
      <c r="J167" t="s">
        <v>29</v>
      </c>
      <c r="K167">
        <v>551</v>
      </c>
      <c r="L167">
        <v>26</v>
      </c>
      <c r="M167" s="2">
        <v>197</v>
      </c>
      <c r="N167" s="2">
        <v>81</v>
      </c>
      <c r="O167" s="2">
        <v>38</v>
      </c>
      <c r="P167" s="2">
        <v>98</v>
      </c>
      <c r="Q167" s="3">
        <v>0.4975</v>
      </c>
      <c r="R167" s="2">
        <v>150</v>
      </c>
      <c r="S167" s="2">
        <v>60</v>
      </c>
      <c r="T167" s="2">
        <v>60</v>
      </c>
      <c r="U167" s="3">
        <v>0.4</v>
      </c>
      <c r="V167" s="2">
        <v>38</v>
      </c>
    </row>
    <row r="168" spans="1:22" x14ac:dyDescent="0.25">
      <c r="A168" t="s">
        <v>236</v>
      </c>
      <c r="B168" s="1">
        <v>45350</v>
      </c>
      <c r="C168">
        <v>702</v>
      </c>
      <c r="D168" t="s">
        <v>65</v>
      </c>
      <c r="E168" t="s">
        <v>53</v>
      </c>
      <c r="F168" t="s">
        <v>25</v>
      </c>
      <c r="G168" t="s">
        <v>26</v>
      </c>
      <c r="H168" t="s">
        <v>38</v>
      </c>
      <c r="I168" t="s">
        <v>46</v>
      </c>
      <c r="J168" t="s">
        <v>40</v>
      </c>
      <c r="K168">
        <v>1150</v>
      </c>
      <c r="L168">
        <v>57</v>
      </c>
      <c r="M168" s="2">
        <v>439</v>
      </c>
      <c r="N168" s="2">
        <v>173</v>
      </c>
      <c r="O168" s="2">
        <v>101</v>
      </c>
      <c r="P168" s="2">
        <v>205</v>
      </c>
      <c r="Q168" s="3">
        <v>0.46700000000000003</v>
      </c>
      <c r="R168" s="2">
        <v>380</v>
      </c>
      <c r="S168" s="2">
        <v>160</v>
      </c>
      <c r="T168" s="2">
        <v>130</v>
      </c>
      <c r="U168" s="3">
        <v>0.34210000000000002</v>
      </c>
      <c r="V168" s="2">
        <v>75</v>
      </c>
    </row>
    <row r="169" spans="1:22" x14ac:dyDescent="0.25">
      <c r="A169" t="s">
        <v>237</v>
      </c>
      <c r="B169" s="1">
        <v>45352</v>
      </c>
      <c r="C169">
        <v>580</v>
      </c>
      <c r="D169" t="s">
        <v>148</v>
      </c>
      <c r="E169" t="s">
        <v>45</v>
      </c>
      <c r="F169" t="s">
        <v>25</v>
      </c>
      <c r="G169" t="s">
        <v>33</v>
      </c>
      <c r="H169" t="s">
        <v>34</v>
      </c>
      <c r="I169" t="s">
        <v>83</v>
      </c>
      <c r="J169" t="s">
        <v>40</v>
      </c>
      <c r="K169">
        <v>870</v>
      </c>
      <c r="L169">
        <v>9</v>
      </c>
      <c r="M169" s="2">
        <v>82</v>
      </c>
      <c r="N169" s="2">
        <v>33</v>
      </c>
      <c r="O169" s="2">
        <v>21</v>
      </c>
      <c r="P169" s="2">
        <v>28</v>
      </c>
      <c r="Q169" s="3">
        <v>0.34150000000000003</v>
      </c>
      <c r="R169" s="2">
        <v>90</v>
      </c>
      <c r="S169" s="2">
        <v>30</v>
      </c>
      <c r="T169" s="2">
        <v>50</v>
      </c>
      <c r="U169" s="3">
        <v>0.55559999999999998</v>
      </c>
      <c r="V169" s="2">
        <v>-22</v>
      </c>
    </row>
    <row r="170" spans="1:22" x14ac:dyDescent="0.25">
      <c r="A170" t="s">
        <v>238</v>
      </c>
      <c r="B170" s="1">
        <v>45352</v>
      </c>
      <c r="C170">
        <v>337</v>
      </c>
      <c r="D170" t="s">
        <v>49</v>
      </c>
      <c r="E170" t="s">
        <v>45</v>
      </c>
      <c r="F170" t="s">
        <v>25</v>
      </c>
      <c r="G170" t="s">
        <v>33</v>
      </c>
      <c r="H170" t="s">
        <v>34</v>
      </c>
      <c r="I170" t="s">
        <v>83</v>
      </c>
      <c r="J170" t="s">
        <v>40</v>
      </c>
      <c r="K170">
        <v>863</v>
      </c>
      <c r="L170">
        <v>9</v>
      </c>
      <c r="M170" s="2">
        <v>91</v>
      </c>
      <c r="N170" s="2">
        <v>34</v>
      </c>
      <c r="O170" s="2">
        <v>20</v>
      </c>
      <c r="P170" s="2">
        <v>46</v>
      </c>
      <c r="Q170" s="3">
        <v>0.50549999999999995</v>
      </c>
      <c r="R170" s="2">
        <v>100</v>
      </c>
      <c r="S170" s="2">
        <v>40</v>
      </c>
      <c r="T170" s="2">
        <v>50</v>
      </c>
      <c r="U170" s="3">
        <v>0.5</v>
      </c>
      <c r="V170" s="2">
        <v>-4</v>
      </c>
    </row>
    <row r="171" spans="1:22" x14ac:dyDescent="0.25">
      <c r="A171" t="s">
        <v>239</v>
      </c>
      <c r="B171" s="1">
        <v>45352</v>
      </c>
      <c r="C171">
        <v>904</v>
      </c>
      <c r="D171" t="s">
        <v>117</v>
      </c>
      <c r="E171" t="s">
        <v>79</v>
      </c>
      <c r="F171" t="s">
        <v>32</v>
      </c>
      <c r="G171" t="s">
        <v>26</v>
      </c>
      <c r="H171" t="s">
        <v>27</v>
      </c>
      <c r="I171" t="s">
        <v>59</v>
      </c>
      <c r="J171" t="s">
        <v>29</v>
      </c>
      <c r="K171">
        <v>856</v>
      </c>
      <c r="L171">
        <v>8</v>
      </c>
      <c r="M171" s="2">
        <v>83</v>
      </c>
      <c r="N171" s="2">
        <v>31</v>
      </c>
      <c r="O171" s="2">
        <v>19</v>
      </c>
      <c r="P171" s="2">
        <v>42</v>
      </c>
      <c r="Q171" s="3">
        <v>0.50600000000000001</v>
      </c>
      <c r="R171" s="2">
        <v>80</v>
      </c>
      <c r="S171" s="2">
        <v>30</v>
      </c>
      <c r="T171" s="2">
        <v>40</v>
      </c>
      <c r="U171" s="3">
        <v>0.5</v>
      </c>
      <c r="V171" s="2">
        <v>2</v>
      </c>
    </row>
    <row r="172" spans="1:22" x14ac:dyDescent="0.25">
      <c r="A172" t="s">
        <v>240</v>
      </c>
      <c r="B172" s="1">
        <v>45352</v>
      </c>
      <c r="C172">
        <v>781</v>
      </c>
      <c r="D172" t="s">
        <v>78</v>
      </c>
      <c r="E172" t="s">
        <v>79</v>
      </c>
      <c r="F172" t="s">
        <v>32</v>
      </c>
      <c r="G172" t="s">
        <v>33</v>
      </c>
      <c r="H172" t="s">
        <v>54</v>
      </c>
      <c r="I172" t="s">
        <v>101</v>
      </c>
      <c r="J172" t="s">
        <v>29</v>
      </c>
      <c r="K172">
        <v>1267</v>
      </c>
      <c r="L172">
        <v>45</v>
      </c>
      <c r="M172" s="2">
        <v>322</v>
      </c>
      <c r="N172" s="2">
        <v>161</v>
      </c>
      <c r="O172" s="2">
        <v>69</v>
      </c>
      <c r="P172" s="2">
        <v>92</v>
      </c>
      <c r="Q172" s="3">
        <v>0.28570000000000001</v>
      </c>
      <c r="R172" s="2">
        <v>300</v>
      </c>
      <c r="S172" s="2">
        <v>140</v>
      </c>
      <c r="T172" s="2">
        <v>120</v>
      </c>
      <c r="U172" s="3">
        <v>0.4</v>
      </c>
      <c r="V172" s="2">
        <v>-28</v>
      </c>
    </row>
    <row r="173" spans="1:22" x14ac:dyDescent="0.25">
      <c r="A173" t="s">
        <v>241</v>
      </c>
      <c r="B173" s="1">
        <v>45353</v>
      </c>
      <c r="C173">
        <v>303</v>
      </c>
      <c r="D173" t="s">
        <v>31</v>
      </c>
      <c r="E173" t="s">
        <v>24</v>
      </c>
      <c r="F173" t="s">
        <v>32</v>
      </c>
      <c r="G173" t="s">
        <v>26</v>
      </c>
      <c r="H173" t="s">
        <v>38</v>
      </c>
      <c r="I173" t="s">
        <v>66</v>
      </c>
      <c r="J173" t="s">
        <v>40</v>
      </c>
      <c r="K173">
        <v>424</v>
      </c>
      <c r="L173">
        <v>17</v>
      </c>
      <c r="M173" s="2">
        <v>127</v>
      </c>
      <c r="N173" s="2">
        <v>54</v>
      </c>
      <c r="O173" s="2">
        <v>44</v>
      </c>
      <c r="P173" s="2">
        <v>29</v>
      </c>
      <c r="Q173" s="3">
        <v>0.2283</v>
      </c>
      <c r="R173" s="2">
        <v>110</v>
      </c>
      <c r="S173" s="2">
        <v>50</v>
      </c>
      <c r="T173" s="2">
        <v>30</v>
      </c>
      <c r="U173" s="3">
        <v>0.2727</v>
      </c>
      <c r="V173" s="2">
        <v>-1</v>
      </c>
    </row>
    <row r="174" spans="1:22" x14ac:dyDescent="0.25">
      <c r="A174" t="s">
        <v>242</v>
      </c>
      <c r="B174" s="1">
        <v>45353</v>
      </c>
      <c r="C174">
        <v>702</v>
      </c>
      <c r="D174" t="s">
        <v>65</v>
      </c>
      <c r="E174" t="s">
        <v>53</v>
      </c>
      <c r="F174" t="s">
        <v>25</v>
      </c>
      <c r="G174" t="s">
        <v>33</v>
      </c>
      <c r="H174" t="s">
        <v>54</v>
      </c>
      <c r="I174" t="s">
        <v>55</v>
      </c>
      <c r="J174" t="s">
        <v>40</v>
      </c>
      <c r="K174">
        <v>800</v>
      </c>
      <c r="L174">
        <v>6</v>
      </c>
      <c r="M174" s="2">
        <v>58</v>
      </c>
      <c r="N174" s="2">
        <v>23</v>
      </c>
      <c r="O174" s="2">
        <v>18</v>
      </c>
      <c r="P174" s="2">
        <v>17</v>
      </c>
      <c r="Q174" s="3">
        <v>0.29310000000000003</v>
      </c>
      <c r="R174" s="2">
        <v>40</v>
      </c>
      <c r="S174" s="2">
        <v>10</v>
      </c>
      <c r="T174" s="2">
        <v>30</v>
      </c>
      <c r="U174" s="3">
        <v>0.75</v>
      </c>
      <c r="V174" s="2">
        <v>-13</v>
      </c>
    </row>
    <row r="175" spans="1:22" x14ac:dyDescent="0.25">
      <c r="A175" t="s">
        <v>243</v>
      </c>
      <c r="B175" s="1">
        <v>45353</v>
      </c>
      <c r="C175">
        <v>818</v>
      </c>
      <c r="D175" t="s">
        <v>62</v>
      </c>
      <c r="E175" t="s">
        <v>53</v>
      </c>
      <c r="F175" t="s">
        <v>32</v>
      </c>
      <c r="G175" t="s">
        <v>33</v>
      </c>
      <c r="H175" t="s">
        <v>34</v>
      </c>
      <c r="I175" t="s">
        <v>35</v>
      </c>
      <c r="J175" t="s">
        <v>29</v>
      </c>
      <c r="K175">
        <v>2555</v>
      </c>
      <c r="L175">
        <v>39</v>
      </c>
      <c r="M175" s="2">
        <v>109</v>
      </c>
      <c r="N175" s="2">
        <v>122</v>
      </c>
      <c r="O175" s="2">
        <v>61</v>
      </c>
      <c r="P175" s="2">
        <v>-74</v>
      </c>
      <c r="Q175" s="3">
        <v>-0.67889999999999995</v>
      </c>
      <c r="R175" s="2">
        <v>150</v>
      </c>
      <c r="S175" s="2">
        <v>170</v>
      </c>
      <c r="T175" s="2">
        <v>-60</v>
      </c>
      <c r="U175" s="3">
        <v>-0.4</v>
      </c>
      <c r="V175" s="2">
        <v>-14</v>
      </c>
    </row>
    <row r="176" spans="1:22" x14ac:dyDescent="0.25">
      <c r="A176" t="s">
        <v>244</v>
      </c>
      <c r="B176" s="1">
        <v>45354</v>
      </c>
      <c r="C176">
        <v>225</v>
      </c>
      <c r="D176" t="s">
        <v>49</v>
      </c>
      <c r="E176" t="s">
        <v>45</v>
      </c>
      <c r="F176" t="s">
        <v>25</v>
      </c>
      <c r="G176" t="s">
        <v>33</v>
      </c>
      <c r="H176" t="s">
        <v>54</v>
      </c>
      <c r="I176" t="s">
        <v>72</v>
      </c>
      <c r="J176" t="s">
        <v>29</v>
      </c>
      <c r="K176">
        <v>-1053</v>
      </c>
      <c r="L176">
        <v>49</v>
      </c>
      <c r="M176" s="2">
        <v>140</v>
      </c>
      <c r="N176" s="2">
        <v>55</v>
      </c>
      <c r="O176" s="2">
        <v>79</v>
      </c>
      <c r="P176" s="2">
        <v>-4</v>
      </c>
      <c r="Q176" s="3">
        <v>-2.86E-2</v>
      </c>
      <c r="R176" s="2">
        <v>100</v>
      </c>
      <c r="S176" s="2">
        <v>40</v>
      </c>
      <c r="T176" s="2">
        <v>0</v>
      </c>
      <c r="U176" s="3">
        <v>0</v>
      </c>
      <c r="V176" s="2">
        <v>-4</v>
      </c>
    </row>
    <row r="177" spans="1:22" x14ac:dyDescent="0.25">
      <c r="A177" t="s">
        <v>245</v>
      </c>
      <c r="B177" s="1">
        <v>45354</v>
      </c>
      <c r="C177">
        <v>978</v>
      </c>
      <c r="D177" t="s">
        <v>78</v>
      </c>
      <c r="E177" t="s">
        <v>79</v>
      </c>
      <c r="F177" t="s">
        <v>32</v>
      </c>
      <c r="G177" t="s">
        <v>33</v>
      </c>
      <c r="H177" t="s">
        <v>54</v>
      </c>
      <c r="I177" t="s">
        <v>68</v>
      </c>
      <c r="J177" t="s">
        <v>29</v>
      </c>
      <c r="K177">
        <v>571</v>
      </c>
      <c r="L177">
        <v>42</v>
      </c>
      <c r="M177" s="2">
        <v>106</v>
      </c>
      <c r="N177" s="2">
        <v>47</v>
      </c>
      <c r="O177" s="2">
        <v>72</v>
      </c>
      <c r="P177" s="2">
        <v>-30</v>
      </c>
      <c r="Q177" s="3">
        <v>-0.28299999999999997</v>
      </c>
      <c r="R177" s="2">
        <v>90</v>
      </c>
      <c r="S177" s="2">
        <v>40</v>
      </c>
      <c r="T177" s="2">
        <v>-10</v>
      </c>
      <c r="U177" s="3">
        <v>-0.1111</v>
      </c>
      <c r="V177" s="2">
        <v>-20</v>
      </c>
    </row>
    <row r="178" spans="1:22" x14ac:dyDescent="0.25">
      <c r="A178" t="s">
        <v>246</v>
      </c>
      <c r="B178" s="1">
        <v>45354</v>
      </c>
      <c r="C178">
        <v>936</v>
      </c>
      <c r="D178" t="s">
        <v>76</v>
      </c>
      <c r="E178" t="s">
        <v>45</v>
      </c>
      <c r="F178" t="s">
        <v>32</v>
      </c>
      <c r="G178" t="s">
        <v>33</v>
      </c>
      <c r="H178" t="s">
        <v>34</v>
      </c>
      <c r="I178" t="s">
        <v>50</v>
      </c>
      <c r="J178" t="s">
        <v>29</v>
      </c>
      <c r="K178">
        <v>1246</v>
      </c>
      <c r="L178">
        <v>74</v>
      </c>
      <c r="M178" s="2">
        <v>520</v>
      </c>
      <c r="N178" s="2">
        <v>239</v>
      </c>
      <c r="O178" s="2">
        <v>96</v>
      </c>
      <c r="P178" s="2">
        <v>185</v>
      </c>
      <c r="Q178" s="3">
        <v>0.35580000000000001</v>
      </c>
      <c r="R178" s="2">
        <v>770</v>
      </c>
      <c r="S178" s="2">
        <v>350</v>
      </c>
      <c r="T178" s="2">
        <v>340</v>
      </c>
      <c r="U178" s="3">
        <v>0.44159999999999999</v>
      </c>
      <c r="V178" s="2">
        <v>-155</v>
      </c>
    </row>
    <row r="179" spans="1:22" x14ac:dyDescent="0.25">
      <c r="A179" t="s">
        <v>247</v>
      </c>
      <c r="B179" s="1">
        <v>45354</v>
      </c>
      <c r="C179">
        <v>321</v>
      </c>
      <c r="D179" t="s">
        <v>117</v>
      </c>
      <c r="E179" t="s">
        <v>79</v>
      </c>
      <c r="F179" t="s">
        <v>32</v>
      </c>
      <c r="G179" t="s">
        <v>33</v>
      </c>
      <c r="H179" t="s">
        <v>54</v>
      </c>
      <c r="I179" t="s">
        <v>55</v>
      </c>
      <c r="J179" t="s">
        <v>40</v>
      </c>
      <c r="K179">
        <v>547</v>
      </c>
      <c r="L179">
        <v>28</v>
      </c>
      <c r="M179" s="2">
        <v>215</v>
      </c>
      <c r="N179" s="2">
        <v>86</v>
      </c>
      <c r="O179" s="2">
        <v>56</v>
      </c>
      <c r="P179" s="2">
        <v>89</v>
      </c>
      <c r="Q179" s="3">
        <v>0.41399999999999998</v>
      </c>
      <c r="R179" s="2">
        <v>180</v>
      </c>
      <c r="S179" s="2">
        <v>70</v>
      </c>
      <c r="T179" s="2">
        <v>90</v>
      </c>
      <c r="U179" s="3">
        <v>0.5</v>
      </c>
      <c r="V179" s="2">
        <v>-1</v>
      </c>
    </row>
    <row r="180" spans="1:22" x14ac:dyDescent="0.25">
      <c r="A180" t="s">
        <v>248</v>
      </c>
      <c r="B180" s="1">
        <v>45355</v>
      </c>
      <c r="C180">
        <v>435</v>
      </c>
      <c r="D180" t="s">
        <v>95</v>
      </c>
      <c r="E180" t="s">
        <v>53</v>
      </c>
      <c r="F180" t="s">
        <v>25</v>
      </c>
      <c r="G180" t="s">
        <v>26</v>
      </c>
      <c r="H180" t="s">
        <v>27</v>
      </c>
      <c r="I180" t="s">
        <v>28</v>
      </c>
      <c r="J180" t="s">
        <v>29</v>
      </c>
      <c r="K180">
        <v>335</v>
      </c>
      <c r="L180">
        <v>44</v>
      </c>
      <c r="M180" s="2">
        <v>118</v>
      </c>
      <c r="N180" s="2">
        <v>49</v>
      </c>
      <c r="O180" s="2">
        <v>73</v>
      </c>
      <c r="P180" s="2">
        <v>-4</v>
      </c>
      <c r="Q180" s="3">
        <v>-3.39E-2</v>
      </c>
      <c r="R180" s="2">
        <v>80</v>
      </c>
      <c r="S180" s="2">
        <v>30</v>
      </c>
      <c r="T180" s="2">
        <v>0</v>
      </c>
      <c r="U180" s="3">
        <v>0</v>
      </c>
      <c r="V180" s="2">
        <v>-4</v>
      </c>
    </row>
    <row r="181" spans="1:22" x14ac:dyDescent="0.25">
      <c r="A181" t="s">
        <v>249</v>
      </c>
      <c r="B181" s="1">
        <v>45356</v>
      </c>
      <c r="C181">
        <v>325</v>
      </c>
      <c r="D181" t="s">
        <v>76</v>
      </c>
      <c r="E181" t="s">
        <v>45</v>
      </c>
      <c r="F181" t="s">
        <v>32</v>
      </c>
      <c r="G181" t="s">
        <v>26</v>
      </c>
      <c r="H181" t="s">
        <v>38</v>
      </c>
      <c r="I181" t="s">
        <v>39</v>
      </c>
      <c r="J181" t="s">
        <v>40</v>
      </c>
      <c r="K181">
        <v>424</v>
      </c>
      <c r="L181">
        <v>17</v>
      </c>
      <c r="M181" s="2">
        <v>135</v>
      </c>
      <c r="N181" s="2">
        <v>54</v>
      </c>
      <c r="O181" s="2">
        <v>45</v>
      </c>
      <c r="P181" s="2">
        <v>42</v>
      </c>
      <c r="Q181" s="3">
        <v>0.31109999999999999</v>
      </c>
      <c r="R181" s="2">
        <v>110</v>
      </c>
      <c r="S181" s="2">
        <v>50</v>
      </c>
      <c r="T181" s="2">
        <v>30</v>
      </c>
      <c r="U181" s="3">
        <v>0.2727</v>
      </c>
      <c r="V181" s="2">
        <v>12</v>
      </c>
    </row>
    <row r="182" spans="1:22" x14ac:dyDescent="0.25">
      <c r="A182" t="s">
        <v>250</v>
      </c>
      <c r="B182" s="1">
        <v>45356</v>
      </c>
      <c r="C182">
        <v>918</v>
      </c>
      <c r="D182" t="s">
        <v>148</v>
      </c>
      <c r="E182" t="s">
        <v>45</v>
      </c>
      <c r="F182" t="s">
        <v>25</v>
      </c>
      <c r="G182" t="s">
        <v>33</v>
      </c>
      <c r="H182" t="s">
        <v>54</v>
      </c>
      <c r="I182" t="s">
        <v>55</v>
      </c>
      <c r="J182" t="s">
        <v>40</v>
      </c>
      <c r="K182">
        <v>798</v>
      </c>
      <c r="L182">
        <v>25</v>
      </c>
      <c r="M182" s="2">
        <v>197</v>
      </c>
      <c r="N182" s="2">
        <v>78</v>
      </c>
      <c r="O182" s="2">
        <v>57</v>
      </c>
      <c r="P182" s="2">
        <v>62</v>
      </c>
      <c r="Q182" s="3">
        <v>0.31469999999999998</v>
      </c>
      <c r="R182" s="2">
        <v>150</v>
      </c>
      <c r="S182" s="2">
        <v>60</v>
      </c>
      <c r="T182" s="2">
        <v>40</v>
      </c>
      <c r="U182" s="3">
        <v>0.26669999999999999</v>
      </c>
      <c r="V182" s="2">
        <v>22</v>
      </c>
    </row>
    <row r="183" spans="1:22" x14ac:dyDescent="0.25">
      <c r="A183" t="s">
        <v>251</v>
      </c>
      <c r="B183" s="1">
        <v>45356</v>
      </c>
      <c r="C183">
        <v>562</v>
      </c>
      <c r="D183" t="s">
        <v>62</v>
      </c>
      <c r="E183" t="s">
        <v>53</v>
      </c>
      <c r="F183" t="s">
        <v>32</v>
      </c>
      <c r="G183" t="s">
        <v>33</v>
      </c>
      <c r="H183" t="s">
        <v>54</v>
      </c>
      <c r="I183" t="s">
        <v>72</v>
      </c>
      <c r="J183" t="s">
        <v>29</v>
      </c>
      <c r="K183">
        <v>1755</v>
      </c>
      <c r="L183">
        <v>66</v>
      </c>
      <c r="M183" s="2">
        <v>478</v>
      </c>
      <c r="N183" s="2">
        <v>239</v>
      </c>
      <c r="O183" s="2">
        <v>90</v>
      </c>
      <c r="P183" s="2">
        <v>149</v>
      </c>
      <c r="Q183" s="3">
        <v>0.31169999999999998</v>
      </c>
      <c r="R183" s="2">
        <v>430</v>
      </c>
      <c r="S183" s="2">
        <v>210</v>
      </c>
      <c r="T183" s="2">
        <v>160</v>
      </c>
      <c r="U183" s="3">
        <v>0.37209999999999999</v>
      </c>
      <c r="V183" s="2">
        <v>-11</v>
      </c>
    </row>
    <row r="184" spans="1:22" x14ac:dyDescent="0.25">
      <c r="A184" t="s">
        <v>252</v>
      </c>
      <c r="B184" s="1">
        <v>45357</v>
      </c>
      <c r="C184">
        <v>435</v>
      </c>
      <c r="D184" t="s">
        <v>95</v>
      </c>
      <c r="E184" t="s">
        <v>53</v>
      </c>
      <c r="F184" t="s">
        <v>25</v>
      </c>
      <c r="G184" t="s">
        <v>33</v>
      </c>
      <c r="H184" t="s">
        <v>54</v>
      </c>
      <c r="I184" t="s">
        <v>55</v>
      </c>
      <c r="J184" t="s">
        <v>40</v>
      </c>
      <c r="K184">
        <v>885</v>
      </c>
      <c r="L184">
        <v>15</v>
      </c>
      <c r="M184" s="2">
        <v>141</v>
      </c>
      <c r="N184" s="2">
        <v>54</v>
      </c>
      <c r="O184" s="2">
        <v>26</v>
      </c>
      <c r="P184" s="2">
        <v>77</v>
      </c>
      <c r="Q184" s="3">
        <v>0.54610000000000003</v>
      </c>
      <c r="R184" s="2">
        <v>120</v>
      </c>
      <c r="S184" s="2">
        <v>50</v>
      </c>
      <c r="T184" s="2">
        <v>50</v>
      </c>
      <c r="U184" s="3">
        <v>0.41670000000000001</v>
      </c>
      <c r="V184" s="2">
        <v>27</v>
      </c>
    </row>
    <row r="185" spans="1:22" x14ac:dyDescent="0.25">
      <c r="A185" t="s">
        <v>253</v>
      </c>
      <c r="B185" s="1">
        <v>45357</v>
      </c>
      <c r="C185">
        <v>505</v>
      </c>
      <c r="D185" t="s">
        <v>44</v>
      </c>
      <c r="E185" t="s">
        <v>45</v>
      </c>
      <c r="F185" t="s">
        <v>25</v>
      </c>
      <c r="G185" t="s">
        <v>26</v>
      </c>
      <c r="H185" t="s">
        <v>38</v>
      </c>
      <c r="I185" t="s">
        <v>39</v>
      </c>
      <c r="J185" t="s">
        <v>40</v>
      </c>
      <c r="K185">
        <v>848</v>
      </c>
      <c r="L185">
        <v>4</v>
      </c>
      <c r="M185" s="2">
        <v>39</v>
      </c>
      <c r="N185" s="2">
        <v>15</v>
      </c>
      <c r="O185" s="2">
        <v>15</v>
      </c>
      <c r="P185" s="2">
        <v>9</v>
      </c>
      <c r="Q185" s="3">
        <v>0.23080000000000001</v>
      </c>
      <c r="R185" s="2">
        <v>30</v>
      </c>
      <c r="S185" s="2">
        <v>10</v>
      </c>
      <c r="T185" s="2">
        <v>10</v>
      </c>
      <c r="U185" s="3">
        <v>0.33329999999999999</v>
      </c>
      <c r="V185" s="2">
        <v>-1</v>
      </c>
    </row>
    <row r="186" spans="1:22" x14ac:dyDescent="0.25">
      <c r="A186" t="s">
        <v>254</v>
      </c>
      <c r="B186" s="1">
        <v>45357</v>
      </c>
      <c r="C186">
        <v>959</v>
      </c>
      <c r="D186" t="s">
        <v>135</v>
      </c>
      <c r="E186" t="s">
        <v>79</v>
      </c>
      <c r="F186" t="s">
        <v>25</v>
      </c>
      <c r="G186" t="s">
        <v>33</v>
      </c>
      <c r="H186" t="s">
        <v>34</v>
      </c>
      <c r="I186" t="s">
        <v>50</v>
      </c>
      <c r="J186" t="s">
        <v>29</v>
      </c>
      <c r="K186">
        <v>1166</v>
      </c>
      <c r="L186">
        <v>37</v>
      </c>
      <c r="M186" s="2">
        <v>308</v>
      </c>
      <c r="N186" s="2">
        <v>115</v>
      </c>
      <c r="O186" s="2">
        <v>69</v>
      </c>
      <c r="P186" s="2">
        <v>156</v>
      </c>
      <c r="Q186" s="3">
        <v>0.50649999999999995</v>
      </c>
      <c r="R186" s="2">
        <v>260</v>
      </c>
      <c r="S186" s="2">
        <v>100</v>
      </c>
      <c r="T186" s="2">
        <v>110</v>
      </c>
      <c r="U186" s="3">
        <v>0.42309999999999998</v>
      </c>
      <c r="V186" s="2">
        <v>46</v>
      </c>
    </row>
    <row r="187" spans="1:22" x14ac:dyDescent="0.25">
      <c r="A187" t="s">
        <v>255</v>
      </c>
      <c r="B187" s="1">
        <v>45358</v>
      </c>
      <c r="C187">
        <v>847</v>
      </c>
      <c r="D187" t="s">
        <v>37</v>
      </c>
      <c r="E187" t="s">
        <v>24</v>
      </c>
      <c r="F187" t="s">
        <v>32</v>
      </c>
      <c r="G187" t="s">
        <v>26</v>
      </c>
      <c r="H187" t="s">
        <v>27</v>
      </c>
      <c r="I187" t="s">
        <v>42</v>
      </c>
      <c r="J187" t="s">
        <v>29</v>
      </c>
      <c r="K187">
        <v>650</v>
      </c>
      <c r="L187">
        <v>23</v>
      </c>
      <c r="M187" s="2">
        <v>182</v>
      </c>
      <c r="N187" s="2">
        <v>72</v>
      </c>
      <c r="O187" s="2">
        <v>55</v>
      </c>
      <c r="P187" s="2">
        <v>55</v>
      </c>
      <c r="Q187" s="3">
        <v>0.30220000000000002</v>
      </c>
      <c r="R187" s="2">
        <v>130</v>
      </c>
      <c r="S187" s="2">
        <v>50</v>
      </c>
      <c r="T187" s="2">
        <v>50</v>
      </c>
      <c r="U187" s="3">
        <v>0.3846</v>
      </c>
      <c r="V187" s="2">
        <v>5</v>
      </c>
    </row>
    <row r="188" spans="1:22" x14ac:dyDescent="0.25">
      <c r="A188" t="s">
        <v>256</v>
      </c>
      <c r="B188" s="1">
        <v>45358</v>
      </c>
      <c r="C188">
        <v>213</v>
      </c>
      <c r="D188" t="s">
        <v>62</v>
      </c>
      <c r="E188" t="s">
        <v>53</v>
      </c>
      <c r="F188" t="s">
        <v>32</v>
      </c>
      <c r="G188" t="s">
        <v>26</v>
      </c>
      <c r="H188" t="s">
        <v>38</v>
      </c>
      <c r="I188" t="s">
        <v>39</v>
      </c>
      <c r="J188" t="s">
        <v>40</v>
      </c>
      <c r="K188">
        <v>984</v>
      </c>
      <c r="L188">
        <v>22</v>
      </c>
      <c r="M188" s="2">
        <v>198</v>
      </c>
      <c r="N188" s="2">
        <v>81</v>
      </c>
      <c r="O188" s="2">
        <v>33</v>
      </c>
      <c r="P188" s="2">
        <v>84</v>
      </c>
      <c r="Q188" s="3">
        <v>0.42420000000000002</v>
      </c>
      <c r="R188" s="2">
        <v>180</v>
      </c>
      <c r="S188" s="2">
        <v>70</v>
      </c>
      <c r="T188" s="2">
        <v>80</v>
      </c>
      <c r="U188" s="3">
        <v>0.44440000000000002</v>
      </c>
      <c r="V188" s="2">
        <v>4</v>
      </c>
    </row>
    <row r="189" spans="1:22" x14ac:dyDescent="0.25">
      <c r="A189" t="s">
        <v>257</v>
      </c>
      <c r="B189" s="1">
        <v>45359</v>
      </c>
      <c r="C189">
        <v>435</v>
      </c>
      <c r="D189" t="s">
        <v>95</v>
      </c>
      <c r="E189" t="s">
        <v>53</v>
      </c>
      <c r="F189" t="s">
        <v>25</v>
      </c>
      <c r="G189" t="s">
        <v>33</v>
      </c>
      <c r="H189" t="s">
        <v>34</v>
      </c>
      <c r="I189" t="s">
        <v>35</v>
      </c>
      <c r="J189" t="s">
        <v>29</v>
      </c>
      <c r="K189">
        <v>1053</v>
      </c>
      <c r="L189">
        <v>20</v>
      </c>
      <c r="M189" s="2">
        <v>151</v>
      </c>
      <c r="N189" s="2">
        <v>65</v>
      </c>
      <c r="O189" s="2">
        <v>41</v>
      </c>
      <c r="P189" s="2">
        <v>53</v>
      </c>
      <c r="Q189" s="3">
        <v>0.35099999999999998</v>
      </c>
      <c r="R189" s="2">
        <v>200</v>
      </c>
      <c r="S189" s="2">
        <v>90</v>
      </c>
      <c r="T189" s="2">
        <v>90</v>
      </c>
      <c r="U189" s="3">
        <v>0.45</v>
      </c>
      <c r="V189" s="2">
        <v>-37</v>
      </c>
    </row>
    <row r="190" spans="1:22" x14ac:dyDescent="0.25">
      <c r="A190" t="s">
        <v>258</v>
      </c>
      <c r="B190" s="1">
        <v>45360</v>
      </c>
      <c r="C190">
        <v>515</v>
      </c>
      <c r="D190" t="s">
        <v>124</v>
      </c>
      <c r="E190" t="s">
        <v>24</v>
      </c>
      <c r="F190" t="s">
        <v>25</v>
      </c>
      <c r="G190" t="s">
        <v>33</v>
      </c>
      <c r="H190" t="s">
        <v>54</v>
      </c>
      <c r="I190" t="s">
        <v>68</v>
      </c>
      <c r="J190" t="s">
        <v>29</v>
      </c>
      <c r="K190">
        <v>807</v>
      </c>
      <c r="L190">
        <v>6</v>
      </c>
      <c r="M190" s="2">
        <v>58</v>
      </c>
      <c r="N190" s="2">
        <v>23</v>
      </c>
      <c r="O190" s="2">
        <v>18</v>
      </c>
      <c r="P190" s="2">
        <v>17</v>
      </c>
      <c r="Q190" s="3">
        <v>0.29310000000000003</v>
      </c>
      <c r="R190" s="2">
        <v>70</v>
      </c>
      <c r="S190" s="2">
        <v>20</v>
      </c>
      <c r="T190" s="2">
        <v>40</v>
      </c>
      <c r="U190" s="3">
        <v>0.57140000000000002</v>
      </c>
      <c r="V190" s="2">
        <v>-23</v>
      </c>
    </row>
    <row r="191" spans="1:22" x14ac:dyDescent="0.25">
      <c r="A191" t="s">
        <v>259</v>
      </c>
      <c r="B191" s="1">
        <v>45360</v>
      </c>
      <c r="C191">
        <v>309</v>
      </c>
      <c r="D191" t="s">
        <v>37</v>
      </c>
      <c r="E191" t="s">
        <v>24</v>
      </c>
      <c r="F191" t="s">
        <v>32</v>
      </c>
      <c r="G191" t="s">
        <v>26</v>
      </c>
      <c r="H191" t="s">
        <v>27</v>
      </c>
      <c r="I191" t="s">
        <v>42</v>
      </c>
      <c r="J191" t="s">
        <v>29</v>
      </c>
      <c r="K191">
        <v>659</v>
      </c>
      <c r="L191">
        <v>24</v>
      </c>
      <c r="M191" s="2">
        <v>201</v>
      </c>
      <c r="N191" s="2">
        <v>75</v>
      </c>
      <c r="O191" s="2">
        <v>55</v>
      </c>
      <c r="P191" s="2">
        <v>88</v>
      </c>
      <c r="Q191" s="3">
        <v>0.43780000000000002</v>
      </c>
      <c r="R191" s="2">
        <v>150</v>
      </c>
      <c r="S191" s="2">
        <v>60</v>
      </c>
      <c r="T191" s="2">
        <v>50</v>
      </c>
      <c r="U191" s="3">
        <v>0.33329999999999999</v>
      </c>
      <c r="V191" s="2">
        <v>38</v>
      </c>
    </row>
    <row r="192" spans="1:22" x14ac:dyDescent="0.25">
      <c r="A192" t="s">
        <v>260</v>
      </c>
      <c r="B192" s="1">
        <v>45360</v>
      </c>
      <c r="C192">
        <v>740</v>
      </c>
      <c r="D192" t="s">
        <v>85</v>
      </c>
      <c r="E192" t="s">
        <v>24</v>
      </c>
      <c r="F192" t="s">
        <v>32</v>
      </c>
      <c r="G192" t="s">
        <v>26</v>
      </c>
      <c r="H192" t="s">
        <v>27</v>
      </c>
      <c r="I192" t="s">
        <v>42</v>
      </c>
      <c r="J192" t="s">
        <v>29</v>
      </c>
      <c r="K192">
        <v>666</v>
      </c>
      <c r="L192">
        <v>31</v>
      </c>
      <c r="M192" s="2">
        <v>261</v>
      </c>
      <c r="N192" s="2">
        <v>102</v>
      </c>
      <c r="O192" s="2">
        <v>54</v>
      </c>
      <c r="P192" s="2">
        <v>132</v>
      </c>
      <c r="Q192" s="3">
        <v>0.50570000000000004</v>
      </c>
      <c r="R192" s="2">
        <v>200</v>
      </c>
      <c r="S192" s="2">
        <v>80</v>
      </c>
      <c r="T192" s="2">
        <v>70</v>
      </c>
      <c r="U192" s="3">
        <v>0.35</v>
      </c>
      <c r="V192" s="2">
        <v>62</v>
      </c>
    </row>
    <row r="193" spans="1:22" x14ac:dyDescent="0.25">
      <c r="A193" t="s">
        <v>261</v>
      </c>
      <c r="B193" s="1">
        <v>45361</v>
      </c>
      <c r="C193">
        <v>318</v>
      </c>
      <c r="D193" t="s">
        <v>49</v>
      </c>
      <c r="E193" t="s">
        <v>45</v>
      </c>
      <c r="F193" t="s">
        <v>25</v>
      </c>
      <c r="G193" t="s">
        <v>26</v>
      </c>
      <c r="H193" t="s">
        <v>38</v>
      </c>
      <c r="I193" t="s">
        <v>39</v>
      </c>
      <c r="J193" t="s">
        <v>40</v>
      </c>
      <c r="K193">
        <v>564</v>
      </c>
      <c r="L193">
        <v>33</v>
      </c>
      <c r="M193" s="2">
        <v>251</v>
      </c>
      <c r="N193" s="2">
        <v>103</v>
      </c>
      <c r="O193" s="2">
        <v>46</v>
      </c>
      <c r="P193" s="2">
        <v>129</v>
      </c>
      <c r="Q193" s="3">
        <v>0.51390000000000002</v>
      </c>
      <c r="R193" s="2">
        <v>210</v>
      </c>
      <c r="S193" s="2">
        <v>80</v>
      </c>
      <c r="T193" s="2">
        <v>110</v>
      </c>
      <c r="U193" s="3">
        <v>0.52380000000000004</v>
      </c>
      <c r="V193" s="2">
        <v>19</v>
      </c>
    </row>
    <row r="194" spans="1:22" x14ac:dyDescent="0.25">
      <c r="A194" t="s">
        <v>262</v>
      </c>
      <c r="B194" s="1">
        <v>45361</v>
      </c>
      <c r="C194">
        <v>775</v>
      </c>
      <c r="D194" t="s">
        <v>65</v>
      </c>
      <c r="E194" t="s">
        <v>53</v>
      </c>
      <c r="F194" t="s">
        <v>25</v>
      </c>
      <c r="G194" t="s">
        <v>33</v>
      </c>
      <c r="H194" t="s">
        <v>54</v>
      </c>
      <c r="I194" t="s">
        <v>68</v>
      </c>
      <c r="J194" t="s">
        <v>29</v>
      </c>
      <c r="K194">
        <v>851</v>
      </c>
      <c r="L194">
        <v>4</v>
      </c>
      <c r="M194" s="2">
        <v>44</v>
      </c>
      <c r="N194" s="2">
        <v>16</v>
      </c>
      <c r="O194" s="2">
        <v>15</v>
      </c>
      <c r="P194" s="2">
        <v>15</v>
      </c>
      <c r="Q194" s="3">
        <v>0.34089999999999998</v>
      </c>
      <c r="R194" s="2">
        <v>30</v>
      </c>
      <c r="S194" s="2">
        <v>10</v>
      </c>
      <c r="T194" s="2">
        <v>10</v>
      </c>
      <c r="U194" s="3">
        <v>0.33329999999999999</v>
      </c>
      <c r="V194" s="2">
        <v>5</v>
      </c>
    </row>
    <row r="195" spans="1:22" x14ac:dyDescent="0.25">
      <c r="A195" t="s">
        <v>263</v>
      </c>
      <c r="B195" s="1">
        <v>45362</v>
      </c>
      <c r="C195">
        <v>425</v>
      </c>
      <c r="D195" t="s">
        <v>52</v>
      </c>
      <c r="E195" t="s">
        <v>53</v>
      </c>
      <c r="F195" t="s">
        <v>25</v>
      </c>
      <c r="G195" t="s">
        <v>26</v>
      </c>
      <c r="H195" t="s">
        <v>38</v>
      </c>
      <c r="I195" t="s">
        <v>46</v>
      </c>
      <c r="J195" t="s">
        <v>40</v>
      </c>
      <c r="K195">
        <v>829</v>
      </c>
      <c r="L195">
        <v>13</v>
      </c>
      <c r="M195" s="2">
        <v>119</v>
      </c>
      <c r="N195" s="2">
        <v>48</v>
      </c>
      <c r="O195" s="2">
        <v>24</v>
      </c>
      <c r="P195" s="2">
        <v>47</v>
      </c>
      <c r="Q195" s="3">
        <v>0.39500000000000002</v>
      </c>
      <c r="R195" s="2">
        <v>90</v>
      </c>
      <c r="S195" s="2">
        <v>30</v>
      </c>
      <c r="T195" s="2">
        <v>60</v>
      </c>
      <c r="U195" s="3">
        <v>0.66669999999999996</v>
      </c>
      <c r="V195" s="2">
        <v>-13</v>
      </c>
    </row>
    <row r="196" spans="1:22" x14ac:dyDescent="0.25">
      <c r="A196" t="s">
        <v>264</v>
      </c>
      <c r="B196" s="1">
        <v>45363</v>
      </c>
      <c r="C196">
        <v>435</v>
      </c>
      <c r="D196" t="s">
        <v>95</v>
      </c>
      <c r="E196" t="s">
        <v>53</v>
      </c>
      <c r="F196" t="s">
        <v>25</v>
      </c>
      <c r="G196" t="s">
        <v>33</v>
      </c>
      <c r="H196" t="s">
        <v>54</v>
      </c>
      <c r="I196" t="s">
        <v>72</v>
      </c>
      <c r="J196" t="s">
        <v>29</v>
      </c>
      <c r="K196">
        <v>844</v>
      </c>
      <c r="L196">
        <v>8</v>
      </c>
      <c r="M196" s="2">
        <v>77</v>
      </c>
      <c r="N196" s="2">
        <v>31</v>
      </c>
      <c r="O196" s="2">
        <v>20</v>
      </c>
      <c r="P196" s="2">
        <v>26</v>
      </c>
      <c r="Q196" s="3">
        <v>0.3377</v>
      </c>
      <c r="R196" s="2">
        <v>70</v>
      </c>
      <c r="S196" s="2">
        <v>30</v>
      </c>
      <c r="T196" s="2">
        <v>30</v>
      </c>
      <c r="U196" s="3">
        <v>0.42859999999999998</v>
      </c>
      <c r="V196" s="2">
        <v>-4</v>
      </c>
    </row>
    <row r="197" spans="1:22" x14ac:dyDescent="0.25">
      <c r="A197" t="s">
        <v>265</v>
      </c>
      <c r="B197" s="1">
        <v>45363</v>
      </c>
      <c r="C197">
        <v>631</v>
      </c>
      <c r="D197" t="s">
        <v>99</v>
      </c>
      <c r="E197" t="s">
        <v>79</v>
      </c>
      <c r="F197" t="s">
        <v>32</v>
      </c>
      <c r="G197" t="s">
        <v>26</v>
      </c>
      <c r="H197" t="s">
        <v>38</v>
      </c>
      <c r="I197" t="s">
        <v>46</v>
      </c>
      <c r="J197" t="s">
        <v>40</v>
      </c>
      <c r="K197">
        <v>1727</v>
      </c>
      <c r="L197">
        <v>111</v>
      </c>
      <c r="M197" s="2">
        <v>796</v>
      </c>
      <c r="N197" s="2">
        <v>294</v>
      </c>
      <c r="O197" s="2">
        <v>144</v>
      </c>
      <c r="P197" s="2">
        <v>459</v>
      </c>
      <c r="Q197" s="3">
        <v>0.5766</v>
      </c>
      <c r="R197" s="2">
        <v>540</v>
      </c>
      <c r="S197" s="2">
        <v>220</v>
      </c>
      <c r="T197" s="2">
        <v>210</v>
      </c>
      <c r="U197" s="3">
        <v>0.38890000000000002</v>
      </c>
      <c r="V197" s="2">
        <v>249</v>
      </c>
    </row>
    <row r="198" spans="1:22" x14ac:dyDescent="0.25">
      <c r="A198" t="s">
        <v>266</v>
      </c>
      <c r="B198" s="1">
        <v>45363</v>
      </c>
      <c r="C198">
        <v>515</v>
      </c>
      <c r="D198" t="s">
        <v>124</v>
      </c>
      <c r="E198" t="s">
        <v>24</v>
      </c>
      <c r="F198" t="s">
        <v>25</v>
      </c>
      <c r="G198" t="s">
        <v>26</v>
      </c>
      <c r="H198" t="s">
        <v>38</v>
      </c>
      <c r="I198" t="s">
        <v>46</v>
      </c>
      <c r="J198" t="s">
        <v>40</v>
      </c>
      <c r="K198">
        <v>789</v>
      </c>
      <c r="L198">
        <v>39</v>
      </c>
      <c r="M198" s="2">
        <v>318</v>
      </c>
      <c r="N198" s="2">
        <v>122</v>
      </c>
      <c r="O198" s="2">
        <v>62</v>
      </c>
      <c r="P198" s="2">
        <v>169</v>
      </c>
      <c r="Q198" s="3">
        <v>0.53139999999999998</v>
      </c>
      <c r="R198" s="2">
        <v>240</v>
      </c>
      <c r="S198" s="2">
        <v>90</v>
      </c>
      <c r="T198" s="2">
        <v>130</v>
      </c>
      <c r="U198" s="3">
        <v>0.54169999999999996</v>
      </c>
      <c r="V198" s="2">
        <v>39</v>
      </c>
    </row>
    <row r="199" spans="1:22" x14ac:dyDescent="0.25">
      <c r="A199" t="s">
        <v>267</v>
      </c>
      <c r="B199" s="1">
        <v>45364</v>
      </c>
      <c r="C199">
        <v>847</v>
      </c>
      <c r="D199" t="s">
        <v>37</v>
      </c>
      <c r="E199" t="s">
        <v>24</v>
      </c>
      <c r="F199" t="s">
        <v>32</v>
      </c>
      <c r="G199" t="s">
        <v>26</v>
      </c>
      <c r="H199" t="s">
        <v>27</v>
      </c>
      <c r="I199" t="s">
        <v>28</v>
      </c>
      <c r="J199" t="s">
        <v>29</v>
      </c>
      <c r="K199">
        <v>589</v>
      </c>
      <c r="L199">
        <v>14</v>
      </c>
      <c r="M199" s="2">
        <v>123</v>
      </c>
      <c r="N199" s="2">
        <v>50</v>
      </c>
      <c r="O199" s="2">
        <v>25</v>
      </c>
      <c r="P199" s="2">
        <v>48</v>
      </c>
      <c r="Q199" s="3">
        <v>0.39019999999999999</v>
      </c>
      <c r="R199" s="2">
        <v>100</v>
      </c>
      <c r="S199" s="2">
        <v>40</v>
      </c>
      <c r="T199" s="2">
        <v>40</v>
      </c>
      <c r="U199" s="3">
        <v>0.4</v>
      </c>
      <c r="V199" s="2">
        <v>8</v>
      </c>
    </row>
    <row r="200" spans="1:22" x14ac:dyDescent="0.25">
      <c r="A200" t="s">
        <v>268</v>
      </c>
      <c r="B200" s="1">
        <v>45364</v>
      </c>
      <c r="C200">
        <v>518</v>
      </c>
      <c r="D200" t="s">
        <v>99</v>
      </c>
      <c r="E200" t="s">
        <v>79</v>
      </c>
      <c r="F200" t="s">
        <v>32</v>
      </c>
      <c r="G200" t="s">
        <v>26</v>
      </c>
      <c r="H200" t="s">
        <v>38</v>
      </c>
      <c r="I200" t="s">
        <v>66</v>
      </c>
      <c r="J200" t="s">
        <v>40</v>
      </c>
      <c r="K200">
        <v>4742</v>
      </c>
      <c r="L200">
        <v>69</v>
      </c>
      <c r="M200" s="2">
        <v>171</v>
      </c>
      <c r="N200" s="2">
        <v>225</v>
      </c>
      <c r="O200" s="2">
        <v>91</v>
      </c>
      <c r="P200" s="2">
        <v>-232</v>
      </c>
      <c r="Q200" s="3">
        <v>-1.3567</v>
      </c>
      <c r="R200" s="2">
        <v>110</v>
      </c>
      <c r="S200" s="2">
        <v>160</v>
      </c>
      <c r="T200" s="2">
        <v>-120</v>
      </c>
      <c r="U200" s="3">
        <v>-1.0909</v>
      </c>
      <c r="V200" s="2">
        <v>-112</v>
      </c>
    </row>
    <row r="201" spans="1:22" x14ac:dyDescent="0.25">
      <c r="A201" t="s">
        <v>269</v>
      </c>
      <c r="B201" s="1">
        <v>45364</v>
      </c>
      <c r="C201">
        <v>206</v>
      </c>
      <c r="D201" t="s">
        <v>52</v>
      </c>
      <c r="E201" t="s">
        <v>53</v>
      </c>
      <c r="F201" t="s">
        <v>25</v>
      </c>
      <c r="G201" t="s">
        <v>33</v>
      </c>
      <c r="H201" t="s">
        <v>34</v>
      </c>
      <c r="I201" t="s">
        <v>83</v>
      </c>
      <c r="J201" t="s">
        <v>40</v>
      </c>
      <c r="K201">
        <v>716</v>
      </c>
      <c r="L201">
        <v>95</v>
      </c>
      <c r="M201" s="2">
        <v>266</v>
      </c>
      <c r="N201" s="2">
        <v>105</v>
      </c>
      <c r="O201" s="2">
        <v>125</v>
      </c>
      <c r="P201" s="2">
        <v>30</v>
      </c>
      <c r="Q201" s="3">
        <v>0.1128</v>
      </c>
      <c r="R201" s="2">
        <v>290</v>
      </c>
      <c r="S201" s="2">
        <v>120</v>
      </c>
      <c r="T201" s="2">
        <v>50</v>
      </c>
      <c r="U201" s="3">
        <v>0.1724</v>
      </c>
      <c r="V201" s="2">
        <v>-20</v>
      </c>
    </row>
    <row r="202" spans="1:22" x14ac:dyDescent="0.25">
      <c r="A202" t="s">
        <v>270</v>
      </c>
      <c r="B202" s="1">
        <v>45365</v>
      </c>
      <c r="C202">
        <v>603</v>
      </c>
      <c r="D202" t="s">
        <v>109</v>
      </c>
      <c r="E202" t="s">
        <v>79</v>
      </c>
      <c r="F202" t="s">
        <v>25</v>
      </c>
      <c r="G202" t="s">
        <v>26</v>
      </c>
      <c r="H202" t="s">
        <v>27</v>
      </c>
      <c r="I202" t="s">
        <v>59</v>
      </c>
      <c r="J202" t="s">
        <v>29</v>
      </c>
      <c r="K202">
        <v>387</v>
      </c>
      <c r="L202">
        <v>0</v>
      </c>
      <c r="M202" s="2">
        <v>43</v>
      </c>
      <c r="N202" s="2">
        <v>0</v>
      </c>
      <c r="O202" s="2">
        <v>11</v>
      </c>
      <c r="P202" s="2">
        <v>32</v>
      </c>
      <c r="Q202" s="3">
        <v>0.74419999999999997</v>
      </c>
      <c r="R202" s="2">
        <v>40</v>
      </c>
      <c r="S202" s="2">
        <v>0</v>
      </c>
      <c r="T202" s="2">
        <v>30</v>
      </c>
      <c r="U202" s="3">
        <v>0.75</v>
      </c>
      <c r="V202" s="2">
        <v>2</v>
      </c>
    </row>
    <row r="203" spans="1:22" x14ac:dyDescent="0.25">
      <c r="A203" t="s">
        <v>271</v>
      </c>
      <c r="B203" s="1">
        <v>45365</v>
      </c>
      <c r="C203">
        <v>515</v>
      </c>
      <c r="D203" t="s">
        <v>124</v>
      </c>
      <c r="E203" t="s">
        <v>24</v>
      </c>
      <c r="F203" t="s">
        <v>25</v>
      </c>
      <c r="G203" t="s">
        <v>33</v>
      </c>
      <c r="H203" t="s">
        <v>34</v>
      </c>
      <c r="I203" t="s">
        <v>50</v>
      </c>
      <c r="J203" t="s">
        <v>29</v>
      </c>
      <c r="K203">
        <v>1000</v>
      </c>
      <c r="L203">
        <v>9</v>
      </c>
      <c r="M203" s="2">
        <v>72</v>
      </c>
      <c r="N203" s="2">
        <v>31</v>
      </c>
      <c r="O203" s="2">
        <v>30</v>
      </c>
      <c r="P203" s="2">
        <v>10</v>
      </c>
      <c r="Q203" s="3">
        <v>0.1389</v>
      </c>
      <c r="R203" s="2">
        <v>60</v>
      </c>
      <c r="S203" s="2">
        <v>20</v>
      </c>
      <c r="T203" s="2">
        <v>30</v>
      </c>
      <c r="U203" s="3">
        <v>0.5</v>
      </c>
      <c r="V203" s="2">
        <v>-20</v>
      </c>
    </row>
    <row r="204" spans="1:22" x14ac:dyDescent="0.25">
      <c r="A204" t="s">
        <v>272</v>
      </c>
      <c r="B204" s="1">
        <v>45365</v>
      </c>
      <c r="C204">
        <v>985</v>
      </c>
      <c r="D204" t="s">
        <v>49</v>
      </c>
      <c r="E204" t="s">
        <v>45</v>
      </c>
      <c r="F204" t="s">
        <v>25</v>
      </c>
      <c r="G204" t="s">
        <v>33</v>
      </c>
      <c r="H204" t="s">
        <v>34</v>
      </c>
      <c r="I204" t="s">
        <v>83</v>
      </c>
      <c r="J204" t="s">
        <v>40</v>
      </c>
      <c r="K204">
        <v>851</v>
      </c>
      <c r="L204">
        <v>13</v>
      </c>
      <c r="M204" s="2">
        <v>126</v>
      </c>
      <c r="N204" s="2">
        <v>48</v>
      </c>
      <c r="O204" s="2">
        <v>25</v>
      </c>
      <c r="P204" s="2">
        <v>67</v>
      </c>
      <c r="Q204" s="3">
        <v>0.53169999999999995</v>
      </c>
      <c r="R204" s="2">
        <v>160</v>
      </c>
      <c r="S204" s="2">
        <v>70</v>
      </c>
      <c r="T204" s="2">
        <v>80</v>
      </c>
      <c r="U204" s="3">
        <v>0.5</v>
      </c>
      <c r="V204" s="2">
        <v>-13</v>
      </c>
    </row>
    <row r="205" spans="1:22" x14ac:dyDescent="0.25">
      <c r="A205" t="s">
        <v>273</v>
      </c>
      <c r="B205" s="1">
        <v>45365</v>
      </c>
      <c r="C205">
        <v>740</v>
      </c>
      <c r="D205" t="s">
        <v>85</v>
      </c>
      <c r="E205" t="s">
        <v>24</v>
      </c>
      <c r="F205" t="s">
        <v>32</v>
      </c>
      <c r="G205" t="s">
        <v>33</v>
      </c>
      <c r="H205" t="s">
        <v>54</v>
      </c>
      <c r="I205" t="s">
        <v>68</v>
      </c>
      <c r="J205" t="s">
        <v>29</v>
      </c>
      <c r="K205">
        <v>1319</v>
      </c>
      <c r="L205">
        <v>42</v>
      </c>
      <c r="M205" s="2">
        <v>306</v>
      </c>
      <c r="N205" s="2">
        <v>153</v>
      </c>
      <c r="O205" s="2">
        <v>66</v>
      </c>
      <c r="P205" s="2">
        <v>87</v>
      </c>
      <c r="Q205" s="3">
        <v>0.2843</v>
      </c>
      <c r="R205" s="2">
        <v>390</v>
      </c>
      <c r="S205" s="2">
        <v>190</v>
      </c>
      <c r="T205" s="2">
        <v>140</v>
      </c>
      <c r="U205" s="3">
        <v>0.35899999999999999</v>
      </c>
      <c r="V205" s="2">
        <v>-53</v>
      </c>
    </row>
    <row r="206" spans="1:22" x14ac:dyDescent="0.25">
      <c r="A206" t="s">
        <v>274</v>
      </c>
      <c r="B206" s="1">
        <v>45365</v>
      </c>
      <c r="C206">
        <v>435</v>
      </c>
      <c r="D206" t="s">
        <v>95</v>
      </c>
      <c r="E206" t="s">
        <v>53</v>
      </c>
      <c r="F206" t="s">
        <v>25</v>
      </c>
      <c r="G206" t="s">
        <v>26</v>
      </c>
      <c r="H206" t="s">
        <v>27</v>
      </c>
      <c r="I206" t="s">
        <v>59</v>
      </c>
      <c r="J206" t="s">
        <v>29</v>
      </c>
      <c r="K206">
        <v>218</v>
      </c>
      <c r="L206">
        <v>7</v>
      </c>
      <c r="M206" s="2">
        <v>45</v>
      </c>
      <c r="N206" s="2">
        <v>20</v>
      </c>
      <c r="O206" s="2">
        <v>40</v>
      </c>
      <c r="P206" s="2">
        <v>-15</v>
      </c>
      <c r="Q206" s="3">
        <v>-0.33329999999999999</v>
      </c>
      <c r="R206" s="2">
        <v>30</v>
      </c>
      <c r="S206" s="2">
        <v>10</v>
      </c>
      <c r="T206" s="2">
        <v>0</v>
      </c>
      <c r="U206" s="3">
        <v>0</v>
      </c>
      <c r="V206" s="2">
        <v>-15</v>
      </c>
    </row>
    <row r="207" spans="1:22" x14ac:dyDescent="0.25">
      <c r="A207" t="s">
        <v>275</v>
      </c>
      <c r="B207" s="1">
        <v>45366</v>
      </c>
      <c r="C207">
        <v>262</v>
      </c>
      <c r="D207" t="s">
        <v>23</v>
      </c>
      <c r="E207" t="s">
        <v>24</v>
      </c>
      <c r="F207" t="s">
        <v>25</v>
      </c>
      <c r="G207" t="s">
        <v>33</v>
      </c>
      <c r="H207" t="s">
        <v>34</v>
      </c>
      <c r="I207" t="s">
        <v>35</v>
      </c>
      <c r="J207" t="s">
        <v>29</v>
      </c>
      <c r="K207">
        <v>391</v>
      </c>
      <c r="L207">
        <v>20</v>
      </c>
      <c r="M207" s="2">
        <v>121</v>
      </c>
      <c r="N207" s="2">
        <v>54</v>
      </c>
      <c r="O207" s="2">
        <v>53</v>
      </c>
      <c r="P207" s="2">
        <v>14</v>
      </c>
      <c r="Q207" s="3">
        <v>0.1157</v>
      </c>
      <c r="R207" s="2">
        <v>110</v>
      </c>
      <c r="S207" s="2">
        <v>50</v>
      </c>
      <c r="T207" s="2">
        <v>20</v>
      </c>
      <c r="U207" s="3">
        <v>0.18179999999999999</v>
      </c>
      <c r="V207" s="2">
        <v>-6</v>
      </c>
    </row>
    <row r="208" spans="1:22" x14ac:dyDescent="0.25">
      <c r="A208" t="s">
        <v>276</v>
      </c>
      <c r="B208" s="1">
        <v>45366</v>
      </c>
      <c r="C208">
        <v>206</v>
      </c>
      <c r="D208" t="s">
        <v>52</v>
      </c>
      <c r="E208" t="s">
        <v>53</v>
      </c>
      <c r="F208" t="s">
        <v>25</v>
      </c>
      <c r="G208" t="s">
        <v>26</v>
      </c>
      <c r="H208" t="s">
        <v>27</v>
      </c>
      <c r="I208" t="s">
        <v>59</v>
      </c>
      <c r="J208" t="s">
        <v>29</v>
      </c>
      <c r="K208">
        <v>606</v>
      </c>
      <c r="L208">
        <v>54</v>
      </c>
      <c r="M208" s="2">
        <v>153</v>
      </c>
      <c r="N208" s="2">
        <v>60</v>
      </c>
      <c r="O208" s="2">
        <v>84</v>
      </c>
      <c r="P208" s="2">
        <v>0</v>
      </c>
      <c r="Q208" s="3">
        <v>0</v>
      </c>
      <c r="R208" s="2">
        <v>60</v>
      </c>
      <c r="S208" s="2">
        <v>20</v>
      </c>
      <c r="T208" s="2">
        <v>10</v>
      </c>
      <c r="U208" s="3">
        <v>0.16669999999999999</v>
      </c>
      <c r="V208" s="2">
        <v>-10</v>
      </c>
    </row>
    <row r="209" spans="1:22" x14ac:dyDescent="0.25">
      <c r="A209" t="s">
        <v>277</v>
      </c>
      <c r="B209" s="1">
        <v>45366</v>
      </c>
      <c r="C209">
        <v>541</v>
      </c>
      <c r="D209" t="s">
        <v>71</v>
      </c>
      <c r="E209" t="s">
        <v>53</v>
      </c>
      <c r="F209" t="s">
        <v>25</v>
      </c>
      <c r="G209" t="s">
        <v>26</v>
      </c>
      <c r="H209" t="s">
        <v>27</v>
      </c>
      <c r="I209" t="s">
        <v>28</v>
      </c>
      <c r="J209" t="s">
        <v>29</v>
      </c>
      <c r="K209">
        <v>490</v>
      </c>
      <c r="L209">
        <v>8</v>
      </c>
      <c r="M209" s="2">
        <v>78</v>
      </c>
      <c r="N209" s="2">
        <v>29</v>
      </c>
      <c r="O209" s="2">
        <v>19</v>
      </c>
      <c r="P209" s="2">
        <v>37</v>
      </c>
      <c r="Q209" s="3">
        <v>0.47439999999999999</v>
      </c>
      <c r="R209" s="2">
        <v>50</v>
      </c>
      <c r="S209" s="2">
        <v>20</v>
      </c>
      <c r="T209" s="2">
        <v>30</v>
      </c>
      <c r="U209" s="3">
        <v>0.6</v>
      </c>
      <c r="V209" s="2">
        <v>7</v>
      </c>
    </row>
    <row r="210" spans="1:22" x14ac:dyDescent="0.25">
      <c r="A210" t="s">
        <v>278</v>
      </c>
      <c r="B210" s="1">
        <v>45366</v>
      </c>
      <c r="C210">
        <v>607</v>
      </c>
      <c r="D210" t="s">
        <v>99</v>
      </c>
      <c r="E210" t="s">
        <v>79</v>
      </c>
      <c r="F210" t="s">
        <v>32</v>
      </c>
      <c r="G210" t="s">
        <v>26</v>
      </c>
      <c r="H210" t="s">
        <v>27</v>
      </c>
      <c r="I210" t="s">
        <v>59</v>
      </c>
      <c r="J210" t="s">
        <v>29</v>
      </c>
      <c r="K210">
        <v>580</v>
      </c>
      <c r="L210">
        <v>21</v>
      </c>
      <c r="M210" s="2">
        <v>199</v>
      </c>
      <c r="N210" s="2">
        <v>76</v>
      </c>
      <c r="O210" s="2">
        <v>33</v>
      </c>
      <c r="P210" s="2">
        <v>116</v>
      </c>
      <c r="Q210" s="3">
        <v>0.58289999999999997</v>
      </c>
      <c r="R210" s="2">
        <v>200</v>
      </c>
      <c r="S210" s="2">
        <v>80</v>
      </c>
      <c r="T210" s="2">
        <v>100</v>
      </c>
      <c r="U210" s="3">
        <v>0.5</v>
      </c>
      <c r="V210" s="2">
        <v>16</v>
      </c>
    </row>
    <row r="211" spans="1:22" x14ac:dyDescent="0.25">
      <c r="A211" t="s">
        <v>279</v>
      </c>
      <c r="B211" s="1">
        <v>45367</v>
      </c>
      <c r="C211">
        <v>603</v>
      </c>
      <c r="D211" t="s">
        <v>109</v>
      </c>
      <c r="E211" t="s">
        <v>79</v>
      </c>
      <c r="F211" t="s">
        <v>25</v>
      </c>
      <c r="G211" t="s">
        <v>26</v>
      </c>
      <c r="H211" t="s">
        <v>27</v>
      </c>
      <c r="I211" t="s">
        <v>59</v>
      </c>
      <c r="J211" t="s">
        <v>29</v>
      </c>
      <c r="K211">
        <v>344</v>
      </c>
      <c r="L211">
        <v>0</v>
      </c>
      <c r="M211" s="2">
        <v>43</v>
      </c>
      <c r="N211" s="2">
        <v>0</v>
      </c>
      <c r="O211" s="2">
        <v>11</v>
      </c>
      <c r="P211" s="2">
        <v>32</v>
      </c>
      <c r="Q211" s="3">
        <v>0.74419999999999997</v>
      </c>
      <c r="R211" s="2">
        <v>40</v>
      </c>
      <c r="S211" s="2">
        <v>0</v>
      </c>
      <c r="T211" s="2">
        <v>30</v>
      </c>
      <c r="U211" s="3">
        <v>0.75</v>
      </c>
      <c r="V211" s="2">
        <v>2</v>
      </c>
    </row>
    <row r="212" spans="1:22" x14ac:dyDescent="0.25">
      <c r="A212" t="s">
        <v>280</v>
      </c>
      <c r="B212" s="1">
        <v>45367</v>
      </c>
      <c r="C212">
        <v>425</v>
      </c>
      <c r="D212" t="s">
        <v>52</v>
      </c>
      <c r="E212" t="s">
        <v>53</v>
      </c>
      <c r="F212" t="s">
        <v>25</v>
      </c>
      <c r="G212" t="s">
        <v>26</v>
      </c>
      <c r="H212" t="s">
        <v>27</v>
      </c>
      <c r="I212" t="s">
        <v>28</v>
      </c>
      <c r="J212" t="s">
        <v>29</v>
      </c>
      <c r="K212">
        <v>321</v>
      </c>
      <c r="L212">
        <v>16</v>
      </c>
      <c r="M212" s="2">
        <v>141</v>
      </c>
      <c r="N212" s="2">
        <v>53</v>
      </c>
      <c r="O212" s="2">
        <v>39</v>
      </c>
      <c r="P212" s="2">
        <v>49</v>
      </c>
      <c r="Q212" s="3">
        <v>0.34749999999999998</v>
      </c>
      <c r="R212" s="2">
        <v>100</v>
      </c>
      <c r="S212" s="2">
        <v>30</v>
      </c>
      <c r="T212" s="2">
        <v>50</v>
      </c>
      <c r="U212" s="3">
        <v>0.5</v>
      </c>
      <c r="V212" s="2">
        <v>-1</v>
      </c>
    </row>
    <row r="213" spans="1:22" x14ac:dyDescent="0.25">
      <c r="A213" t="s">
        <v>281</v>
      </c>
      <c r="B213" s="1">
        <v>45367</v>
      </c>
      <c r="C213">
        <v>971</v>
      </c>
      <c r="D213" t="s">
        <v>71</v>
      </c>
      <c r="E213" t="s">
        <v>53</v>
      </c>
      <c r="F213" t="s">
        <v>25</v>
      </c>
      <c r="G213" t="s">
        <v>33</v>
      </c>
      <c r="H213" t="s">
        <v>54</v>
      </c>
      <c r="I213" t="s">
        <v>55</v>
      </c>
      <c r="J213" t="s">
        <v>40</v>
      </c>
      <c r="K213">
        <v>1319</v>
      </c>
      <c r="L213">
        <v>42</v>
      </c>
      <c r="M213" s="2">
        <v>306</v>
      </c>
      <c r="N213" s="2">
        <v>153</v>
      </c>
      <c r="O213" s="2">
        <v>66</v>
      </c>
      <c r="P213" s="2">
        <v>87</v>
      </c>
      <c r="Q213" s="3">
        <v>0.2843</v>
      </c>
      <c r="R213" s="2">
        <v>290</v>
      </c>
      <c r="S213" s="2">
        <v>150</v>
      </c>
      <c r="T213" s="2">
        <v>80</v>
      </c>
      <c r="U213" s="3">
        <v>0.27589999999999998</v>
      </c>
      <c r="V213" s="2">
        <v>7</v>
      </c>
    </row>
    <row r="214" spans="1:22" x14ac:dyDescent="0.25">
      <c r="A214" t="s">
        <v>282</v>
      </c>
      <c r="B214" s="1">
        <v>45368</v>
      </c>
      <c r="C214">
        <v>603</v>
      </c>
      <c r="D214" t="s">
        <v>109</v>
      </c>
      <c r="E214" t="s">
        <v>79</v>
      </c>
      <c r="F214" t="s">
        <v>25</v>
      </c>
      <c r="G214" t="s">
        <v>33</v>
      </c>
      <c r="H214" t="s">
        <v>34</v>
      </c>
      <c r="I214" t="s">
        <v>35</v>
      </c>
      <c r="J214" t="s">
        <v>29</v>
      </c>
      <c r="K214">
        <v>316</v>
      </c>
      <c r="L214">
        <v>14</v>
      </c>
      <c r="M214" s="2">
        <v>120</v>
      </c>
      <c r="N214" s="2">
        <v>46</v>
      </c>
      <c r="O214" s="2">
        <v>37</v>
      </c>
      <c r="P214" s="2">
        <v>45</v>
      </c>
      <c r="Q214" s="3">
        <v>0.375</v>
      </c>
      <c r="R214" s="2">
        <v>100</v>
      </c>
      <c r="S214" s="2">
        <v>40</v>
      </c>
      <c r="T214" s="2">
        <v>40</v>
      </c>
      <c r="U214" s="3">
        <v>0.4</v>
      </c>
      <c r="V214" s="2">
        <v>5</v>
      </c>
    </row>
    <row r="215" spans="1:22" x14ac:dyDescent="0.25">
      <c r="A215" t="s">
        <v>283</v>
      </c>
      <c r="B215" s="1">
        <v>45368</v>
      </c>
      <c r="C215">
        <v>505</v>
      </c>
      <c r="D215" t="s">
        <v>44</v>
      </c>
      <c r="E215" t="s">
        <v>45</v>
      </c>
      <c r="F215" t="s">
        <v>25</v>
      </c>
      <c r="G215" t="s">
        <v>33</v>
      </c>
      <c r="H215" t="s">
        <v>54</v>
      </c>
      <c r="I215" t="s">
        <v>55</v>
      </c>
      <c r="J215" t="s">
        <v>40</v>
      </c>
      <c r="K215">
        <v>244</v>
      </c>
      <c r="L215">
        <v>12</v>
      </c>
      <c r="M215" s="2">
        <v>92</v>
      </c>
      <c r="N215" s="2">
        <v>39</v>
      </c>
      <c r="O215" s="2">
        <v>39</v>
      </c>
      <c r="P215" s="2">
        <v>14</v>
      </c>
      <c r="Q215" s="3">
        <v>0.1522</v>
      </c>
      <c r="R215" s="2">
        <v>50</v>
      </c>
      <c r="S215" s="2">
        <v>20</v>
      </c>
      <c r="T215" s="2">
        <v>20</v>
      </c>
      <c r="U215" s="3">
        <v>0.4</v>
      </c>
      <c r="V215" s="2">
        <v>-6</v>
      </c>
    </row>
    <row r="216" spans="1:22" x14ac:dyDescent="0.25">
      <c r="A216" t="s">
        <v>284</v>
      </c>
      <c r="B216" s="1">
        <v>45368</v>
      </c>
      <c r="C216">
        <v>330</v>
      </c>
      <c r="D216" t="s">
        <v>85</v>
      </c>
      <c r="E216" t="s">
        <v>24</v>
      </c>
      <c r="F216" t="s">
        <v>32</v>
      </c>
      <c r="G216" t="s">
        <v>33</v>
      </c>
      <c r="H216" t="s">
        <v>34</v>
      </c>
      <c r="I216" t="s">
        <v>35</v>
      </c>
      <c r="J216" t="s">
        <v>29</v>
      </c>
      <c r="K216">
        <v>411</v>
      </c>
      <c r="L216">
        <v>19</v>
      </c>
      <c r="M216" s="2">
        <v>138</v>
      </c>
      <c r="N216" s="2">
        <v>59</v>
      </c>
      <c r="O216" s="2">
        <v>46</v>
      </c>
      <c r="P216" s="2">
        <v>33</v>
      </c>
      <c r="Q216" s="3">
        <v>0.23910000000000001</v>
      </c>
      <c r="R216" s="2">
        <v>130</v>
      </c>
      <c r="S216" s="2">
        <v>50</v>
      </c>
      <c r="T216" s="2">
        <v>50</v>
      </c>
      <c r="U216" s="3">
        <v>0.3846</v>
      </c>
      <c r="V216" s="2">
        <v>-17</v>
      </c>
    </row>
    <row r="217" spans="1:22" x14ac:dyDescent="0.25">
      <c r="A217" t="s">
        <v>285</v>
      </c>
      <c r="B217" s="1">
        <v>45368</v>
      </c>
      <c r="C217">
        <v>920</v>
      </c>
      <c r="D217" t="s">
        <v>23</v>
      </c>
      <c r="E217" t="s">
        <v>24</v>
      </c>
      <c r="F217" t="s">
        <v>25</v>
      </c>
      <c r="G217" t="s">
        <v>26</v>
      </c>
      <c r="H217" t="s">
        <v>38</v>
      </c>
      <c r="I217" t="s">
        <v>39</v>
      </c>
      <c r="J217" t="s">
        <v>40</v>
      </c>
      <c r="K217">
        <v>321</v>
      </c>
      <c r="L217">
        <v>16</v>
      </c>
      <c r="M217" s="2">
        <v>141</v>
      </c>
      <c r="N217" s="2">
        <v>53</v>
      </c>
      <c r="O217" s="2">
        <v>40</v>
      </c>
      <c r="P217" s="2">
        <v>48</v>
      </c>
      <c r="Q217" s="3">
        <v>0.34039999999999998</v>
      </c>
      <c r="R217" s="2">
        <v>130</v>
      </c>
      <c r="S217" s="2">
        <v>50</v>
      </c>
      <c r="T217" s="2">
        <v>50</v>
      </c>
      <c r="U217" s="3">
        <v>0.3846</v>
      </c>
      <c r="V217" s="2">
        <v>-2</v>
      </c>
    </row>
    <row r="218" spans="1:22" x14ac:dyDescent="0.25">
      <c r="A218" t="s">
        <v>286</v>
      </c>
      <c r="B218" s="1">
        <v>45368</v>
      </c>
      <c r="C218">
        <v>405</v>
      </c>
      <c r="D218" t="s">
        <v>148</v>
      </c>
      <c r="E218" t="s">
        <v>45</v>
      </c>
      <c r="F218" t="s">
        <v>25</v>
      </c>
      <c r="G218" t="s">
        <v>26</v>
      </c>
      <c r="H218" t="s">
        <v>38</v>
      </c>
      <c r="I218" t="s">
        <v>46</v>
      </c>
      <c r="J218" t="s">
        <v>40</v>
      </c>
      <c r="K218">
        <v>683</v>
      </c>
      <c r="L218">
        <v>87</v>
      </c>
      <c r="M218" s="2">
        <v>230</v>
      </c>
      <c r="N218" s="2">
        <v>96</v>
      </c>
      <c r="O218" s="2">
        <v>117</v>
      </c>
      <c r="P218" s="2">
        <v>17</v>
      </c>
      <c r="Q218" s="3">
        <v>7.3899999999999993E-2</v>
      </c>
      <c r="R218" s="2">
        <v>200</v>
      </c>
      <c r="S218" s="2">
        <v>80</v>
      </c>
      <c r="T218" s="2">
        <v>40</v>
      </c>
      <c r="U218" s="3">
        <v>0.2</v>
      </c>
      <c r="V218" s="2">
        <v>-23</v>
      </c>
    </row>
    <row r="219" spans="1:22" x14ac:dyDescent="0.25">
      <c r="A219" t="s">
        <v>287</v>
      </c>
      <c r="B219" s="1">
        <v>45368</v>
      </c>
      <c r="C219">
        <v>773</v>
      </c>
      <c r="D219" t="s">
        <v>37</v>
      </c>
      <c r="E219" t="s">
        <v>24</v>
      </c>
      <c r="F219" t="s">
        <v>32</v>
      </c>
      <c r="G219" t="s">
        <v>33</v>
      </c>
      <c r="H219" t="s">
        <v>54</v>
      </c>
      <c r="I219" t="s">
        <v>55</v>
      </c>
      <c r="J219" t="s">
        <v>40</v>
      </c>
      <c r="K219">
        <v>1755</v>
      </c>
      <c r="L219">
        <v>66</v>
      </c>
      <c r="M219" s="2">
        <v>509</v>
      </c>
      <c r="N219" s="2">
        <v>239</v>
      </c>
      <c r="O219" s="2">
        <v>90</v>
      </c>
      <c r="P219" s="2">
        <v>221</v>
      </c>
      <c r="Q219" s="3">
        <v>0.43419999999999997</v>
      </c>
      <c r="R219" s="2">
        <v>710</v>
      </c>
      <c r="S219" s="2">
        <v>340</v>
      </c>
      <c r="T219" s="2">
        <v>300</v>
      </c>
      <c r="U219" s="3">
        <v>0.42249999999999999</v>
      </c>
      <c r="V219" s="2">
        <v>-79</v>
      </c>
    </row>
    <row r="220" spans="1:22" x14ac:dyDescent="0.25">
      <c r="A220" t="s">
        <v>288</v>
      </c>
      <c r="B220" s="1">
        <v>45368</v>
      </c>
      <c r="C220">
        <v>720</v>
      </c>
      <c r="D220" t="s">
        <v>31</v>
      </c>
      <c r="E220" t="s">
        <v>24</v>
      </c>
      <c r="F220" t="s">
        <v>32</v>
      </c>
      <c r="G220" t="s">
        <v>33</v>
      </c>
      <c r="H220" t="s">
        <v>34</v>
      </c>
      <c r="I220" t="s">
        <v>83</v>
      </c>
      <c r="J220" t="s">
        <v>40</v>
      </c>
      <c r="K220">
        <v>1003</v>
      </c>
      <c r="L220">
        <v>24</v>
      </c>
      <c r="M220" s="2">
        <v>224</v>
      </c>
      <c r="N220" s="2">
        <v>86</v>
      </c>
      <c r="O220" s="2">
        <v>36</v>
      </c>
      <c r="P220" s="2">
        <v>131</v>
      </c>
      <c r="Q220" s="3">
        <v>0.58479999999999999</v>
      </c>
      <c r="R220" s="2">
        <v>200</v>
      </c>
      <c r="S220" s="2">
        <v>80</v>
      </c>
      <c r="T220" s="2">
        <v>90</v>
      </c>
      <c r="U220" s="3">
        <v>0.45</v>
      </c>
      <c r="V220" s="2">
        <v>41</v>
      </c>
    </row>
    <row r="221" spans="1:22" x14ac:dyDescent="0.25">
      <c r="A221" t="s">
        <v>289</v>
      </c>
      <c r="B221" s="1">
        <v>45368</v>
      </c>
      <c r="C221">
        <v>916</v>
      </c>
      <c r="D221" t="s">
        <v>62</v>
      </c>
      <c r="E221" t="s">
        <v>53</v>
      </c>
      <c r="F221" t="s">
        <v>32</v>
      </c>
      <c r="G221" t="s">
        <v>33</v>
      </c>
      <c r="H221" t="s">
        <v>54</v>
      </c>
      <c r="I221" t="s">
        <v>72</v>
      </c>
      <c r="J221" t="s">
        <v>29</v>
      </c>
      <c r="K221">
        <v>1820</v>
      </c>
      <c r="L221">
        <v>70</v>
      </c>
      <c r="M221" s="2">
        <v>501</v>
      </c>
      <c r="N221" s="2">
        <v>250</v>
      </c>
      <c r="O221" s="2">
        <v>94</v>
      </c>
      <c r="P221" s="2">
        <v>157</v>
      </c>
      <c r="Q221" s="3">
        <v>0.31340000000000001</v>
      </c>
      <c r="R221" s="2">
        <v>480</v>
      </c>
      <c r="S221" s="2">
        <v>240</v>
      </c>
      <c r="T221" s="2">
        <v>160</v>
      </c>
      <c r="U221" s="3">
        <v>0.33329999999999999</v>
      </c>
      <c r="V221" s="2">
        <v>-3</v>
      </c>
    </row>
    <row r="222" spans="1:22" x14ac:dyDescent="0.25">
      <c r="A222" t="s">
        <v>290</v>
      </c>
      <c r="B222" s="1">
        <v>45369</v>
      </c>
      <c r="C222">
        <v>850</v>
      </c>
      <c r="D222" t="s">
        <v>117</v>
      </c>
      <c r="E222" t="s">
        <v>79</v>
      </c>
      <c r="F222" t="s">
        <v>32</v>
      </c>
      <c r="G222" t="s">
        <v>26</v>
      </c>
      <c r="H222" t="s">
        <v>27</v>
      </c>
      <c r="I222" t="s">
        <v>28</v>
      </c>
      <c r="J222" t="s">
        <v>29</v>
      </c>
      <c r="K222">
        <v>871</v>
      </c>
      <c r="L222">
        <v>10</v>
      </c>
      <c r="M222" s="2">
        <v>94</v>
      </c>
      <c r="N222" s="2">
        <v>38</v>
      </c>
      <c r="O222" s="2">
        <v>21</v>
      </c>
      <c r="P222" s="2">
        <v>35</v>
      </c>
      <c r="Q222" s="3">
        <v>0.37230000000000002</v>
      </c>
      <c r="R222" s="2">
        <v>100</v>
      </c>
      <c r="S222" s="2">
        <v>40</v>
      </c>
      <c r="T222" s="2">
        <v>50</v>
      </c>
      <c r="U222" s="3">
        <v>0.5</v>
      </c>
      <c r="V222" s="2">
        <v>-15</v>
      </c>
    </row>
    <row r="223" spans="1:22" x14ac:dyDescent="0.25">
      <c r="A223" t="s">
        <v>291</v>
      </c>
      <c r="B223" s="1">
        <v>45369</v>
      </c>
      <c r="C223">
        <v>262</v>
      </c>
      <c r="D223" t="s">
        <v>23</v>
      </c>
      <c r="E223" t="s">
        <v>24</v>
      </c>
      <c r="F223" t="s">
        <v>25</v>
      </c>
      <c r="G223" t="s">
        <v>33</v>
      </c>
      <c r="H223" t="s">
        <v>34</v>
      </c>
      <c r="I223" t="s">
        <v>83</v>
      </c>
      <c r="J223" t="s">
        <v>40</v>
      </c>
      <c r="K223">
        <v>557</v>
      </c>
      <c r="L223">
        <v>25</v>
      </c>
      <c r="M223" s="2">
        <v>180</v>
      </c>
      <c r="N223" s="2">
        <v>77</v>
      </c>
      <c r="O223" s="2">
        <v>52</v>
      </c>
      <c r="P223" s="2">
        <v>51</v>
      </c>
      <c r="Q223" s="3">
        <v>0.2833</v>
      </c>
      <c r="R223" s="2">
        <v>170</v>
      </c>
      <c r="S223" s="2">
        <v>70</v>
      </c>
      <c r="T223" s="2">
        <v>60</v>
      </c>
      <c r="U223" s="3">
        <v>0.35289999999999999</v>
      </c>
      <c r="V223" s="2">
        <v>-9</v>
      </c>
    </row>
    <row r="224" spans="1:22" x14ac:dyDescent="0.25">
      <c r="A224" t="s">
        <v>292</v>
      </c>
      <c r="B224" s="1">
        <v>45369</v>
      </c>
      <c r="C224">
        <v>563</v>
      </c>
      <c r="D224" t="s">
        <v>124</v>
      </c>
      <c r="E224" t="s">
        <v>24</v>
      </c>
      <c r="F224" t="s">
        <v>25</v>
      </c>
      <c r="G224" t="s">
        <v>26</v>
      </c>
      <c r="H224" t="s">
        <v>27</v>
      </c>
      <c r="I224" t="s">
        <v>42</v>
      </c>
      <c r="J224" t="s">
        <v>29</v>
      </c>
      <c r="K224">
        <v>1838</v>
      </c>
      <c r="L224">
        <v>111</v>
      </c>
      <c r="M224" s="2">
        <v>697</v>
      </c>
      <c r="N224" s="2">
        <v>294</v>
      </c>
      <c r="O224" s="2">
        <v>144</v>
      </c>
      <c r="P224" s="2">
        <v>321</v>
      </c>
      <c r="Q224" s="3">
        <v>0.46050000000000002</v>
      </c>
      <c r="R224" s="2">
        <v>540</v>
      </c>
      <c r="S224" s="2">
        <v>240</v>
      </c>
      <c r="T224" s="2">
        <v>170</v>
      </c>
      <c r="U224" s="3">
        <v>0.31480000000000002</v>
      </c>
      <c r="V224" s="2">
        <v>151</v>
      </c>
    </row>
    <row r="225" spans="1:22" x14ac:dyDescent="0.25">
      <c r="A225" t="s">
        <v>293</v>
      </c>
      <c r="B225" s="1">
        <v>45370</v>
      </c>
      <c r="C225">
        <v>580</v>
      </c>
      <c r="D225" t="s">
        <v>148</v>
      </c>
      <c r="E225" t="s">
        <v>45</v>
      </c>
      <c r="F225" t="s">
        <v>25</v>
      </c>
      <c r="G225" t="s">
        <v>33</v>
      </c>
      <c r="H225" t="s">
        <v>34</v>
      </c>
      <c r="I225" t="s">
        <v>83</v>
      </c>
      <c r="J225" t="s">
        <v>40</v>
      </c>
      <c r="K225">
        <v>862</v>
      </c>
      <c r="L225">
        <v>10</v>
      </c>
      <c r="M225" s="2">
        <v>94</v>
      </c>
      <c r="N225" s="2">
        <v>36</v>
      </c>
      <c r="O225" s="2">
        <v>22</v>
      </c>
      <c r="P225" s="2">
        <v>45</v>
      </c>
      <c r="Q225" s="3">
        <v>0.47870000000000001</v>
      </c>
      <c r="R225" s="2">
        <v>100</v>
      </c>
      <c r="S225" s="2">
        <v>40</v>
      </c>
      <c r="T225" s="2">
        <v>40</v>
      </c>
      <c r="U225" s="3">
        <v>0.4</v>
      </c>
      <c r="V225" s="2">
        <v>5</v>
      </c>
    </row>
    <row r="226" spans="1:22" x14ac:dyDescent="0.25">
      <c r="A226" t="s">
        <v>294</v>
      </c>
      <c r="B226" s="1">
        <v>45370</v>
      </c>
      <c r="C226">
        <v>505</v>
      </c>
      <c r="D226" t="s">
        <v>44</v>
      </c>
      <c r="E226" t="s">
        <v>45</v>
      </c>
      <c r="F226" t="s">
        <v>25</v>
      </c>
      <c r="G226" t="s">
        <v>33</v>
      </c>
      <c r="H226" t="s">
        <v>54</v>
      </c>
      <c r="I226" t="s">
        <v>68</v>
      </c>
      <c r="J226" t="s">
        <v>29</v>
      </c>
      <c r="K226">
        <v>325</v>
      </c>
      <c r="L226">
        <v>40</v>
      </c>
      <c r="M226" s="2">
        <v>106</v>
      </c>
      <c r="N226" s="2">
        <v>44</v>
      </c>
      <c r="O226" s="2">
        <v>69</v>
      </c>
      <c r="P226" s="2">
        <v>-7</v>
      </c>
      <c r="Q226" s="3">
        <v>-6.6000000000000003E-2</v>
      </c>
      <c r="R226" s="2">
        <v>80</v>
      </c>
      <c r="S226" s="2">
        <v>30</v>
      </c>
      <c r="T226" s="2">
        <v>0</v>
      </c>
      <c r="U226" s="3">
        <v>0</v>
      </c>
      <c r="V226" s="2">
        <v>-7</v>
      </c>
    </row>
    <row r="227" spans="1:22" x14ac:dyDescent="0.25">
      <c r="A227" t="s">
        <v>295</v>
      </c>
      <c r="B227" s="1">
        <v>45370</v>
      </c>
      <c r="C227">
        <v>727</v>
      </c>
      <c r="D227" t="s">
        <v>117</v>
      </c>
      <c r="E227" t="s">
        <v>79</v>
      </c>
      <c r="F227" t="s">
        <v>32</v>
      </c>
      <c r="G227" t="s">
        <v>33</v>
      </c>
      <c r="H227" t="s">
        <v>34</v>
      </c>
      <c r="I227" t="s">
        <v>83</v>
      </c>
      <c r="J227" t="s">
        <v>40</v>
      </c>
      <c r="K227">
        <v>690</v>
      </c>
      <c r="L227">
        <v>41</v>
      </c>
      <c r="M227" s="2">
        <v>341</v>
      </c>
      <c r="N227" s="2">
        <v>134</v>
      </c>
      <c r="O227" s="2">
        <v>64</v>
      </c>
      <c r="P227" s="2">
        <v>181</v>
      </c>
      <c r="Q227" s="3">
        <v>0.53080000000000005</v>
      </c>
      <c r="R227" s="2">
        <v>280</v>
      </c>
      <c r="S227" s="2">
        <v>120</v>
      </c>
      <c r="T227" s="2">
        <v>110</v>
      </c>
      <c r="U227" s="3">
        <v>0.39290000000000003</v>
      </c>
      <c r="V227" s="2">
        <v>71</v>
      </c>
    </row>
    <row r="228" spans="1:22" x14ac:dyDescent="0.25">
      <c r="A228" t="s">
        <v>296</v>
      </c>
      <c r="B228" s="1">
        <v>45370</v>
      </c>
      <c r="C228">
        <v>515</v>
      </c>
      <c r="D228" t="s">
        <v>124</v>
      </c>
      <c r="E228" t="s">
        <v>24</v>
      </c>
      <c r="F228" t="s">
        <v>25</v>
      </c>
      <c r="G228" t="s">
        <v>26</v>
      </c>
      <c r="H228" t="s">
        <v>38</v>
      </c>
      <c r="I228" t="s">
        <v>39</v>
      </c>
      <c r="J228" t="s">
        <v>40</v>
      </c>
      <c r="K228">
        <v>1744</v>
      </c>
      <c r="L228">
        <v>81</v>
      </c>
      <c r="M228" s="2">
        <v>614</v>
      </c>
      <c r="N228" s="2">
        <v>247</v>
      </c>
      <c r="O228" s="2">
        <v>113</v>
      </c>
      <c r="P228" s="2">
        <v>321</v>
      </c>
      <c r="Q228" s="3">
        <v>0.52280000000000004</v>
      </c>
      <c r="R228" s="2">
        <v>530</v>
      </c>
      <c r="S228" s="2">
        <v>230</v>
      </c>
      <c r="T228" s="2">
        <v>200</v>
      </c>
      <c r="U228" s="3">
        <v>0.37740000000000001</v>
      </c>
      <c r="V228" s="2">
        <v>121</v>
      </c>
    </row>
    <row r="229" spans="1:22" x14ac:dyDescent="0.25">
      <c r="A229" t="s">
        <v>297</v>
      </c>
      <c r="B229" s="1">
        <v>45371</v>
      </c>
      <c r="C229">
        <v>505</v>
      </c>
      <c r="D229" t="s">
        <v>44</v>
      </c>
      <c r="E229" t="s">
        <v>45</v>
      </c>
      <c r="F229" t="s">
        <v>25</v>
      </c>
      <c r="G229" t="s">
        <v>26</v>
      </c>
      <c r="H229" t="s">
        <v>38</v>
      </c>
      <c r="I229" t="s">
        <v>46</v>
      </c>
      <c r="J229" t="s">
        <v>40</v>
      </c>
      <c r="K229">
        <v>1000</v>
      </c>
      <c r="L229">
        <v>9</v>
      </c>
      <c r="M229" s="2">
        <v>68</v>
      </c>
      <c r="N229" s="2">
        <v>31</v>
      </c>
      <c r="O229" s="2">
        <v>31</v>
      </c>
      <c r="P229" s="2">
        <v>6</v>
      </c>
      <c r="Q229" s="3">
        <v>8.8200000000000001E-2</v>
      </c>
      <c r="R229" s="2">
        <v>50</v>
      </c>
      <c r="S229" s="2">
        <v>10</v>
      </c>
      <c r="T229" s="2">
        <v>30</v>
      </c>
      <c r="U229" s="3">
        <v>0.6</v>
      </c>
      <c r="V229" s="2">
        <v>-24</v>
      </c>
    </row>
    <row r="230" spans="1:22" x14ac:dyDescent="0.25">
      <c r="A230" t="s">
        <v>298</v>
      </c>
      <c r="B230" s="1">
        <v>45371</v>
      </c>
      <c r="C230">
        <v>774</v>
      </c>
      <c r="D230" t="s">
        <v>78</v>
      </c>
      <c r="E230" t="s">
        <v>79</v>
      </c>
      <c r="F230" t="s">
        <v>32</v>
      </c>
      <c r="G230" t="s">
        <v>33</v>
      </c>
      <c r="H230" t="s">
        <v>54</v>
      </c>
      <c r="I230" t="s">
        <v>68</v>
      </c>
      <c r="J230" t="s">
        <v>29</v>
      </c>
      <c r="K230">
        <v>542</v>
      </c>
      <c r="L230">
        <v>46</v>
      </c>
      <c r="M230" s="2">
        <v>124</v>
      </c>
      <c r="N230" s="2">
        <v>51</v>
      </c>
      <c r="O230" s="2">
        <v>76</v>
      </c>
      <c r="P230" s="2">
        <v>-16</v>
      </c>
      <c r="Q230" s="3">
        <v>-0.129</v>
      </c>
      <c r="R230" s="2">
        <v>100</v>
      </c>
      <c r="S230" s="2">
        <v>30</v>
      </c>
      <c r="T230" s="2">
        <v>30</v>
      </c>
      <c r="U230" s="3">
        <v>0.3</v>
      </c>
      <c r="V230" s="2">
        <v>-46</v>
      </c>
    </row>
    <row r="231" spans="1:22" x14ac:dyDescent="0.25">
      <c r="A231" t="s">
        <v>299</v>
      </c>
      <c r="B231" s="1">
        <v>45371</v>
      </c>
      <c r="C231">
        <v>503</v>
      </c>
      <c r="D231" t="s">
        <v>71</v>
      </c>
      <c r="E231" t="s">
        <v>53</v>
      </c>
      <c r="F231" t="s">
        <v>25</v>
      </c>
      <c r="G231" t="s">
        <v>26</v>
      </c>
      <c r="H231" t="s">
        <v>27</v>
      </c>
      <c r="I231" t="s">
        <v>28</v>
      </c>
      <c r="J231" t="s">
        <v>29</v>
      </c>
      <c r="K231">
        <v>482</v>
      </c>
      <c r="L231">
        <v>8</v>
      </c>
      <c r="M231" s="2">
        <v>85</v>
      </c>
      <c r="N231" s="2">
        <v>32</v>
      </c>
      <c r="O231" s="2">
        <v>20</v>
      </c>
      <c r="P231" s="2">
        <v>42</v>
      </c>
      <c r="Q231" s="3">
        <v>0.49409999999999998</v>
      </c>
      <c r="R231" s="2">
        <v>50</v>
      </c>
      <c r="S231" s="2">
        <v>20</v>
      </c>
      <c r="T231" s="2">
        <v>30</v>
      </c>
      <c r="U231" s="3">
        <v>0.6</v>
      </c>
      <c r="V231" s="2">
        <v>12</v>
      </c>
    </row>
    <row r="232" spans="1:22" x14ac:dyDescent="0.25">
      <c r="A232" t="s">
        <v>300</v>
      </c>
      <c r="B232" s="1">
        <v>45371</v>
      </c>
      <c r="C232">
        <v>971</v>
      </c>
      <c r="D232" t="s">
        <v>71</v>
      </c>
      <c r="E232" t="s">
        <v>53</v>
      </c>
      <c r="F232" t="s">
        <v>25</v>
      </c>
      <c r="G232" t="s">
        <v>26</v>
      </c>
      <c r="H232" t="s">
        <v>38</v>
      </c>
      <c r="I232" t="s">
        <v>46</v>
      </c>
      <c r="J232" t="s">
        <v>40</v>
      </c>
      <c r="K232">
        <v>572</v>
      </c>
      <c r="L232">
        <v>29</v>
      </c>
      <c r="M232" s="2">
        <v>205</v>
      </c>
      <c r="N232" s="2">
        <v>90</v>
      </c>
      <c r="O232" s="2">
        <v>42</v>
      </c>
      <c r="P232" s="2">
        <v>73</v>
      </c>
      <c r="Q232" s="3">
        <v>0.35610000000000003</v>
      </c>
      <c r="R232" s="2">
        <v>160</v>
      </c>
      <c r="S232" s="2">
        <v>60</v>
      </c>
      <c r="T232" s="2">
        <v>90</v>
      </c>
      <c r="U232" s="3">
        <v>0.5625</v>
      </c>
      <c r="V232" s="2">
        <v>-17</v>
      </c>
    </row>
    <row r="233" spans="1:22" x14ac:dyDescent="0.25">
      <c r="A233" t="s">
        <v>301</v>
      </c>
      <c r="B233" s="1">
        <v>45372</v>
      </c>
      <c r="C233">
        <v>216</v>
      </c>
      <c r="D233" t="s">
        <v>85</v>
      </c>
      <c r="E233" t="s">
        <v>24</v>
      </c>
      <c r="F233" t="s">
        <v>32</v>
      </c>
      <c r="G233" t="s">
        <v>33</v>
      </c>
      <c r="H233" t="s">
        <v>34</v>
      </c>
      <c r="I233" t="s">
        <v>83</v>
      </c>
      <c r="J233" t="s">
        <v>40</v>
      </c>
      <c r="K233">
        <v>503</v>
      </c>
      <c r="L233">
        <v>46</v>
      </c>
      <c r="M233" s="2">
        <v>122</v>
      </c>
      <c r="N233" s="2">
        <v>51</v>
      </c>
      <c r="O233" s="2">
        <v>76</v>
      </c>
      <c r="P233" s="2">
        <v>-5</v>
      </c>
      <c r="Q233" s="3">
        <v>-4.1000000000000002E-2</v>
      </c>
      <c r="R233" s="2">
        <v>110</v>
      </c>
      <c r="S233" s="2">
        <v>40</v>
      </c>
      <c r="T233" s="2">
        <v>30</v>
      </c>
      <c r="U233" s="3">
        <v>0.2727</v>
      </c>
      <c r="V233" s="2">
        <v>-35</v>
      </c>
    </row>
    <row r="234" spans="1:22" x14ac:dyDescent="0.25">
      <c r="A234" t="s">
        <v>302</v>
      </c>
      <c r="B234" s="1">
        <v>45372</v>
      </c>
      <c r="C234">
        <v>702</v>
      </c>
      <c r="D234" t="s">
        <v>65</v>
      </c>
      <c r="E234" t="s">
        <v>53</v>
      </c>
      <c r="F234" t="s">
        <v>25</v>
      </c>
      <c r="G234" t="s">
        <v>33</v>
      </c>
      <c r="H234" t="s">
        <v>54</v>
      </c>
      <c r="I234" t="s">
        <v>72</v>
      </c>
      <c r="J234" t="s">
        <v>29</v>
      </c>
      <c r="K234">
        <v>430</v>
      </c>
      <c r="L234">
        <v>0</v>
      </c>
      <c r="M234" s="2">
        <v>43</v>
      </c>
      <c r="N234" s="2">
        <v>0</v>
      </c>
      <c r="O234" s="2">
        <v>11</v>
      </c>
      <c r="P234" s="2">
        <v>32</v>
      </c>
      <c r="Q234" s="3">
        <v>0.74419999999999997</v>
      </c>
      <c r="R234" s="2">
        <v>30</v>
      </c>
      <c r="S234" s="2">
        <v>0</v>
      </c>
      <c r="T234" s="2">
        <v>30</v>
      </c>
      <c r="U234" s="3">
        <v>1</v>
      </c>
      <c r="V234" s="2">
        <v>2</v>
      </c>
    </row>
    <row r="235" spans="1:22" x14ac:dyDescent="0.25">
      <c r="A235" t="s">
        <v>303</v>
      </c>
      <c r="B235" s="1">
        <v>45372</v>
      </c>
      <c r="C235">
        <v>432</v>
      </c>
      <c r="D235" t="s">
        <v>76</v>
      </c>
      <c r="E235" t="s">
        <v>45</v>
      </c>
      <c r="F235" t="s">
        <v>32</v>
      </c>
      <c r="G235" t="s">
        <v>33</v>
      </c>
      <c r="H235" t="s">
        <v>34</v>
      </c>
      <c r="I235" t="s">
        <v>50</v>
      </c>
      <c r="J235" t="s">
        <v>29</v>
      </c>
      <c r="K235">
        <v>1272</v>
      </c>
      <c r="L235">
        <v>69</v>
      </c>
      <c r="M235" s="2">
        <v>522</v>
      </c>
      <c r="N235" s="2">
        <v>225</v>
      </c>
      <c r="O235" s="2">
        <v>91</v>
      </c>
      <c r="P235" s="2">
        <v>258</v>
      </c>
      <c r="Q235" s="3">
        <v>0.49430000000000002</v>
      </c>
      <c r="R235" s="2">
        <v>580</v>
      </c>
      <c r="S235" s="2">
        <v>260</v>
      </c>
      <c r="T235" s="2">
        <v>230</v>
      </c>
      <c r="U235" s="3">
        <v>0.39660000000000001</v>
      </c>
      <c r="V235" s="2">
        <v>28</v>
      </c>
    </row>
    <row r="236" spans="1:22" x14ac:dyDescent="0.25">
      <c r="A236" t="s">
        <v>304</v>
      </c>
      <c r="B236" s="1">
        <v>45372</v>
      </c>
      <c r="C236">
        <v>347</v>
      </c>
      <c r="D236" t="s">
        <v>99</v>
      </c>
      <c r="E236" t="s">
        <v>79</v>
      </c>
      <c r="F236" t="s">
        <v>32</v>
      </c>
      <c r="G236" t="s">
        <v>33</v>
      </c>
      <c r="H236" t="s">
        <v>54</v>
      </c>
      <c r="I236" t="s">
        <v>68</v>
      </c>
      <c r="J236" t="s">
        <v>29</v>
      </c>
      <c r="K236">
        <v>3385</v>
      </c>
      <c r="L236">
        <v>109</v>
      </c>
      <c r="M236" s="2">
        <v>61</v>
      </c>
      <c r="N236" s="2">
        <v>121</v>
      </c>
      <c r="O236" s="2">
        <v>142</v>
      </c>
      <c r="P236" s="2">
        <v>-202</v>
      </c>
      <c r="Q236" s="3">
        <v>-3.3115000000000001</v>
      </c>
      <c r="R236" s="2">
        <v>50</v>
      </c>
      <c r="S236" s="2">
        <v>110</v>
      </c>
      <c r="T236" s="2">
        <v>-190</v>
      </c>
      <c r="U236" s="3">
        <v>-3.8</v>
      </c>
      <c r="V236" s="2">
        <v>-12</v>
      </c>
    </row>
    <row r="237" spans="1:22" x14ac:dyDescent="0.25">
      <c r="A237" t="s">
        <v>305</v>
      </c>
      <c r="B237" s="1">
        <v>45372</v>
      </c>
      <c r="C237">
        <v>509</v>
      </c>
      <c r="D237" t="s">
        <v>52</v>
      </c>
      <c r="E237" t="s">
        <v>53</v>
      </c>
      <c r="F237" t="s">
        <v>25</v>
      </c>
      <c r="G237" t="s">
        <v>33</v>
      </c>
      <c r="H237" t="s">
        <v>34</v>
      </c>
      <c r="I237" t="s">
        <v>83</v>
      </c>
      <c r="J237" t="s">
        <v>40</v>
      </c>
      <c r="K237">
        <v>694</v>
      </c>
      <c r="L237">
        <v>85</v>
      </c>
      <c r="M237" s="2">
        <v>239</v>
      </c>
      <c r="N237" s="2">
        <v>94</v>
      </c>
      <c r="O237" s="2">
        <v>114</v>
      </c>
      <c r="P237" s="2">
        <v>24</v>
      </c>
      <c r="Q237" s="3">
        <v>0.1004</v>
      </c>
      <c r="R237" s="2">
        <v>260</v>
      </c>
      <c r="S237" s="2">
        <v>110</v>
      </c>
      <c r="T237" s="2">
        <v>40</v>
      </c>
      <c r="U237" s="3">
        <v>0.15379999999999999</v>
      </c>
      <c r="V237" s="2">
        <v>-16</v>
      </c>
    </row>
    <row r="238" spans="1:22" x14ac:dyDescent="0.25">
      <c r="A238" t="s">
        <v>306</v>
      </c>
      <c r="B238" s="1">
        <v>45373</v>
      </c>
      <c r="C238">
        <v>702</v>
      </c>
      <c r="D238" t="s">
        <v>65</v>
      </c>
      <c r="E238" t="s">
        <v>53</v>
      </c>
      <c r="F238" t="s">
        <v>25</v>
      </c>
      <c r="G238" t="s">
        <v>33</v>
      </c>
      <c r="H238" t="s">
        <v>34</v>
      </c>
      <c r="I238" t="s">
        <v>50</v>
      </c>
      <c r="J238" t="s">
        <v>29</v>
      </c>
      <c r="K238">
        <v>240</v>
      </c>
      <c r="L238">
        <v>12</v>
      </c>
      <c r="M238" s="2">
        <v>82</v>
      </c>
      <c r="N238" s="2">
        <v>34</v>
      </c>
      <c r="O238" s="2">
        <v>45</v>
      </c>
      <c r="P238" s="2">
        <v>-3</v>
      </c>
      <c r="Q238" s="3">
        <v>-3.6600000000000001E-2</v>
      </c>
      <c r="R238" s="2">
        <v>100</v>
      </c>
      <c r="S238" s="2">
        <v>40</v>
      </c>
      <c r="T238" s="2">
        <v>30</v>
      </c>
      <c r="U238" s="3">
        <v>0.3</v>
      </c>
      <c r="V238" s="2">
        <v>-33</v>
      </c>
    </row>
    <row r="239" spans="1:22" x14ac:dyDescent="0.25">
      <c r="A239" t="s">
        <v>307</v>
      </c>
      <c r="B239" s="1">
        <v>45373</v>
      </c>
      <c r="C239">
        <v>715</v>
      </c>
      <c r="D239" t="s">
        <v>23</v>
      </c>
      <c r="E239" t="s">
        <v>24</v>
      </c>
      <c r="F239" t="s">
        <v>25</v>
      </c>
      <c r="G239" t="s">
        <v>33</v>
      </c>
      <c r="H239" t="s">
        <v>34</v>
      </c>
      <c r="I239" t="s">
        <v>35</v>
      </c>
      <c r="J239" t="s">
        <v>29</v>
      </c>
      <c r="K239">
        <v>385</v>
      </c>
      <c r="L239">
        <v>21</v>
      </c>
      <c r="M239" s="2">
        <v>126</v>
      </c>
      <c r="N239" s="2">
        <v>56</v>
      </c>
      <c r="O239" s="2">
        <v>55</v>
      </c>
      <c r="P239" s="2">
        <v>15</v>
      </c>
      <c r="Q239" s="3">
        <v>0.11899999999999999</v>
      </c>
      <c r="R239" s="2">
        <v>120</v>
      </c>
      <c r="S239" s="2">
        <v>40</v>
      </c>
      <c r="T239" s="2">
        <v>50</v>
      </c>
      <c r="U239" s="3">
        <v>0.41670000000000001</v>
      </c>
      <c r="V239" s="2">
        <v>-35</v>
      </c>
    </row>
    <row r="240" spans="1:22" x14ac:dyDescent="0.25">
      <c r="A240" t="s">
        <v>308</v>
      </c>
      <c r="B240" s="1">
        <v>45373</v>
      </c>
      <c r="C240">
        <v>815</v>
      </c>
      <c r="D240" t="s">
        <v>37</v>
      </c>
      <c r="E240" t="s">
        <v>24</v>
      </c>
      <c r="F240" t="s">
        <v>32</v>
      </c>
      <c r="G240" t="s">
        <v>33</v>
      </c>
      <c r="H240" t="s">
        <v>34</v>
      </c>
      <c r="I240" t="s">
        <v>50</v>
      </c>
      <c r="J240" t="s">
        <v>29</v>
      </c>
      <c r="K240">
        <v>1150</v>
      </c>
      <c r="L240">
        <v>57</v>
      </c>
      <c r="M240" s="2">
        <v>439</v>
      </c>
      <c r="N240" s="2">
        <v>173</v>
      </c>
      <c r="O240" s="2">
        <v>100</v>
      </c>
      <c r="P240" s="2">
        <v>206</v>
      </c>
      <c r="Q240" s="3">
        <v>0.46920000000000001</v>
      </c>
      <c r="R240" s="2">
        <v>400</v>
      </c>
      <c r="S240" s="2">
        <v>170</v>
      </c>
      <c r="T240" s="2">
        <v>140</v>
      </c>
      <c r="U240" s="3">
        <v>0.35</v>
      </c>
      <c r="V240" s="2">
        <v>66</v>
      </c>
    </row>
    <row r="241" spans="1:22" x14ac:dyDescent="0.25">
      <c r="A241" t="s">
        <v>309</v>
      </c>
      <c r="B241" s="1">
        <v>45373</v>
      </c>
      <c r="C241">
        <v>503</v>
      </c>
      <c r="D241" t="s">
        <v>71</v>
      </c>
      <c r="E241" t="s">
        <v>53</v>
      </c>
      <c r="F241" t="s">
        <v>25</v>
      </c>
      <c r="G241" t="s">
        <v>33</v>
      </c>
      <c r="H241" t="s">
        <v>54</v>
      </c>
      <c r="I241" t="s">
        <v>55</v>
      </c>
      <c r="J241" t="s">
        <v>40</v>
      </c>
      <c r="K241">
        <v>1267</v>
      </c>
      <c r="L241">
        <v>45</v>
      </c>
      <c r="M241" s="2">
        <v>322</v>
      </c>
      <c r="N241" s="2">
        <v>161</v>
      </c>
      <c r="O241" s="2">
        <v>70</v>
      </c>
      <c r="P241" s="2">
        <v>91</v>
      </c>
      <c r="Q241" s="3">
        <v>0.28260000000000002</v>
      </c>
      <c r="R241" s="2">
        <v>290</v>
      </c>
      <c r="S241" s="2">
        <v>140</v>
      </c>
      <c r="T241" s="2">
        <v>110</v>
      </c>
      <c r="U241" s="3">
        <v>0.37930000000000003</v>
      </c>
      <c r="V241" s="2">
        <v>-19</v>
      </c>
    </row>
    <row r="242" spans="1:22" x14ac:dyDescent="0.25">
      <c r="A242" t="s">
        <v>310</v>
      </c>
      <c r="B242" s="1">
        <v>45373</v>
      </c>
      <c r="C242">
        <v>435</v>
      </c>
      <c r="D242" t="s">
        <v>95</v>
      </c>
      <c r="E242" t="s">
        <v>53</v>
      </c>
      <c r="F242" t="s">
        <v>25</v>
      </c>
      <c r="G242" t="s">
        <v>33</v>
      </c>
      <c r="H242" t="s">
        <v>34</v>
      </c>
      <c r="I242" t="s">
        <v>35</v>
      </c>
      <c r="J242" t="s">
        <v>29</v>
      </c>
      <c r="K242">
        <v>1060</v>
      </c>
      <c r="L242">
        <v>21</v>
      </c>
      <c r="M242" s="2">
        <v>160</v>
      </c>
      <c r="N242" s="2">
        <v>69</v>
      </c>
      <c r="O242" s="2">
        <v>42</v>
      </c>
      <c r="P242" s="2">
        <v>58</v>
      </c>
      <c r="Q242" s="3">
        <v>0.36249999999999999</v>
      </c>
      <c r="R242" s="2">
        <v>170</v>
      </c>
      <c r="S242" s="2">
        <v>80</v>
      </c>
      <c r="T242" s="2">
        <v>50</v>
      </c>
      <c r="U242" s="3">
        <v>0.29409999999999997</v>
      </c>
      <c r="V242" s="2">
        <v>8</v>
      </c>
    </row>
    <row r="243" spans="1:22" x14ac:dyDescent="0.25">
      <c r="A243" t="s">
        <v>311</v>
      </c>
      <c r="B243" s="1">
        <v>45374</v>
      </c>
      <c r="C243">
        <v>715</v>
      </c>
      <c r="D243" t="s">
        <v>23</v>
      </c>
      <c r="E243" t="s">
        <v>24</v>
      </c>
      <c r="F243" t="s">
        <v>25</v>
      </c>
      <c r="G243" t="s">
        <v>33</v>
      </c>
      <c r="H243" t="s">
        <v>34</v>
      </c>
      <c r="I243" t="s">
        <v>35</v>
      </c>
      <c r="J243" t="s">
        <v>29</v>
      </c>
      <c r="K243">
        <v>403</v>
      </c>
      <c r="L243">
        <v>24</v>
      </c>
      <c r="M243" s="2">
        <v>145</v>
      </c>
      <c r="N243" s="2">
        <v>65</v>
      </c>
      <c r="O243" s="2">
        <v>58</v>
      </c>
      <c r="P243" s="2">
        <v>22</v>
      </c>
      <c r="Q243" s="3">
        <v>0.1517</v>
      </c>
      <c r="R243" s="2">
        <v>140</v>
      </c>
      <c r="S243" s="2">
        <v>60</v>
      </c>
      <c r="T243" s="2">
        <v>30</v>
      </c>
      <c r="U243" s="3">
        <v>0.21429999999999999</v>
      </c>
      <c r="V243" s="2">
        <v>-8</v>
      </c>
    </row>
    <row r="244" spans="1:22" x14ac:dyDescent="0.25">
      <c r="A244" t="s">
        <v>312</v>
      </c>
      <c r="B244" s="1">
        <v>45375</v>
      </c>
      <c r="C244">
        <v>262</v>
      </c>
      <c r="D244" t="s">
        <v>23</v>
      </c>
      <c r="E244" t="s">
        <v>24</v>
      </c>
      <c r="F244" t="s">
        <v>25</v>
      </c>
      <c r="G244" t="s">
        <v>26</v>
      </c>
      <c r="H244" t="s">
        <v>27</v>
      </c>
      <c r="I244" t="s">
        <v>28</v>
      </c>
      <c r="J244" t="s">
        <v>29</v>
      </c>
      <c r="K244">
        <v>449</v>
      </c>
      <c r="L244">
        <v>14</v>
      </c>
      <c r="M244" s="2">
        <v>120</v>
      </c>
      <c r="N244" s="2">
        <v>46</v>
      </c>
      <c r="O244" s="2">
        <v>37</v>
      </c>
      <c r="P244" s="2">
        <v>45</v>
      </c>
      <c r="Q244" s="3">
        <v>0.375</v>
      </c>
      <c r="R244" s="2">
        <v>70</v>
      </c>
      <c r="S244" s="2">
        <v>20</v>
      </c>
      <c r="T244" s="2">
        <v>40</v>
      </c>
      <c r="U244" s="3">
        <v>0.57140000000000002</v>
      </c>
      <c r="V244" s="2">
        <v>5</v>
      </c>
    </row>
    <row r="245" spans="1:22" x14ac:dyDescent="0.25">
      <c r="A245" t="s">
        <v>313</v>
      </c>
      <c r="B245" s="1">
        <v>45375</v>
      </c>
      <c r="C245">
        <v>405</v>
      </c>
      <c r="D245" t="s">
        <v>148</v>
      </c>
      <c r="E245" t="s">
        <v>45</v>
      </c>
      <c r="F245" t="s">
        <v>25</v>
      </c>
      <c r="G245" t="s">
        <v>26</v>
      </c>
      <c r="H245" t="s">
        <v>38</v>
      </c>
      <c r="I245" t="s">
        <v>39</v>
      </c>
      <c r="J245" t="s">
        <v>40</v>
      </c>
      <c r="K245">
        <v>403</v>
      </c>
      <c r="L245">
        <v>24</v>
      </c>
      <c r="M245" s="2">
        <v>155</v>
      </c>
      <c r="N245" s="2">
        <v>65</v>
      </c>
      <c r="O245" s="2">
        <v>58</v>
      </c>
      <c r="P245" s="2">
        <v>33</v>
      </c>
      <c r="Q245" s="3">
        <v>0.21290000000000001</v>
      </c>
      <c r="R245" s="2">
        <v>130</v>
      </c>
      <c r="S245" s="2">
        <v>60</v>
      </c>
      <c r="T245" s="2">
        <v>20</v>
      </c>
      <c r="U245" s="3">
        <v>0.15379999999999999</v>
      </c>
      <c r="V245" s="2">
        <v>13</v>
      </c>
    </row>
    <row r="246" spans="1:22" x14ac:dyDescent="0.25">
      <c r="A246" t="s">
        <v>314</v>
      </c>
      <c r="B246" s="1">
        <v>45376</v>
      </c>
      <c r="C246">
        <v>351</v>
      </c>
      <c r="D246" t="s">
        <v>78</v>
      </c>
      <c r="E246" t="s">
        <v>79</v>
      </c>
      <c r="F246" t="s">
        <v>32</v>
      </c>
      <c r="G246" t="s">
        <v>26</v>
      </c>
      <c r="H246" t="s">
        <v>27</v>
      </c>
      <c r="I246" t="s">
        <v>59</v>
      </c>
      <c r="J246" t="s">
        <v>29</v>
      </c>
      <c r="K246">
        <v>482</v>
      </c>
      <c r="L246">
        <v>8</v>
      </c>
      <c r="M246" s="2">
        <v>80</v>
      </c>
      <c r="N246" s="2">
        <v>32</v>
      </c>
      <c r="O246" s="2">
        <v>19</v>
      </c>
      <c r="P246" s="2">
        <v>29</v>
      </c>
      <c r="Q246" s="3">
        <v>0.36249999999999999</v>
      </c>
      <c r="R246" s="2">
        <v>80</v>
      </c>
      <c r="S246" s="2">
        <v>30</v>
      </c>
      <c r="T246" s="2">
        <v>40</v>
      </c>
      <c r="U246" s="3">
        <v>0.5</v>
      </c>
      <c r="V246" s="2">
        <v>-11</v>
      </c>
    </row>
    <row r="247" spans="1:22" x14ac:dyDescent="0.25">
      <c r="A247" t="s">
        <v>315</v>
      </c>
      <c r="B247" s="1">
        <v>45376</v>
      </c>
      <c r="C247">
        <v>970</v>
      </c>
      <c r="D247" t="s">
        <v>31</v>
      </c>
      <c r="E247" t="s">
        <v>24</v>
      </c>
      <c r="F247" t="s">
        <v>32</v>
      </c>
      <c r="G247" t="s">
        <v>33</v>
      </c>
      <c r="H247" t="s">
        <v>54</v>
      </c>
      <c r="I247" t="s">
        <v>68</v>
      </c>
      <c r="J247" t="s">
        <v>29</v>
      </c>
      <c r="K247">
        <v>601</v>
      </c>
      <c r="L247">
        <v>15</v>
      </c>
      <c r="M247" s="2">
        <v>133</v>
      </c>
      <c r="N247" s="2">
        <v>54</v>
      </c>
      <c r="O247" s="2">
        <v>26</v>
      </c>
      <c r="P247" s="2">
        <v>53</v>
      </c>
      <c r="Q247" s="3">
        <v>0.39850000000000002</v>
      </c>
      <c r="R247" s="2">
        <v>170</v>
      </c>
      <c r="S247" s="2">
        <v>60</v>
      </c>
      <c r="T247" s="2">
        <v>90</v>
      </c>
      <c r="U247" s="3">
        <v>0.52939999999999998</v>
      </c>
      <c r="V247" s="2">
        <v>-37</v>
      </c>
    </row>
    <row r="248" spans="1:22" x14ac:dyDescent="0.25">
      <c r="A248" t="s">
        <v>316</v>
      </c>
      <c r="B248" s="1">
        <v>45376</v>
      </c>
      <c r="C248">
        <v>715</v>
      </c>
      <c r="D248" t="s">
        <v>23</v>
      </c>
      <c r="E248" t="s">
        <v>24</v>
      </c>
      <c r="F248" t="s">
        <v>25</v>
      </c>
      <c r="G248" t="s">
        <v>33</v>
      </c>
      <c r="H248" t="s">
        <v>54</v>
      </c>
      <c r="I248" t="s">
        <v>68</v>
      </c>
      <c r="J248" t="s">
        <v>29</v>
      </c>
      <c r="K248">
        <v>1079</v>
      </c>
      <c r="L248">
        <v>24</v>
      </c>
      <c r="M248" s="2">
        <v>176</v>
      </c>
      <c r="N248" s="2">
        <v>80</v>
      </c>
      <c r="O248" s="2">
        <v>46</v>
      </c>
      <c r="P248" s="2">
        <v>50</v>
      </c>
      <c r="Q248" s="3">
        <v>0.28410000000000002</v>
      </c>
      <c r="R248" s="2">
        <v>220</v>
      </c>
      <c r="S248" s="2">
        <v>100</v>
      </c>
      <c r="T248" s="2">
        <v>80</v>
      </c>
      <c r="U248" s="3">
        <v>0.36359999999999998</v>
      </c>
      <c r="V248" s="2">
        <v>-30</v>
      </c>
    </row>
    <row r="249" spans="1:22" x14ac:dyDescent="0.25">
      <c r="A249" t="s">
        <v>317</v>
      </c>
      <c r="B249" s="1">
        <v>45377</v>
      </c>
      <c r="C249">
        <v>715</v>
      </c>
      <c r="D249" t="s">
        <v>23</v>
      </c>
      <c r="E249" t="s">
        <v>24</v>
      </c>
      <c r="F249" t="s">
        <v>25</v>
      </c>
      <c r="G249" t="s">
        <v>26</v>
      </c>
      <c r="H249" t="s">
        <v>38</v>
      </c>
      <c r="I249" t="s">
        <v>46</v>
      </c>
      <c r="J249" t="s">
        <v>40</v>
      </c>
      <c r="K249">
        <v>856</v>
      </c>
      <c r="L249">
        <v>8</v>
      </c>
      <c r="M249" s="2">
        <v>83</v>
      </c>
      <c r="N249" s="2">
        <v>31</v>
      </c>
      <c r="O249" s="2">
        <v>20</v>
      </c>
      <c r="P249" s="2">
        <v>40</v>
      </c>
      <c r="Q249" s="3">
        <v>0.4819</v>
      </c>
      <c r="R249" s="2">
        <v>70</v>
      </c>
      <c r="S249" s="2">
        <v>20</v>
      </c>
      <c r="T249" s="2">
        <v>40</v>
      </c>
      <c r="U249" s="3">
        <v>0.57140000000000002</v>
      </c>
      <c r="V249" s="2">
        <v>0</v>
      </c>
    </row>
    <row r="250" spans="1:22" x14ac:dyDescent="0.25">
      <c r="A250" t="s">
        <v>318</v>
      </c>
      <c r="B250" s="1">
        <v>45377</v>
      </c>
      <c r="C250">
        <v>435</v>
      </c>
      <c r="D250" t="s">
        <v>95</v>
      </c>
      <c r="E250" t="s">
        <v>53</v>
      </c>
      <c r="F250" t="s">
        <v>25</v>
      </c>
      <c r="G250" t="s">
        <v>26</v>
      </c>
      <c r="H250" t="s">
        <v>27</v>
      </c>
      <c r="I250" t="s">
        <v>42</v>
      </c>
      <c r="J250" t="s">
        <v>29</v>
      </c>
      <c r="K250">
        <v>244</v>
      </c>
      <c r="L250">
        <v>12</v>
      </c>
      <c r="M250" s="2">
        <v>92</v>
      </c>
      <c r="N250" s="2">
        <v>39</v>
      </c>
      <c r="O250" s="2">
        <v>39</v>
      </c>
      <c r="P250" s="2">
        <v>14</v>
      </c>
      <c r="Q250" s="3">
        <v>0.1522</v>
      </c>
      <c r="R250" s="2">
        <v>40</v>
      </c>
      <c r="S250" s="2">
        <v>10</v>
      </c>
      <c r="T250" s="2">
        <v>20</v>
      </c>
      <c r="U250" s="3">
        <v>0.5</v>
      </c>
      <c r="V250" s="2">
        <v>-6</v>
      </c>
    </row>
    <row r="251" spans="1:22" x14ac:dyDescent="0.25">
      <c r="A251" t="s">
        <v>319</v>
      </c>
      <c r="B251" s="1">
        <v>45377</v>
      </c>
      <c r="C251">
        <v>580</v>
      </c>
      <c r="D251" t="s">
        <v>148</v>
      </c>
      <c r="E251" t="s">
        <v>45</v>
      </c>
      <c r="F251" t="s">
        <v>25</v>
      </c>
      <c r="G251" t="s">
        <v>26</v>
      </c>
      <c r="H251" t="s">
        <v>38</v>
      </c>
      <c r="I251" t="s">
        <v>46</v>
      </c>
      <c r="J251" t="s">
        <v>40</v>
      </c>
      <c r="K251">
        <v>716</v>
      </c>
      <c r="L251">
        <v>95</v>
      </c>
      <c r="M251" s="2">
        <v>250</v>
      </c>
      <c r="N251" s="2">
        <v>105</v>
      </c>
      <c r="O251" s="2">
        <v>125</v>
      </c>
      <c r="P251" s="2">
        <v>20</v>
      </c>
      <c r="Q251" s="3">
        <v>0.08</v>
      </c>
      <c r="R251" s="2">
        <v>230</v>
      </c>
      <c r="S251" s="2">
        <v>90</v>
      </c>
      <c r="T251" s="2">
        <v>30</v>
      </c>
      <c r="U251" s="3">
        <v>0.13039999999999999</v>
      </c>
      <c r="V251" s="2">
        <v>-10</v>
      </c>
    </row>
    <row r="252" spans="1:22" x14ac:dyDescent="0.25">
      <c r="A252" t="s">
        <v>320</v>
      </c>
      <c r="B252" s="1">
        <v>45377</v>
      </c>
      <c r="C252">
        <v>435</v>
      </c>
      <c r="D252" t="s">
        <v>95</v>
      </c>
      <c r="E252" t="s">
        <v>53</v>
      </c>
      <c r="F252" t="s">
        <v>25</v>
      </c>
      <c r="G252" t="s">
        <v>33</v>
      </c>
      <c r="H252" t="s">
        <v>34</v>
      </c>
      <c r="I252" t="s">
        <v>83</v>
      </c>
      <c r="J252" t="s">
        <v>40</v>
      </c>
      <c r="K252">
        <v>601</v>
      </c>
      <c r="L252">
        <v>31</v>
      </c>
      <c r="M252" s="2">
        <v>196</v>
      </c>
      <c r="N252" s="2">
        <v>82</v>
      </c>
      <c r="O252" s="2">
        <v>64</v>
      </c>
      <c r="P252" s="2">
        <v>56</v>
      </c>
      <c r="Q252" s="3">
        <v>0.28570000000000001</v>
      </c>
      <c r="R252" s="2">
        <v>210</v>
      </c>
      <c r="S252" s="2">
        <v>90</v>
      </c>
      <c r="T252" s="2">
        <v>60</v>
      </c>
      <c r="U252" s="3">
        <v>0.28570000000000001</v>
      </c>
      <c r="V252" s="2">
        <v>-4</v>
      </c>
    </row>
    <row r="253" spans="1:22" x14ac:dyDescent="0.25">
      <c r="A253" t="s">
        <v>321</v>
      </c>
      <c r="B253" s="1">
        <v>45378</v>
      </c>
      <c r="C253">
        <v>234</v>
      </c>
      <c r="D253" t="s">
        <v>85</v>
      </c>
      <c r="E253" t="s">
        <v>24</v>
      </c>
      <c r="F253" t="s">
        <v>32</v>
      </c>
      <c r="G253" t="s">
        <v>33</v>
      </c>
      <c r="H253" t="s">
        <v>34</v>
      </c>
      <c r="I253" t="s">
        <v>35</v>
      </c>
      <c r="J253" t="s">
        <v>29</v>
      </c>
      <c r="K253">
        <v>424</v>
      </c>
      <c r="L253">
        <v>17</v>
      </c>
      <c r="M253" s="2">
        <v>135</v>
      </c>
      <c r="N253" s="2">
        <v>54</v>
      </c>
      <c r="O253" s="2">
        <v>44</v>
      </c>
      <c r="P253" s="2">
        <v>43</v>
      </c>
      <c r="Q253" s="3">
        <v>0.31850000000000001</v>
      </c>
      <c r="R253" s="2">
        <v>120</v>
      </c>
      <c r="S253" s="2">
        <v>50</v>
      </c>
      <c r="T253" s="2">
        <v>40</v>
      </c>
      <c r="U253" s="3">
        <v>0.33329999999999999</v>
      </c>
      <c r="V253" s="2">
        <v>3</v>
      </c>
    </row>
    <row r="254" spans="1:22" x14ac:dyDescent="0.25">
      <c r="A254" t="s">
        <v>322</v>
      </c>
      <c r="B254" s="1">
        <v>45379</v>
      </c>
      <c r="C254">
        <v>636</v>
      </c>
      <c r="D254" t="s">
        <v>58</v>
      </c>
      <c r="E254" t="s">
        <v>24</v>
      </c>
      <c r="F254" t="s">
        <v>25</v>
      </c>
      <c r="G254" t="s">
        <v>33</v>
      </c>
      <c r="H254" t="s">
        <v>34</v>
      </c>
      <c r="I254" t="s">
        <v>83</v>
      </c>
      <c r="J254" t="s">
        <v>40</v>
      </c>
      <c r="K254">
        <v>1053</v>
      </c>
      <c r="L254">
        <v>20</v>
      </c>
      <c r="M254" s="2">
        <v>151</v>
      </c>
      <c r="N254" s="2">
        <v>65</v>
      </c>
      <c r="O254" s="2">
        <v>42</v>
      </c>
      <c r="P254" s="2">
        <v>52</v>
      </c>
      <c r="Q254" s="3">
        <v>0.34439999999999998</v>
      </c>
      <c r="R254" s="2">
        <v>130</v>
      </c>
      <c r="S254" s="2">
        <v>50</v>
      </c>
      <c r="T254" s="2">
        <v>70</v>
      </c>
      <c r="U254" s="3">
        <v>0.53849999999999998</v>
      </c>
      <c r="V254" s="2">
        <v>-18</v>
      </c>
    </row>
    <row r="255" spans="1:22" x14ac:dyDescent="0.25">
      <c r="A255" t="s">
        <v>323</v>
      </c>
      <c r="B255" s="1">
        <v>45383</v>
      </c>
      <c r="C255">
        <v>503</v>
      </c>
      <c r="D255" t="s">
        <v>71</v>
      </c>
      <c r="E255" t="s">
        <v>53</v>
      </c>
      <c r="F255" t="s">
        <v>25</v>
      </c>
      <c r="G255" t="s">
        <v>26</v>
      </c>
      <c r="H255" t="s">
        <v>27</v>
      </c>
      <c r="I255" t="s">
        <v>59</v>
      </c>
      <c r="J255" t="s">
        <v>29</v>
      </c>
      <c r="K255">
        <v>690</v>
      </c>
      <c r="L255">
        <v>41</v>
      </c>
      <c r="M255" s="2">
        <v>341</v>
      </c>
      <c r="N255" s="2">
        <v>134</v>
      </c>
      <c r="O255" s="2">
        <v>65</v>
      </c>
      <c r="P255" s="2">
        <v>180</v>
      </c>
      <c r="Q255" s="3">
        <v>0.52790000000000004</v>
      </c>
      <c r="R255" s="2">
        <v>230</v>
      </c>
      <c r="S255" s="2">
        <v>90</v>
      </c>
      <c r="T255" s="2">
        <v>100</v>
      </c>
      <c r="U255" s="3">
        <v>0.43480000000000002</v>
      </c>
      <c r="V255" s="2">
        <v>80</v>
      </c>
    </row>
    <row r="256" spans="1:22" x14ac:dyDescent="0.25">
      <c r="A256" t="s">
        <v>324</v>
      </c>
      <c r="B256" s="1">
        <v>45384</v>
      </c>
      <c r="C256">
        <v>630</v>
      </c>
      <c r="D256" t="s">
        <v>37</v>
      </c>
      <c r="E256" t="s">
        <v>24</v>
      </c>
      <c r="F256" t="s">
        <v>32</v>
      </c>
      <c r="G256" t="s">
        <v>26</v>
      </c>
      <c r="H256" t="s">
        <v>27</v>
      </c>
      <c r="I256" t="s">
        <v>28</v>
      </c>
      <c r="J256" t="s">
        <v>29</v>
      </c>
      <c r="K256">
        <v>601</v>
      </c>
      <c r="L256">
        <v>15</v>
      </c>
      <c r="M256" s="2">
        <v>142</v>
      </c>
      <c r="N256" s="2">
        <v>54</v>
      </c>
      <c r="O256" s="2">
        <v>26</v>
      </c>
      <c r="P256" s="2">
        <v>79</v>
      </c>
      <c r="Q256" s="3">
        <v>0.55630000000000002</v>
      </c>
      <c r="R256" s="2">
        <v>110</v>
      </c>
      <c r="S256" s="2">
        <v>40</v>
      </c>
      <c r="T256" s="2">
        <v>50</v>
      </c>
      <c r="U256" s="3">
        <v>0.45450000000000002</v>
      </c>
      <c r="V256" s="2">
        <v>29</v>
      </c>
    </row>
    <row r="257" spans="1:22" x14ac:dyDescent="0.25">
      <c r="A257" t="s">
        <v>325</v>
      </c>
      <c r="B257" s="1">
        <v>45384</v>
      </c>
      <c r="C257">
        <v>563</v>
      </c>
      <c r="D257" t="s">
        <v>124</v>
      </c>
      <c r="E257" t="s">
        <v>24</v>
      </c>
      <c r="F257" t="s">
        <v>25</v>
      </c>
      <c r="G257" t="s">
        <v>33</v>
      </c>
      <c r="H257" t="s">
        <v>34</v>
      </c>
      <c r="I257" t="s">
        <v>35</v>
      </c>
      <c r="J257" t="s">
        <v>29</v>
      </c>
      <c r="K257">
        <v>846</v>
      </c>
      <c r="L257">
        <v>5</v>
      </c>
      <c r="M257" s="2">
        <v>52</v>
      </c>
      <c r="N257" s="2">
        <v>21</v>
      </c>
      <c r="O257" s="2">
        <v>16</v>
      </c>
      <c r="P257" s="2">
        <v>15</v>
      </c>
      <c r="Q257" s="3">
        <v>0.28849999999999998</v>
      </c>
      <c r="R257" s="2">
        <v>40</v>
      </c>
      <c r="S257" s="2">
        <v>10</v>
      </c>
      <c r="T257" s="2">
        <v>30</v>
      </c>
      <c r="U257" s="3">
        <v>0.75</v>
      </c>
      <c r="V257" s="2">
        <v>-15</v>
      </c>
    </row>
    <row r="258" spans="1:22" x14ac:dyDescent="0.25">
      <c r="A258" t="s">
        <v>326</v>
      </c>
      <c r="B258" s="1">
        <v>45384</v>
      </c>
      <c r="C258">
        <v>608</v>
      </c>
      <c r="D258" t="s">
        <v>23</v>
      </c>
      <c r="E258" t="s">
        <v>24</v>
      </c>
      <c r="F258" t="s">
        <v>25</v>
      </c>
      <c r="G258" t="s">
        <v>33</v>
      </c>
      <c r="H258" t="s">
        <v>54</v>
      </c>
      <c r="I258" t="s">
        <v>68</v>
      </c>
      <c r="J258" t="s">
        <v>29</v>
      </c>
      <c r="K258">
        <v>1055</v>
      </c>
      <c r="L258">
        <v>24</v>
      </c>
      <c r="M258" s="2">
        <v>174</v>
      </c>
      <c r="N258" s="2">
        <v>80</v>
      </c>
      <c r="O258" s="2">
        <v>46</v>
      </c>
      <c r="P258" s="2">
        <v>48</v>
      </c>
      <c r="Q258" s="3">
        <v>0.27589999999999998</v>
      </c>
      <c r="R258" s="2">
        <v>250</v>
      </c>
      <c r="S258" s="2">
        <v>110</v>
      </c>
      <c r="T258" s="2">
        <v>120</v>
      </c>
      <c r="U258" s="3">
        <v>0.48</v>
      </c>
      <c r="V258" s="2">
        <v>-72</v>
      </c>
    </row>
    <row r="259" spans="1:22" x14ac:dyDescent="0.25">
      <c r="A259" t="s">
        <v>327</v>
      </c>
      <c r="B259" s="1">
        <v>45385</v>
      </c>
      <c r="C259">
        <v>515</v>
      </c>
      <c r="D259" t="s">
        <v>124</v>
      </c>
      <c r="E259" t="s">
        <v>24</v>
      </c>
      <c r="F259" t="s">
        <v>25</v>
      </c>
      <c r="G259" t="s">
        <v>33</v>
      </c>
      <c r="H259" t="s">
        <v>54</v>
      </c>
      <c r="I259" t="s">
        <v>68</v>
      </c>
      <c r="J259" t="s">
        <v>29</v>
      </c>
      <c r="K259">
        <v>807</v>
      </c>
      <c r="L259">
        <v>6</v>
      </c>
      <c r="M259" s="2">
        <v>62</v>
      </c>
      <c r="N259" s="2">
        <v>23</v>
      </c>
      <c r="O259" s="2">
        <v>18</v>
      </c>
      <c r="P259" s="2">
        <v>25</v>
      </c>
      <c r="Q259" s="3">
        <v>0.4032</v>
      </c>
      <c r="R259" s="2">
        <v>70</v>
      </c>
      <c r="S259" s="2">
        <v>20</v>
      </c>
      <c r="T259" s="2">
        <v>40</v>
      </c>
      <c r="U259" s="3">
        <v>0.57140000000000002</v>
      </c>
      <c r="V259" s="2">
        <v>-15</v>
      </c>
    </row>
    <row r="260" spans="1:22" x14ac:dyDescent="0.25">
      <c r="A260" t="s">
        <v>328</v>
      </c>
      <c r="B260" s="1">
        <v>45385</v>
      </c>
      <c r="C260">
        <v>303</v>
      </c>
      <c r="D260" t="s">
        <v>31</v>
      </c>
      <c r="E260" t="s">
        <v>24</v>
      </c>
      <c r="F260" t="s">
        <v>32</v>
      </c>
      <c r="G260" t="s">
        <v>33</v>
      </c>
      <c r="H260" t="s">
        <v>54</v>
      </c>
      <c r="I260" t="s">
        <v>55</v>
      </c>
      <c r="J260" t="s">
        <v>40</v>
      </c>
      <c r="K260">
        <v>659</v>
      </c>
      <c r="L260">
        <v>24</v>
      </c>
      <c r="M260" s="2">
        <v>189</v>
      </c>
      <c r="N260" s="2">
        <v>75</v>
      </c>
      <c r="O260" s="2">
        <v>56</v>
      </c>
      <c r="P260" s="2">
        <v>58</v>
      </c>
      <c r="Q260" s="3">
        <v>0.30690000000000001</v>
      </c>
      <c r="R260" s="2">
        <v>240</v>
      </c>
      <c r="S260" s="2">
        <v>90</v>
      </c>
      <c r="T260" s="2">
        <v>100</v>
      </c>
      <c r="U260" s="3">
        <v>0.41670000000000001</v>
      </c>
      <c r="V260" s="2">
        <v>-42</v>
      </c>
    </row>
    <row r="261" spans="1:22" x14ac:dyDescent="0.25">
      <c r="A261" t="s">
        <v>329</v>
      </c>
      <c r="B261" s="1">
        <v>45386</v>
      </c>
      <c r="C261">
        <v>959</v>
      </c>
      <c r="D261" t="s">
        <v>135</v>
      </c>
      <c r="E261" t="s">
        <v>79</v>
      </c>
      <c r="F261" t="s">
        <v>25</v>
      </c>
      <c r="G261" t="s">
        <v>33</v>
      </c>
      <c r="H261" t="s">
        <v>54</v>
      </c>
      <c r="I261" t="s">
        <v>68</v>
      </c>
      <c r="J261" t="s">
        <v>29</v>
      </c>
      <c r="K261">
        <v>606</v>
      </c>
      <c r="L261">
        <v>54</v>
      </c>
      <c r="M261" s="2">
        <v>153</v>
      </c>
      <c r="N261" s="2">
        <v>60</v>
      </c>
      <c r="O261" s="2">
        <v>83</v>
      </c>
      <c r="P261" s="2">
        <v>1</v>
      </c>
      <c r="Q261" s="3">
        <v>6.4999999999999997E-3</v>
      </c>
      <c r="R261" s="2">
        <v>130</v>
      </c>
      <c r="S261" s="2">
        <v>40</v>
      </c>
      <c r="T261" s="2">
        <v>40</v>
      </c>
      <c r="U261" s="3">
        <v>0.30769999999999997</v>
      </c>
      <c r="V261" s="2">
        <v>-39</v>
      </c>
    </row>
    <row r="262" spans="1:22" x14ac:dyDescent="0.25">
      <c r="A262" t="s">
        <v>330</v>
      </c>
      <c r="B262" s="1">
        <v>45386</v>
      </c>
      <c r="C262">
        <v>754</v>
      </c>
      <c r="D262" t="s">
        <v>117</v>
      </c>
      <c r="E262" t="s">
        <v>79</v>
      </c>
      <c r="F262" t="s">
        <v>32</v>
      </c>
      <c r="G262" t="s">
        <v>33</v>
      </c>
      <c r="H262" t="s">
        <v>34</v>
      </c>
      <c r="I262" t="s">
        <v>50</v>
      </c>
      <c r="J262" t="s">
        <v>29</v>
      </c>
      <c r="K262">
        <v>817</v>
      </c>
      <c r="L262">
        <v>29</v>
      </c>
      <c r="M262" s="2">
        <v>221</v>
      </c>
      <c r="N262" s="2">
        <v>88</v>
      </c>
      <c r="O262" s="2">
        <v>60</v>
      </c>
      <c r="P262" s="2">
        <v>73</v>
      </c>
      <c r="Q262" s="3">
        <v>0.33029999999999998</v>
      </c>
      <c r="R262" s="2">
        <v>190</v>
      </c>
      <c r="S262" s="2">
        <v>70</v>
      </c>
      <c r="T262" s="2">
        <v>80</v>
      </c>
      <c r="U262" s="3">
        <v>0.42109999999999997</v>
      </c>
      <c r="V262" s="2">
        <v>-7</v>
      </c>
    </row>
    <row r="263" spans="1:22" x14ac:dyDescent="0.25">
      <c r="A263" t="s">
        <v>331</v>
      </c>
      <c r="B263" s="1">
        <v>45386</v>
      </c>
      <c r="C263">
        <v>857</v>
      </c>
      <c r="D263" t="s">
        <v>78</v>
      </c>
      <c r="E263" t="s">
        <v>79</v>
      </c>
      <c r="F263" t="s">
        <v>32</v>
      </c>
      <c r="G263" t="s">
        <v>33</v>
      </c>
      <c r="H263" t="s">
        <v>54</v>
      </c>
      <c r="I263" t="s">
        <v>101</v>
      </c>
      <c r="J263" t="s">
        <v>29</v>
      </c>
      <c r="K263">
        <v>1319</v>
      </c>
      <c r="L263">
        <v>42</v>
      </c>
      <c r="M263" s="2">
        <v>326</v>
      </c>
      <c r="N263" s="2">
        <v>153</v>
      </c>
      <c r="O263" s="2">
        <v>66</v>
      </c>
      <c r="P263" s="2">
        <v>129</v>
      </c>
      <c r="Q263" s="3">
        <v>0.3957</v>
      </c>
      <c r="R263" s="2">
        <v>290</v>
      </c>
      <c r="S263" s="2">
        <v>150</v>
      </c>
      <c r="T263" s="2">
        <v>80</v>
      </c>
      <c r="U263" s="3">
        <v>0.27589999999999998</v>
      </c>
      <c r="V263" s="2">
        <v>49</v>
      </c>
    </row>
    <row r="264" spans="1:22" x14ac:dyDescent="0.25">
      <c r="A264" t="s">
        <v>332</v>
      </c>
      <c r="B264" s="1">
        <v>45387</v>
      </c>
      <c r="C264">
        <v>509</v>
      </c>
      <c r="D264" t="s">
        <v>52</v>
      </c>
      <c r="E264" t="s">
        <v>53</v>
      </c>
      <c r="F264" t="s">
        <v>25</v>
      </c>
      <c r="G264" t="s">
        <v>26</v>
      </c>
      <c r="H264" t="s">
        <v>27</v>
      </c>
      <c r="I264" t="s">
        <v>59</v>
      </c>
      <c r="J264" t="s">
        <v>29</v>
      </c>
      <c r="K264">
        <v>627</v>
      </c>
      <c r="L264">
        <v>49</v>
      </c>
      <c r="M264" s="2">
        <v>140</v>
      </c>
      <c r="N264" s="2">
        <v>55</v>
      </c>
      <c r="O264" s="2">
        <v>79</v>
      </c>
      <c r="P264" s="2">
        <v>-4</v>
      </c>
      <c r="Q264" s="3">
        <v>-2.86E-2</v>
      </c>
      <c r="R264" s="2">
        <v>90</v>
      </c>
      <c r="S264" s="2">
        <v>40</v>
      </c>
      <c r="T264" s="2">
        <v>-10</v>
      </c>
      <c r="U264" s="3">
        <v>-0.1111</v>
      </c>
      <c r="V264" s="2">
        <v>6</v>
      </c>
    </row>
    <row r="265" spans="1:22" x14ac:dyDescent="0.25">
      <c r="A265" t="s">
        <v>333</v>
      </c>
      <c r="B265" s="1">
        <v>45387</v>
      </c>
      <c r="C265">
        <v>970</v>
      </c>
      <c r="D265" t="s">
        <v>31</v>
      </c>
      <c r="E265" t="s">
        <v>24</v>
      </c>
      <c r="F265" t="s">
        <v>32</v>
      </c>
      <c r="G265" t="s">
        <v>33</v>
      </c>
      <c r="H265" t="s">
        <v>34</v>
      </c>
      <c r="I265" t="s">
        <v>83</v>
      </c>
      <c r="J265" t="s">
        <v>40</v>
      </c>
      <c r="K265">
        <v>984</v>
      </c>
      <c r="L265">
        <v>22</v>
      </c>
      <c r="M265" s="2">
        <v>198</v>
      </c>
      <c r="N265" s="2">
        <v>81</v>
      </c>
      <c r="O265" s="2">
        <v>33</v>
      </c>
      <c r="P265" s="2">
        <v>84</v>
      </c>
      <c r="Q265" s="3">
        <v>0.42420000000000002</v>
      </c>
      <c r="R265" s="2">
        <v>190</v>
      </c>
      <c r="S265" s="2">
        <v>80</v>
      </c>
      <c r="T265" s="2">
        <v>80</v>
      </c>
      <c r="U265" s="3">
        <v>0.42109999999999997</v>
      </c>
      <c r="V265" s="2">
        <v>4</v>
      </c>
    </row>
    <row r="266" spans="1:22" x14ac:dyDescent="0.25">
      <c r="A266" t="s">
        <v>334</v>
      </c>
      <c r="B266" s="1">
        <v>45387</v>
      </c>
      <c r="C266">
        <v>971</v>
      </c>
      <c r="D266" t="s">
        <v>71</v>
      </c>
      <c r="E266" t="s">
        <v>53</v>
      </c>
      <c r="F266" t="s">
        <v>25</v>
      </c>
      <c r="G266" t="s">
        <v>33</v>
      </c>
      <c r="H266" t="s">
        <v>54</v>
      </c>
      <c r="I266" t="s">
        <v>55</v>
      </c>
      <c r="J266" t="s">
        <v>40</v>
      </c>
      <c r="K266">
        <v>1283</v>
      </c>
      <c r="L266">
        <v>50</v>
      </c>
      <c r="M266" s="2">
        <v>387</v>
      </c>
      <c r="N266" s="2">
        <v>181</v>
      </c>
      <c r="O266" s="2">
        <v>74</v>
      </c>
      <c r="P266" s="2">
        <v>160</v>
      </c>
      <c r="Q266" s="3">
        <v>0.41339999999999999</v>
      </c>
      <c r="R266" s="2">
        <v>350</v>
      </c>
      <c r="S266" s="2">
        <v>170</v>
      </c>
      <c r="T266" s="2">
        <v>120</v>
      </c>
      <c r="U266" s="3">
        <v>0.34289999999999998</v>
      </c>
      <c r="V266" s="2">
        <v>40</v>
      </c>
    </row>
    <row r="267" spans="1:22" x14ac:dyDescent="0.25">
      <c r="A267" t="s">
        <v>335</v>
      </c>
      <c r="B267" s="1">
        <v>45387</v>
      </c>
      <c r="C267">
        <v>253</v>
      </c>
      <c r="D267" t="s">
        <v>52</v>
      </c>
      <c r="E267" t="s">
        <v>53</v>
      </c>
      <c r="F267" t="s">
        <v>25</v>
      </c>
      <c r="G267" t="s">
        <v>33</v>
      </c>
      <c r="H267" t="s">
        <v>34</v>
      </c>
      <c r="I267" t="s">
        <v>50</v>
      </c>
      <c r="J267" t="s">
        <v>29</v>
      </c>
      <c r="K267">
        <v>446</v>
      </c>
      <c r="L267">
        <v>20</v>
      </c>
      <c r="M267" s="2">
        <v>166</v>
      </c>
      <c r="N267" s="2">
        <v>63</v>
      </c>
      <c r="O267" s="2">
        <v>43</v>
      </c>
      <c r="P267" s="2">
        <v>74</v>
      </c>
      <c r="Q267" s="3">
        <v>0.44579999999999997</v>
      </c>
      <c r="R267" s="2">
        <v>180</v>
      </c>
      <c r="S267" s="2">
        <v>70</v>
      </c>
      <c r="T267" s="2">
        <v>70</v>
      </c>
      <c r="U267" s="3">
        <v>0.38890000000000002</v>
      </c>
      <c r="V267" s="2">
        <v>4</v>
      </c>
    </row>
    <row r="268" spans="1:22" x14ac:dyDescent="0.25">
      <c r="A268" t="s">
        <v>336</v>
      </c>
      <c r="B268" s="1">
        <v>45387</v>
      </c>
      <c r="C268">
        <v>775</v>
      </c>
      <c r="D268" t="s">
        <v>65</v>
      </c>
      <c r="E268" t="s">
        <v>53</v>
      </c>
      <c r="F268" t="s">
        <v>25</v>
      </c>
      <c r="G268" t="s">
        <v>26</v>
      </c>
      <c r="H268" t="s">
        <v>27</v>
      </c>
      <c r="I268" t="s">
        <v>28</v>
      </c>
      <c r="J268" t="s">
        <v>29</v>
      </c>
      <c r="K268">
        <v>1691</v>
      </c>
      <c r="L268">
        <v>75</v>
      </c>
      <c r="M268" s="2">
        <v>567</v>
      </c>
      <c r="N268" s="2">
        <v>228</v>
      </c>
      <c r="O268" s="2">
        <v>108</v>
      </c>
      <c r="P268" s="2">
        <v>291</v>
      </c>
      <c r="Q268" s="3">
        <v>0.51319999999999999</v>
      </c>
      <c r="R268" s="2">
        <v>380</v>
      </c>
      <c r="S268" s="2">
        <v>160</v>
      </c>
      <c r="T268" s="2">
        <v>140</v>
      </c>
      <c r="U268" s="3">
        <v>0.36840000000000001</v>
      </c>
      <c r="V268" s="2">
        <v>151</v>
      </c>
    </row>
    <row r="269" spans="1:22" x14ac:dyDescent="0.25">
      <c r="A269" t="s">
        <v>337</v>
      </c>
      <c r="B269" s="1">
        <v>45387</v>
      </c>
      <c r="C269">
        <v>949</v>
      </c>
      <c r="D269" t="s">
        <v>62</v>
      </c>
      <c r="E269" t="s">
        <v>53</v>
      </c>
      <c r="F269" t="s">
        <v>32</v>
      </c>
      <c r="G269" t="s">
        <v>33</v>
      </c>
      <c r="H269" t="s">
        <v>54</v>
      </c>
      <c r="I269" t="s">
        <v>72</v>
      </c>
      <c r="J269" t="s">
        <v>29</v>
      </c>
      <c r="K269">
        <v>1820</v>
      </c>
      <c r="L269">
        <v>70</v>
      </c>
      <c r="M269" s="2">
        <v>534</v>
      </c>
      <c r="N269" s="2">
        <v>250</v>
      </c>
      <c r="O269" s="2">
        <v>94</v>
      </c>
      <c r="P269" s="2">
        <v>233</v>
      </c>
      <c r="Q269" s="3">
        <v>0.43630000000000002</v>
      </c>
      <c r="R269" s="2">
        <v>480</v>
      </c>
      <c r="S269" s="2">
        <v>240</v>
      </c>
      <c r="T269" s="2">
        <v>160</v>
      </c>
      <c r="U269" s="3">
        <v>0.33329999999999999</v>
      </c>
      <c r="V269" s="2">
        <v>73</v>
      </c>
    </row>
    <row r="270" spans="1:22" x14ac:dyDescent="0.25">
      <c r="A270" t="s">
        <v>338</v>
      </c>
      <c r="B270" s="1">
        <v>45388</v>
      </c>
      <c r="C270">
        <v>303</v>
      </c>
      <c r="D270" t="s">
        <v>31</v>
      </c>
      <c r="E270" t="s">
        <v>24</v>
      </c>
      <c r="F270" t="s">
        <v>32</v>
      </c>
      <c r="G270" t="s">
        <v>26</v>
      </c>
      <c r="H270" t="s">
        <v>38</v>
      </c>
      <c r="I270" t="s">
        <v>46</v>
      </c>
      <c r="J270" t="s">
        <v>40</v>
      </c>
      <c r="K270">
        <v>509</v>
      </c>
      <c r="L270">
        <v>47</v>
      </c>
      <c r="M270" s="2">
        <v>125</v>
      </c>
      <c r="N270" s="2">
        <v>52</v>
      </c>
      <c r="O270" s="2">
        <v>77</v>
      </c>
      <c r="P270" s="2">
        <v>-4</v>
      </c>
      <c r="Q270" s="3">
        <v>-3.2000000000000001E-2</v>
      </c>
      <c r="R270" s="2">
        <v>110</v>
      </c>
      <c r="S270" s="2">
        <v>40</v>
      </c>
      <c r="T270" s="2">
        <v>10</v>
      </c>
      <c r="U270" s="3">
        <v>9.0899999999999995E-2</v>
      </c>
      <c r="V270" s="2">
        <v>-14</v>
      </c>
    </row>
    <row r="271" spans="1:22" x14ac:dyDescent="0.25">
      <c r="A271" t="s">
        <v>339</v>
      </c>
      <c r="B271" s="1">
        <v>45388</v>
      </c>
      <c r="C271">
        <v>772</v>
      </c>
      <c r="D271" t="s">
        <v>117</v>
      </c>
      <c r="E271" t="s">
        <v>79</v>
      </c>
      <c r="F271" t="s">
        <v>32</v>
      </c>
      <c r="G271" t="s">
        <v>33</v>
      </c>
      <c r="H271" t="s">
        <v>34</v>
      </c>
      <c r="I271" t="s">
        <v>83</v>
      </c>
      <c r="J271" t="s">
        <v>40</v>
      </c>
      <c r="K271">
        <v>666</v>
      </c>
      <c r="L271">
        <v>31</v>
      </c>
      <c r="M271" s="2">
        <v>245</v>
      </c>
      <c r="N271" s="2">
        <v>102</v>
      </c>
      <c r="O271" s="2">
        <v>54</v>
      </c>
      <c r="P271" s="2">
        <v>89</v>
      </c>
      <c r="Q271" s="3">
        <v>0.36330000000000001</v>
      </c>
      <c r="R271" s="2">
        <v>220</v>
      </c>
      <c r="S271" s="2">
        <v>90</v>
      </c>
      <c r="T271" s="2">
        <v>90</v>
      </c>
      <c r="U271" s="3">
        <v>0.40910000000000002</v>
      </c>
      <c r="V271" s="2">
        <v>-1</v>
      </c>
    </row>
    <row r="272" spans="1:22" x14ac:dyDescent="0.25">
      <c r="A272" t="s">
        <v>340</v>
      </c>
      <c r="B272" s="1">
        <v>45388</v>
      </c>
      <c r="C272">
        <v>330</v>
      </c>
      <c r="D272" t="s">
        <v>85</v>
      </c>
      <c r="E272" t="s">
        <v>24</v>
      </c>
      <c r="F272" t="s">
        <v>32</v>
      </c>
      <c r="G272" t="s">
        <v>26</v>
      </c>
      <c r="H272" t="s">
        <v>27</v>
      </c>
      <c r="I272" t="s">
        <v>28</v>
      </c>
      <c r="J272" t="s">
        <v>29</v>
      </c>
      <c r="K272">
        <v>798</v>
      </c>
      <c r="L272">
        <v>25</v>
      </c>
      <c r="M272" s="2">
        <v>197</v>
      </c>
      <c r="N272" s="2">
        <v>78</v>
      </c>
      <c r="O272" s="2">
        <v>57</v>
      </c>
      <c r="P272" s="2">
        <v>62</v>
      </c>
      <c r="Q272" s="3">
        <v>0.31469999999999998</v>
      </c>
      <c r="R272" s="2">
        <v>160</v>
      </c>
      <c r="S272" s="2">
        <v>60</v>
      </c>
      <c r="T272" s="2">
        <v>60</v>
      </c>
      <c r="U272" s="3">
        <v>0.375</v>
      </c>
      <c r="V272" s="2">
        <v>2</v>
      </c>
    </row>
    <row r="273" spans="1:22" x14ac:dyDescent="0.25">
      <c r="A273" t="s">
        <v>341</v>
      </c>
      <c r="B273" s="1">
        <v>45388</v>
      </c>
      <c r="C273">
        <v>262</v>
      </c>
      <c r="D273" t="s">
        <v>23</v>
      </c>
      <c r="E273" t="s">
        <v>24</v>
      </c>
      <c r="F273" t="s">
        <v>25</v>
      </c>
      <c r="G273" t="s">
        <v>33</v>
      </c>
      <c r="H273" t="s">
        <v>54</v>
      </c>
      <c r="I273" t="s">
        <v>68</v>
      </c>
      <c r="J273" t="s">
        <v>29</v>
      </c>
      <c r="K273">
        <v>1079</v>
      </c>
      <c r="L273">
        <v>24</v>
      </c>
      <c r="M273" s="2">
        <v>188</v>
      </c>
      <c r="N273" s="2">
        <v>80</v>
      </c>
      <c r="O273" s="2">
        <v>46</v>
      </c>
      <c r="P273" s="2">
        <v>74</v>
      </c>
      <c r="Q273" s="3">
        <v>0.39360000000000001</v>
      </c>
      <c r="R273" s="2">
        <v>220</v>
      </c>
      <c r="S273" s="2">
        <v>100</v>
      </c>
      <c r="T273" s="2">
        <v>80</v>
      </c>
      <c r="U273" s="3">
        <v>0.36359999999999998</v>
      </c>
      <c r="V273" s="2">
        <v>-6</v>
      </c>
    </row>
    <row r="274" spans="1:22" x14ac:dyDescent="0.25">
      <c r="A274" t="s">
        <v>342</v>
      </c>
      <c r="B274" s="1">
        <v>45389</v>
      </c>
      <c r="C274">
        <v>603</v>
      </c>
      <c r="D274" t="s">
        <v>109</v>
      </c>
      <c r="E274" t="s">
        <v>79</v>
      </c>
      <c r="F274" t="s">
        <v>25</v>
      </c>
      <c r="G274" t="s">
        <v>33</v>
      </c>
      <c r="H274" t="s">
        <v>54</v>
      </c>
      <c r="I274" t="s">
        <v>68</v>
      </c>
      <c r="J274" t="s">
        <v>29</v>
      </c>
      <c r="K274">
        <v>325</v>
      </c>
      <c r="L274">
        <v>40</v>
      </c>
      <c r="M274" s="2">
        <v>113</v>
      </c>
      <c r="N274" s="2">
        <v>44</v>
      </c>
      <c r="O274" s="2">
        <v>70</v>
      </c>
      <c r="P274" s="2">
        <v>-12</v>
      </c>
      <c r="Q274" s="3">
        <v>-0.1062</v>
      </c>
      <c r="R274" s="2">
        <v>100</v>
      </c>
      <c r="S274" s="2">
        <v>40</v>
      </c>
      <c r="T274" s="2">
        <v>10</v>
      </c>
      <c r="U274" s="3">
        <v>0.1</v>
      </c>
      <c r="V274" s="2">
        <v>-22</v>
      </c>
    </row>
    <row r="275" spans="1:22" x14ac:dyDescent="0.25">
      <c r="A275" t="s">
        <v>343</v>
      </c>
      <c r="B275" s="1">
        <v>45389</v>
      </c>
      <c r="C275">
        <v>352</v>
      </c>
      <c r="D275" t="s">
        <v>117</v>
      </c>
      <c r="E275" t="s">
        <v>79</v>
      </c>
      <c r="F275" t="s">
        <v>32</v>
      </c>
      <c r="G275" t="s">
        <v>26</v>
      </c>
      <c r="H275" t="s">
        <v>27</v>
      </c>
      <c r="I275" t="s">
        <v>28</v>
      </c>
      <c r="J275" t="s">
        <v>29</v>
      </c>
      <c r="K275">
        <v>875</v>
      </c>
      <c r="L275">
        <v>7</v>
      </c>
      <c r="M275" s="2">
        <v>70</v>
      </c>
      <c r="N275" s="2">
        <v>28</v>
      </c>
      <c r="O275" s="2">
        <v>19</v>
      </c>
      <c r="P275" s="2">
        <v>23</v>
      </c>
      <c r="Q275" s="3">
        <v>0.3286</v>
      </c>
      <c r="R275" s="2">
        <v>70</v>
      </c>
      <c r="S275" s="2">
        <v>20</v>
      </c>
      <c r="T275" s="2">
        <v>40</v>
      </c>
      <c r="U275" s="3">
        <v>0.57140000000000002</v>
      </c>
      <c r="V275" s="2">
        <v>-17</v>
      </c>
    </row>
    <row r="276" spans="1:22" x14ac:dyDescent="0.25">
      <c r="A276" t="s">
        <v>344</v>
      </c>
      <c r="B276" s="1">
        <v>45389</v>
      </c>
      <c r="C276">
        <v>956</v>
      </c>
      <c r="D276" t="s">
        <v>76</v>
      </c>
      <c r="E276" t="s">
        <v>45</v>
      </c>
      <c r="F276" t="s">
        <v>32</v>
      </c>
      <c r="G276" t="s">
        <v>33</v>
      </c>
      <c r="H276" t="s">
        <v>34</v>
      </c>
      <c r="I276" t="s">
        <v>50</v>
      </c>
      <c r="J276" t="s">
        <v>29</v>
      </c>
      <c r="K276">
        <v>1272</v>
      </c>
      <c r="L276">
        <v>69</v>
      </c>
      <c r="M276" s="2">
        <v>490</v>
      </c>
      <c r="N276" s="2">
        <v>225</v>
      </c>
      <c r="O276" s="2">
        <v>91</v>
      </c>
      <c r="P276" s="2">
        <v>174</v>
      </c>
      <c r="Q276" s="3">
        <v>0.35510000000000003</v>
      </c>
      <c r="R276" s="2">
        <v>580</v>
      </c>
      <c r="S276" s="2">
        <v>260</v>
      </c>
      <c r="T276" s="2">
        <v>230</v>
      </c>
      <c r="U276" s="3">
        <v>0.39660000000000001</v>
      </c>
      <c r="V276" s="2">
        <v>-56</v>
      </c>
    </row>
    <row r="277" spans="1:22" x14ac:dyDescent="0.25">
      <c r="A277" t="s">
        <v>345</v>
      </c>
      <c r="B277" s="1">
        <v>45389</v>
      </c>
      <c r="C277">
        <v>951</v>
      </c>
      <c r="D277" t="s">
        <v>62</v>
      </c>
      <c r="E277" t="s">
        <v>53</v>
      </c>
      <c r="F277" t="s">
        <v>32</v>
      </c>
      <c r="G277" t="s">
        <v>33</v>
      </c>
      <c r="H277" t="s">
        <v>34</v>
      </c>
      <c r="I277" t="s">
        <v>83</v>
      </c>
      <c r="J277" t="s">
        <v>40</v>
      </c>
      <c r="K277">
        <v>4216</v>
      </c>
      <c r="L277">
        <v>73</v>
      </c>
      <c r="M277" s="2">
        <v>205</v>
      </c>
      <c r="N277" s="2">
        <v>224</v>
      </c>
      <c r="O277" s="2">
        <v>117</v>
      </c>
      <c r="P277" s="2">
        <v>-221</v>
      </c>
      <c r="Q277" s="3">
        <v>-1.0780000000000001</v>
      </c>
      <c r="R277" s="2">
        <v>220</v>
      </c>
      <c r="S277" s="2">
        <v>260</v>
      </c>
      <c r="T277" s="2">
        <v>-150</v>
      </c>
      <c r="U277" s="3">
        <v>-0.68179999999999996</v>
      </c>
      <c r="V277" s="2">
        <v>-71</v>
      </c>
    </row>
    <row r="278" spans="1:22" x14ac:dyDescent="0.25">
      <c r="A278" t="s">
        <v>346</v>
      </c>
      <c r="B278" s="1">
        <v>45390</v>
      </c>
      <c r="C278">
        <v>580</v>
      </c>
      <c r="D278" t="s">
        <v>148</v>
      </c>
      <c r="E278" t="s">
        <v>45</v>
      </c>
      <c r="F278" t="s">
        <v>25</v>
      </c>
      <c r="G278" t="s">
        <v>26</v>
      </c>
      <c r="H278" t="s">
        <v>38</v>
      </c>
      <c r="I278" t="s">
        <v>39</v>
      </c>
      <c r="J278" t="s">
        <v>40</v>
      </c>
      <c r="K278">
        <v>391</v>
      </c>
      <c r="L278">
        <v>20</v>
      </c>
      <c r="M278" s="2">
        <v>129</v>
      </c>
      <c r="N278" s="2">
        <v>54</v>
      </c>
      <c r="O278" s="2">
        <v>54</v>
      </c>
      <c r="P278" s="2">
        <v>19</v>
      </c>
      <c r="Q278" s="3">
        <v>0.14729999999999999</v>
      </c>
      <c r="R278" s="2">
        <v>110</v>
      </c>
      <c r="S278" s="2">
        <v>50</v>
      </c>
      <c r="T278" s="2">
        <v>20</v>
      </c>
      <c r="U278" s="3">
        <v>0.18179999999999999</v>
      </c>
      <c r="V278" s="2">
        <v>-1</v>
      </c>
    </row>
    <row r="279" spans="1:22" x14ac:dyDescent="0.25">
      <c r="A279" t="s">
        <v>347</v>
      </c>
      <c r="B279" s="1">
        <v>45390</v>
      </c>
      <c r="C279">
        <v>660</v>
      </c>
      <c r="D279" t="s">
        <v>58</v>
      </c>
      <c r="E279" t="s">
        <v>24</v>
      </c>
      <c r="F279" t="s">
        <v>25</v>
      </c>
      <c r="G279" t="s">
        <v>26</v>
      </c>
      <c r="H279" t="s">
        <v>27</v>
      </c>
      <c r="I279" t="s">
        <v>59</v>
      </c>
      <c r="J279" t="s">
        <v>29</v>
      </c>
      <c r="K279">
        <v>250</v>
      </c>
      <c r="L279">
        <v>14</v>
      </c>
      <c r="M279" s="2">
        <v>94</v>
      </c>
      <c r="N279" s="2">
        <v>39</v>
      </c>
      <c r="O279" s="2">
        <v>47</v>
      </c>
      <c r="P279" s="2">
        <v>3</v>
      </c>
      <c r="Q279" s="3">
        <v>3.1899999999999998E-2</v>
      </c>
      <c r="R279" s="2">
        <v>70</v>
      </c>
      <c r="S279" s="2">
        <v>30</v>
      </c>
      <c r="T279" s="2">
        <v>0</v>
      </c>
      <c r="U279" s="3">
        <v>0</v>
      </c>
      <c r="V279" s="2">
        <v>3</v>
      </c>
    </row>
    <row r="280" spans="1:22" x14ac:dyDescent="0.25">
      <c r="A280" t="s">
        <v>348</v>
      </c>
      <c r="B280" s="1">
        <v>45390</v>
      </c>
      <c r="C280">
        <v>857</v>
      </c>
      <c r="D280" t="s">
        <v>78</v>
      </c>
      <c r="E280" t="s">
        <v>79</v>
      </c>
      <c r="F280" t="s">
        <v>32</v>
      </c>
      <c r="G280" t="s">
        <v>33</v>
      </c>
      <c r="H280" t="s">
        <v>34</v>
      </c>
      <c r="I280" t="s">
        <v>50</v>
      </c>
      <c r="J280" t="s">
        <v>29</v>
      </c>
      <c r="K280">
        <v>-3004</v>
      </c>
      <c r="L280">
        <v>23</v>
      </c>
      <c r="M280" s="2">
        <v>474</v>
      </c>
      <c r="N280" s="2">
        <v>72</v>
      </c>
      <c r="O280" s="2">
        <v>54</v>
      </c>
      <c r="P280" s="2">
        <v>348</v>
      </c>
      <c r="Q280" s="3">
        <v>0.73419999999999996</v>
      </c>
      <c r="R280" s="2">
        <v>400</v>
      </c>
      <c r="S280" s="2">
        <v>50</v>
      </c>
      <c r="T280" s="2">
        <v>330</v>
      </c>
      <c r="U280" s="3">
        <v>0.82499999999999996</v>
      </c>
      <c r="V280" s="2">
        <v>18</v>
      </c>
    </row>
    <row r="281" spans="1:22" x14ac:dyDescent="0.25">
      <c r="A281" t="s">
        <v>349</v>
      </c>
      <c r="B281" s="1">
        <v>45391</v>
      </c>
      <c r="C281">
        <v>312</v>
      </c>
      <c r="D281" t="s">
        <v>37</v>
      </c>
      <c r="E281" t="s">
        <v>24</v>
      </c>
      <c r="F281" t="s">
        <v>32</v>
      </c>
      <c r="G281" t="s">
        <v>26</v>
      </c>
      <c r="H281" t="s">
        <v>38</v>
      </c>
      <c r="I281" t="s">
        <v>46</v>
      </c>
      <c r="J281" t="s">
        <v>40</v>
      </c>
      <c r="K281">
        <v>541</v>
      </c>
      <c r="L281">
        <v>12</v>
      </c>
      <c r="M281" s="2">
        <v>96</v>
      </c>
      <c r="N281" s="2">
        <v>39</v>
      </c>
      <c r="O281" s="2">
        <v>24</v>
      </c>
      <c r="P281" s="2">
        <v>40</v>
      </c>
      <c r="Q281" s="3">
        <v>0.41670000000000001</v>
      </c>
      <c r="R281" s="2">
        <v>60</v>
      </c>
      <c r="S281" s="2">
        <v>20</v>
      </c>
      <c r="T281" s="2">
        <v>40</v>
      </c>
      <c r="U281" s="3">
        <v>0.66669999999999996</v>
      </c>
      <c r="V281" s="2">
        <v>0</v>
      </c>
    </row>
    <row r="282" spans="1:22" x14ac:dyDescent="0.25">
      <c r="A282" t="s">
        <v>350</v>
      </c>
      <c r="B282" s="1">
        <v>45391</v>
      </c>
      <c r="C282">
        <v>815</v>
      </c>
      <c r="D282" t="s">
        <v>37</v>
      </c>
      <c r="E282" t="s">
        <v>24</v>
      </c>
      <c r="F282" t="s">
        <v>32</v>
      </c>
      <c r="G282" t="s">
        <v>26</v>
      </c>
      <c r="H282" t="s">
        <v>38</v>
      </c>
      <c r="I282" t="s">
        <v>66</v>
      </c>
      <c r="J282" t="s">
        <v>40</v>
      </c>
      <c r="K282">
        <v>971</v>
      </c>
      <c r="L282">
        <v>30</v>
      </c>
      <c r="M282" s="2">
        <v>282</v>
      </c>
      <c r="N282" s="2">
        <v>108</v>
      </c>
      <c r="O282" s="2">
        <v>41</v>
      </c>
      <c r="P282" s="2">
        <v>172</v>
      </c>
      <c r="Q282" s="3">
        <v>0.6099</v>
      </c>
      <c r="R282" s="2">
        <v>210</v>
      </c>
      <c r="S282" s="2">
        <v>80</v>
      </c>
      <c r="T282" s="2">
        <v>120</v>
      </c>
      <c r="U282" s="3">
        <v>0.57140000000000002</v>
      </c>
      <c r="V282" s="2">
        <v>52</v>
      </c>
    </row>
    <row r="283" spans="1:22" x14ac:dyDescent="0.25">
      <c r="A283" t="s">
        <v>351</v>
      </c>
      <c r="B283" s="1">
        <v>45393</v>
      </c>
      <c r="C283">
        <v>505</v>
      </c>
      <c r="D283" t="s">
        <v>44</v>
      </c>
      <c r="E283" t="s">
        <v>45</v>
      </c>
      <c r="F283" t="s">
        <v>25</v>
      </c>
      <c r="G283" t="s">
        <v>33</v>
      </c>
      <c r="H283" t="s">
        <v>54</v>
      </c>
      <c r="I283" t="s">
        <v>55</v>
      </c>
      <c r="J283" t="s">
        <v>40</v>
      </c>
      <c r="K283">
        <v>248</v>
      </c>
      <c r="L283">
        <v>11</v>
      </c>
      <c r="M283" s="2">
        <v>82</v>
      </c>
      <c r="N283" s="2">
        <v>35</v>
      </c>
      <c r="O283" s="2">
        <v>39</v>
      </c>
      <c r="P283" s="2">
        <v>8</v>
      </c>
      <c r="Q283" s="3">
        <v>9.7600000000000006E-2</v>
      </c>
      <c r="R283" s="2">
        <v>60</v>
      </c>
      <c r="S283" s="2">
        <v>20</v>
      </c>
      <c r="T283" s="2">
        <v>20</v>
      </c>
      <c r="U283" s="3">
        <v>0.33329999999999999</v>
      </c>
      <c r="V283" s="2">
        <v>-12</v>
      </c>
    </row>
    <row r="284" spans="1:22" x14ac:dyDescent="0.25">
      <c r="A284" t="s">
        <v>352</v>
      </c>
      <c r="B284" s="1">
        <v>45393</v>
      </c>
      <c r="C284">
        <v>718</v>
      </c>
      <c r="D284" t="s">
        <v>99</v>
      </c>
      <c r="E284" t="s">
        <v>79</v>
      </c>
      <c r="F284" t="s">
        <v>32</v>
      </c>
      <c r="G284" t="s">
        <v>26</v>
      </c>
      <c r="H284" t="s">
        <v>27</v>
      </c>
      <c r="I284" t="s">
        <v>59</v>
      </c>
      <c r="J284" t="s">
        <v>29</v>
      </c>
      <c r="K284">
        <v>589</v>
      </c>
      <c r="L284">
        <v>14</v>
      </c>
      <c r="M284" s="2">
        <v>123</v>
      </c>
      <c r="N284" s="2">
        <v>50</v>
      </c>
      <c r="O284" s="2">
        <v>26</v>
      </c>
      <c r="P284" s="2">
        <v>47</v>
      </c>
      <c r="Q284" s="3">
        <v>0.3821</v>
      </c>
      <c r="R284" s="2">
        <v>120</v>
      </c>
      <c r="S284" s="2">
        <v>50</v>
      </c>
      <c r="T284" s="2">
        <v>50</v>
      </c>
      <c r="U284" s="3">
        <v>0.41670000000000001</v>
      </c>
      <c r="V284" s="2">
        <v>-3</v>
      </c>
    </row>
    <row r="285" spans="1:22" x14ac:dyDescent="0.25">
      <c r="A285" t="s">
        <v>353</v>
      </c>
      <c r="B285" s="1">
        <v>45393</v>
      </c>
      <c r="C285">
        <v>573</v>
      </c>
      <c r="D285" t="s">
        <v>58</v>
      </c>
      <c r="E285" t="s">
        <v>24</v>
      </c>
      <c r="F285" t="s">
        <v>25</v>
      </c>
      <c r="G285" t="s">
        <v>33</v>
      </c>
      <c r="H285" t="s">
        <v>34</v>
      </c>
      <c r="I285" t="s">
        <v>50</v>
      </c>
      <c r="J285" t="s">
        <v>29</v>
      </c>
      <c r="K285">
        <v>619</v>
      </c>
      <c r="L285">
        <v>25</v>
      </c>
      <c r="M285" s="2">
        <v>153</v>
      </c>
      <c r="N285" s="2">
        <v>68</v>
      </c>
      <c r="O285" s="2">
        <v>59</v>
      </c>
      <c r="P285" s="2">
        <v>26</v>
      </c>
      <c r="Q285" s="3">
        <v>0.1699</v>
      </c>
      <c r="R285" s="2">
        <v>150</v>
      </c>
      <c r="S285" s="2">
        <v>60</v>
      </c>
      <c r="T285" s="2">
        <v>40</v>
      </c>
      <c r="U285" s="3">
        <v>0.26669999999999999</v>
      </c>
      <c r="V285" s="2">
        <v>-14</v>
      </c>
    </row>
    <row r="286" spans="1:22" x14ac:dyDescent="0.25">
      <c r="A286" t="s">
        <v>354</v>
      </c>
      <c r="B286" s="1">
        <v>45393</v>
      </c>
      <c r="C286">
        <v>626</v>
      </c>
      <c r="D286" t="s">
        <v>62</v>
      </c>
      <c r="E286" t="s">
        <v>53</v>
      </c>
      <c r="F286" t="s">
        <v>32</v>
      </c>
      <c r="G286" t="s">
        <v>33</v>
      </c>
      <c r="H286" t="s">
        <v>34</v>
      </c>
      <c r="I286" t="s">
        <v>83</v>
      </c>
      <c r="J286" t="s">
        <v>40</v>
      </c>
      <c r="K286">
        <v>3909</v>
      </c>
      <c r="L286">
        <v>57</v>
      </c>
      <c r="M286" s="2">
        <v>156</v>
      </c>
      <c r="N286" s="2">
        <v>173</v>
      </c>
      <c r="O286" s="2">
        <v>100</v>
      </c>
      <c r="P286" s="2">
        <v>-188</v>
      </c>
      <c r="Q286" s="3">
        <v>-1.2051000000000001</v>
      </c>
      <c r="R286" s="2">
        <v>170</v>
      </c>
      <c r="S286" s="2">
        <v>200</v>
      </c>
      <c r="T286" s="2">
        <v>-130</v>
      </c>
      <c r="U286" s="3">
        <v>-0.76470000000000005</v>
      </c>
      <c r="V286" s="2">
        <v>-58</v>
      </c>
    </row>
    <row r="287" spans="1:22" x14ac:dyDescent="0.25">
      <c r="A287" t="s">
        <v>355</v>
      </c>
      <c r="B287" s="1">
        <v>45394</v>
      </c>
      <c r="C287">
        <v>505</v>
      </c>
      <c r="D287" t="s">
        <v>44</v>
      </c>
      <c r="E287" t="s">
        <v>45</v>
      </c>
      <c r="F287" t="s">
        <v>25</v>
      </c>
      <c r="G287" t="s">
        <v>33</v>
      </c>
      <c r="H287" t="s">
        <v>54</v>
      </c>
      <c r="I287" t="s">
        <v>72</v>
      </c>
      <c r="J287" t="s">
        <v>29</v>
      </c>
      <c r="K287">
        <v>-522</v>
      </c>
      <c r="L287">
        <v>12</v>
      </c>
      <c r="M287" s="2">
        <v>76</v>
      </c>
      <c r="N287" s="2">
        <v>34</v>
      </c>
      <c r="O287" s="2">
        <v>46</v>
      </c>
      <c r="P287" s="2">
        <v>-4</v>
      </c>
      <c r="Q287" s="3">
        <v>-5.2600000000000001E-2</v>
      </c>
      <c r="R287" s="2">
        <v>50</v>
      </c>
      <c r="S287" s="2">
        <v>20</v>
      </c>
      <c r="T287" s="2">
        <v>-10</v>
      </c>
      <c r="U287" s="3">
        <v>-0.2</v>
      </c>
      <c r="V287" s="2">
        <v>6</v>
      </c>
    </row>
    <row r="288" spans="1:22" x14ac:dyDescent="0.25">
      <c r="A288" t="s">
        <v>356</v>
      </c>
      <c r="B288" s="1">
        <v>45394</v>
      </c>
      <c r="C288">
        <v>225</v>
      </c>
      <c r="D288" t="s">
        <v>49</v>
      </c>
      <c r="E288" t="s">
        <v>45</v>
      </c>
      <c r="F288" t="s">
        <v>25</v>
      </c>
      <c r="G288" t="s">
        <v>33</v>
      </c>
      <c r="H288" t="s">
        <v>34</v>
      </c>
      <c r="I288" t="s">
        <v>50</v>
      </c>
      <c r="J288" t="s">
        <v>29</v>
      </c>
      <c r="K288">
        <v>834</v>
      </c>
      <c r="L288">
        <v>13</v>
      </c>
      <c r="M288" s="2">
        <v>115</v>
      </c>
      <c r="N288" s="2">
        <v>47</v>
      </c>
      <c r="O288" s="2">
        <v>24</v>
      </c>
      <c r="P288" s="2">
        <v>44</v>
      </c>
      <c r="Q288" s="3">
        <v>0.3826</v>
      </c>
      <c r="R288" s="2">
        <v>130</v>
      </c>
      <c r="S288" s="2">
        <v>50</v>
      </c>
      <c r="T288" s="2">
        <v>60</v>
      </c>
      <c r="U288" s="3">
        <v>0.46150000000000002</v>
      </c>
      <c r="V288" s="2">
        <v>-16</v>
      </c>
    </row>
    <row r="289" spans="1:22" x14ac:dyDescent="0.25">
      <c r="A289" t="s">
        <v>357</v>
      </c>
      <c r="B289" s="1">
        <v>45394</v>
      </c>
      <c r="C289">
        <v>505</v>
      </c>
      <c r="D289" t="s">
        <v>44</v>
      </c>
      <c r="E289" t="s">
        <v>45</v>
      </c>
      <c r="F289" t="s">
        <v>25</v>
      </c>
      <c r="G289" t="s">
        <v>33</v>
      </c>
      <c r="H289" t="s">
        <v>34</v>
      </c>
      <c r="I289" t="s">
        <v>50</v>
      </c>
      <c r="J289" t="s">
        <v>29</v>
      </c>
      <c r="K289">
        <v>462</v>
      </c>
      <c r="L289">
        <v>15</v>
      </c>
      <c r="M289" s="2">
        <v>122</v>
      </c>
      <c r="N289" s="2">
        <v>48</v>
      </c>
      <c r="O289" s="2">
        <v>47</v>
      </c>
      <c r="P289" s="2">
        <v>27</v>
      </c>
      <c r="Q289" s="3">
        <v>0.2213</v>
      </c>
      <c r="R289" s="2">
        <v>140</v>
      </c>
      <c r="S289" s="2">
        <v>50</v>
      </c>
      <c r="T289" s="2">
        <v>50</v>
      </c>
      <c r="U289" s="3">
        <v>0.35709999999999997</v>
      </c>
      <c r="V289" s="2">
        <v>-23</v>
      </c>
    </row>
    <row r="290" spans="1:22" x14ac:dyDescent="0.25">
      <c r="A290" t="s">
        <v>358</v>
      </c>
      <c r="B290" s="1">
        <v>45394</v>
      </c>
      <c r="C290">
        <v>951</v>
      </c>
      <c r="D290" t="s">
        <v>62</v>
      </c>
      <c r="E290" t="s">
        <v>53</v>
      </c>
      <c r="F290" t="s">
        <v>32</v>
      </c>
      <c r="G290" t="s">
        <v>33</v>
      </c>
      <c r="H290" t="s">
        <v>34</v>
      </c>
      <c r="I290" t="s">
        <v>50</v>
      </c>
      <c r="J290" t="s">
        <v>29</v>
      </c>
      <c r="K290">
        <v>2580</v>
      </c>
      <c r="L290">
        <v>87</v>
      </c>
      <c r="M290" s="2">
        <v>623</v>
      </c>
      <c r="N290" s="2">
        <v>249</v>
      </c>
      <c r="O290" s="2">
        <v>139</v>
      </c>
      <c r="P290" s="2">
        <v>235</v>
      </c>
      <c r="Q290" s="3">
        <v>0.37719999999999998</v>
      </c>
      <c r="R290" s="2">
        <v>740</v>
      </c>
      <c r="S290" s="2">
        <v>290</v>
      </c>
      <c r="T290" s="2">
        <v>310</v>
      </c>
      <c r="U290" s="3">
        <v>0.41889999999999999</v>
      </c>
      <c r="V290" s="2">
        <v>-75</v>
      </c>
    </row>
    <row r="291" spans="1:22" x14ac:dyDescent="0.25">
      <c r="A291" t="s">
        <v>359</v>
      </c>
      <c r="B291" s="1">
        <v>45395</v>
      </c>
      <c r="C291">
        <v>603</v>
      </c>
      <c r="D291" t="s">
        <v>109</v>
      </c>
      <c r="E291" t="s">
        <v>79</v>
      </c>
      <c r="F291" t="s">
        <v>25</v>
      </c>
      <c r="G291" t="s">
        <v>33</v>
      </c>
      <c r="H291" t="s">
        <v>34</v>
      </c>
      <c r="I291" t="s">
        <v>50</v>
      </c>
      <c r="J291" t="s">
        <v>29</v>
      </c>
      <c r="K291">
        <v>462</v>
      </c>
      <c r="L291">
        <v>15</v>
      </c>
      <c r="M291" s="2">
        <v>122</v>
      </c>
      <c r="N291" s="2">
        <v>48</v>
      </c>
      <c r="O291" s="2">
        <v>46</v>
      </c>
      <c r="P291" s="2">
        <v>28</v>
      </c>
      <c r="Q291" s="3">
        <v>0.22950000000000001</v>
      </c>
      <c r="R291" s="2">
        <v>100</v>
      </c>
      <c r="S291" s="2">
        <v>40</v>
      </c>
      <c r="T291" s="2">
        <v>30</v>
      </c>
      <c r="U291" s="3">
        <v>0.3</v>
      </c>
      <c r="V291" s="2">
        <v>-2</v>
      </c>
    </row>
    <row r="292" spans="1:22" x14ac:dyDescent="0.25">
      <c r="A292" t="s">
        <v>360</v>
      </c>
      <c r="B292" s="1">
        <v>45395</v>
      </c>
      <c r="C292">
        <v>209</v>
      </c>
      <c r="D292" t="s">
        <v>62</v>
      </c>
      <c r="E292" t="s">
        <v>53</v>
      </c>
      <c r="F292" t="s">
        <v>32</v>
      </c>
      <c r="G292" t="s">
        <v>26</v>
      </c>
      <c r="H292" t="s">
        <v>38</v>
      </c>
      <c r="I292" t="s">
        <v>66</v>
      </c>
      <c r="J292" t="s">
        <v>40</v>
      </c>
      <c r="K292">
        <v>541</v>
      </c>
      <c r="L292">
        <v>12</v>
      </c>
      <c r="M292" s="2">
        <v>90</v>
      </c>
      <c r="N292" s="2">
        <v>39</v>
      </c>
      <c r="O292" s="2">
        <v>25</v>
      </c>
      <c r="P292" s="2">
        <v>26</v>
      </c>
      <c r="Q292" s="3">
        <v>0.28889999999999999</v>
      </c>
      <c r="R292" s="2">
        <v>60</v>
      </c>
      <c r="S292" s="2">
        <v>20</v>
      </c>
      <c r="T292" s="2">
        <v>40</v>
      </c>
      <c r="U292" s="3">
        <v>0.66669999999999996</v>
      </c>
      <c r="V292" s="2">
        <v>-14</v>
      </c>
    </row>
    <row r="293" spans="1:22" x14ac:dyDescent="0.25">
      <c r="A293" t="s">
        <v>361</v>
      </c>
      <c r="B293" s="1">
        <v>45395</v>
      </c>
      <c r="C293">
        <v>509</v>
      </c>
      <c r="D293" t="s">
        <v>52</v>
      </c>
      <c r="E293" t="s">
        <v>53</v>
      </c>
      <c r="F293" t="s">
        <v>25</v>
      </c>
      <c r="G293" t="s">
        <v>33</v>
      </c>
      <c r="H293" t="s">
        <v>34</v>
      </c>
      <c r="I293" t="s">
        <v>83</v>
      </c>
      <c r="J293" t="s">
        <v>40</v>
      </c>
      <c r="K293">
        <v>716</v>
      </c>
      <c r="L293">
        <v>95</v>
      </c>
      <c r="M293" s="2">
        <v>250</v>
      </c>
      <c r="N293" s="2">
        <v>105</v>
      </c>
      <c r="O293" s="2">
        <v>125</v>
      </c>
      <c r="P293" s="2">
        <v>20</v>
      </c>
      <c r="Q293" s="3">
        <v>0.08</v>
      </c>
      <c r="R293" s="2">
        <v>290</v>
      </c>
      <c r="S293" s="2">
        <v>120</v>
      </c>
      <c r="T293" s="2">
        <v>50</v>
      </c>
      <c r="U293" s="3">
        <v>0.1724</v>
      </c>
      <c r="V293" s="2">
        <v>-30</v>
      </c>
    </row>
    <row r="294" spans="1:22" x14ac:dyDescent="0.25">
      <c r="A294" t="s">
        <v>362</v>
      </c>
      <c r="B294" s="1">
        <v>45395</v>
      </c>
      <c r="C294">
        <v>661</v>
      </c>
      <c r="D294" t="s">
        <v>62</v>
      </c>
      <c r="E294" t="s">
        <v>53</v>
      </c>
      <c r="F294" t="s">
        <v>32</v>
      </c>
      <c r="G294" t="s">
        <v>26</v>
      </c>
      <c r="H294" t="s">
        <v>38</v>
      </c>
      <c r="I294" t="s">
        <v>46</v>
      </c>
      <c r="J294" t="s">
        <v>40</v>
      </c>
      <c r="K294">
        <v>1321</v>
      </c>
      <c r="L294">
        <v>74</v>
      </c>
      <c r="M294" s="2">
        <v>559</v>
      </c>
      <c r="N294" s="2">
        <v>241</v>
      </c>
      <c r="O294" s="2">
        <v>96</v>
      </c>
      <c r="P294" s="2">
        <v>279</v>
      </c>
      <c r="Q294" s="3">
        <v>0.49909999999999999</v>
      </c>
      <c r="R294" s="2">
        <v>480</v>
      </c>
      <c r="S294" s="2">
        <v>220</v>
      </c>
      <c r="T294" s="2">
        <v>170</v>
      </c>
      <c r="U294" s="3">
        <v>0.35420000000000001</v>
      </c>
      <c r="V294" s="2">
        <v>109</v>
      </c>
    </row>
    <row r="295" spans="1:22" x14ac:dyDescent="0.25">
      <c r="A295" t="s">
        <v>363</v>
      </c>
      <c r="B295" s="1">
        <v>45396</v>
      </c>
      <c r="C295">
        <v>573</v>
      </c>
      <c r="D295" t="s">
        <v>58</v>
      </c>
      <c r="E295" t="s">
        <v>24</v>
      </c>
      <c r="F295" t="s">
        <v>25</v>
      </c>
      <c r="G295" t="s">
        <v>26</v>
      </c>
      <c r="H295" t="s">
        <v>38</v>
      </c>
      <c r="I295" t="s">
        <v>39</v>
      </c>
      <c r="J295" t="s">
        <v>40</v>
      </c>
      <c r="K295">
        <v>320</v>
      </c>
      <c r="L295">
        <v>41</v>
      </c>
      <c r="M295" s="2">
        <v>109</v>
      </c>
      <c r="N295" s="2">
        <v>45</v>
      </c>
      <c r="O295" s="2">
        <v>70</v>
      </c>
      <c r="P295" s="2">
        <v>-6</v>
      </c>
      <c r="Q295" s="3">
        <v>-5.5E-2</v>
      </c>
      <c r="R295" s="2">
        <v>80</v>
      </c>
      <c r="S295" s="2">
        <v>20</v>
      </c>
      <c r="T295" s="2">
        <v>30</v>
      </c>
      <c r="U295" s="3">
        <v>0.375</v>
      </c>
      <c r="V295" s="2">
        <v>-36</v>
      </c>
    </row>
    <row r="296" spans="1:22" x14ac:dyDescent="0.25">
      <c r="A296" t="s">
        <v>364</v>
      </c>
      <c r="B296" s="1">
        <v>45396</v>
      </c>
      <c r="C296">
        <v>518</v>
      </c>
      <c r="D296" t="s">
        <v>99</v>
      </c>
      <c r="E296" t="s">
        <v>79</v>
      </c>
      <c r="F296" t="s">
        <v>32</v>
      </c>
      <c r="G296" t="s">
        <v>26</v>
      </c>
      <c r="H296" t="s">
        <v>27</v>
      </c>
      <c r="I296" t="s">
        <v>59</v>
      </c>
      <c r="J296" t="s">
        <v>29</v>
      </c>
      <c r="K296">
        <v>580</v>
      </c>
      <c r="L296">
        <v>21</v>
      </c>
      <c r="M296" s="2">
        <v>187</v>
      </c>
      <c r="N296" s="2">
        <v>76</v>
      </c>
      <c r="O296" s="2">
        <v>33</v>
      </c>
      <c r="P296" s="2">
        <v>78</v>
      </c>
      <c r="Q296" s="3">
        <v>0.41710000000000003</v>
      </c>
      <c r="R296" s="2">
        <v>200</v>
      </c>
      <c r="S296" s="2">
        <v>80</v>
      </c>
      <c r="T296" s="2">
        <v>100</v>
      </c>
      <c r="U296" s="3">
        <v>0.5</v>
      </c>
      <c r="V296" s="2">
        <v>-22</v>
      </c>
    </row>
    <row r="297" spans="1:22" x14ac:dyDescent="0.25">
      <c r="A297" t="s">
        <v>365</v>
      </c>
      <c r="B297" s="1">
        <v>45396</v>
      </c>
      <c r="C297">
        <v>513</v>
      </c>
      <c r="D297" t="s">
        <v>85</v>
      </c>
      <c r="E297" t="s">
        <v>24</v>
      </c>
      <c r="F297" t="s">
        <v>32</v>
      </c>
      <c r="G297" t="s">
        <v>33</v>
      </c>
      <c r="H297" t="s">
        <v>54</v>
      </c>
      <c r="I297" t="s">
        <v>68</v>
      </c>
      <c r="J297" t="s">
        <v>29</v>
      </c>
      <c r="K297">
        <v>1267</v>
      </c>
      <c r="L297">
        <v>45</v>
      </c>
      <c r="M297" s="2">
        <v>343</v>
      </c>
      <c r="N297" s="2">
        <v>161</v>
      </c>
      <c r="O297" s="2">
        <v>69</v>
      </c>
      <c r="P297" s="2">
        <v>137</v>
      </c>
      <c r="Q297" s="3">
        <v>0.39939999999999998</v>
      </c>
      <c r="R297" s="2">
        <v>470</v>
      </c>
      <c r="S297" s="2">
        <v>230</v>
      </c>
      <c r="T297" s="2">
        <v>190</v>
      </c>
      <c r="U297" s="3">
        <v>0.40429999999999999</v>
      </c>
      <c r="V297" s="2">
        <v>-53</v>
      </c>
    </row>
    <row r="298" spans="1:22" x14ac:dyDescent="0.25">
      <c r="A298" t="s">
        <v>366</v>
      </c>
      <c r="B298" s="1">
        <v>45397</v>
      </c>
      <c r="C298">
        <v>430</v>
      </c>
      <c r="D298" t="s">
        <v>76</v>
      </c>
      <c r="E298" t="s">
        <v>45</v>
      </c>
      <c r="F298" t="s">
        <v>32</v>
      </c>
      <c r="G298" t="s">
        <v>33</v>
      </c>
      <c r="H298" t="s">
        <v>54</v>
      </c>
      <c r="I298" t="s">
        <v>55</v>
      </c>
      <c r="J298" t="s">
        <v>40</v>
      </c>
      <c r="K298">
        <v>601</v>
      </c>
      <c r="L298">
        <v>15</v>
      </c>
      <c r="M298" s="2">
        <v>142</v>
      </c>
      <c r="N298" s="2">
        <v>54</v>
      </c>
      <c r="O298" s="2">
        <v>27</v>
      </c>
      <c r="P298" s="2">
        <v>77</v>
      </c>
      <c r="Q298" s="3">
        <v>0.5423</v>
      </c>
      <c r="R298" s="2">
        <v>100</v>
      </c>
      <c r="S298" s="2">
        <v>40</v>
      </c>
      <c r="T298" s="2">
        <v>40</v>
      </c>
      <c r="U298" s="3">
        <v>0.4</v>
      </c>
      <c r="V298" s="2">
        <v>37</v>
      </c>
    </row>
    <row r="299" spans="1:22" x14ac:dyDescent="0.25">
      <c r="A299" t="s">
        <v>367</v>
      </c>
      <c r="B299" s="1">
        <v>45398</v>
      </c>
      <c r="C299">
        <v>636</v>
      </c>
      <c r="D299" t="s">
        <v>58</v>
      </c>
      <c r="E299" t="s">
        <v>24</v>
      </c>
      <c r="F299" t="s">
        <v>25</v>
      </c>
      <c r="G299" t="s">
        <v>33</v>
      </c>
      <c r="H299" t="s">
        <v>34</v>
      </c>
      <c r="I299" t="s">
        <v>83</v>
      </c>
      <c r="J299" t="s">
        <v>40</v>
      </c>
      <c r="K299">
        <v>1075</v>
      </c>
      <c r="L299">
        <v>19</v>
      </c>
      <c r="M299" s="2">
        <v>148</v>
      </c>
      <c r="N299" s="2">
        <v>63</v>
      </c>
      <c r="O299" s="2">
        <v>40</v>
      </c>
      <c r="P299" s="2">
        <v>53</v>
      </c>
      <c r="Q299" s="3">
        <v>0.35809999999999997</v>
      </c>
      <c r="R299" s="2">
        <v>130</v>
      </c>
      <c r="S299" s="2">
        <v>60</v>
      </c>
      <c r="T299" s="2">
        <v>40</v>
      </c>
      <c r="U299" s="3">
        <v>0.30769999999999997</v>
      </c>
      <c r="V299" s="2">
        <v>13</v>
      </c>
    </row>
    <row r="300" spans="1:22" x14ac:dyDescent="0.25">
      <c r="A300" t="s">
        <v>368</v>
      </c>
      <c r="B300" s="1">
        <v>45398</v>
      </c>
      <c r="C300">
        <v>339</v>
      </c>
      <c r="D300" t="s">
        <v>78</v>
      </c>
      <c r="E300" t="s">
        <v>79</v>
      </c>
      <c r="F300" t="s">
        <v>32</v>
      </c>
      <c r="G300" t="s">
        <v>26</v>
      </c>
      <c r="H300" t="s">
        <v>38</v>
      </c>
      <c r="I300" t="s">
        <v>46</v>
      </c>
      <c r="J300" t="s">
        <v>40</v>
      </c>
      <c r="K300">
        <v>404</v>
      </c>
      <c r="L300">
        <v>20</v>
      </c>
      <c r="M300" s="2">
        <v>128</v>
      </c>
      <c r="N300" s="2">
        <v>54</v>
      </c>
      <c r="O300" s="2">
        <v>53</v>
      </c>
      <c r="P300" s="2">
        <v>19</v>
      </c>
      <c r="Q300" s="3">
        <v>0.1484</v>
      </c>
      <c r="R300" s="2">
        <v>60</v>
      </c>
      <c r="S300" s="2">
        <v>30</v>
      </c>
      <c r="T300" s="2">
        <v>20</v>
      </c>
      <c r="U300" s="3">
        <v>0.33329999999999999</v>
      </c>
      <c r="V300" s="2">
        <v>-1</v>
      </c>
    </row>
    <row r="301" spans="1:22" x14ac:dyDescent="0.25">
      <c r="A301" t="s">
        <v>369</v>
      </c>
      <c r="B301" s="1">
        <v>45398</v>
      </c>
      <c r="C301">
        <v>857</v>
      </c>
      <c r="D301" t="s">
        <v>78</v>
      </c>
      <c r="E301" t="s">
        <v>79</v>
      </c>
      <c r="F301" t="s">
        <v>32</v>
      </c>
      <c r="G301" t="s">
        <v>33</v>
      </c>
      <c r="H301" t="s">
        <v>34</v>
      </c>
      <c r="I301" t="s">
        <v>50</v>
      </c>
      <c r="J301" t="s">
        <v>29</v>
      </c>
      <c r="K301">
        <v>-3004</v>
      </c>
      <c r="L301">
        <v>23</v>
      </c>
      <c r="M301" s="2">
        <v>505</v>
      </c>
      <c r="N301" s="2">
        <v>72</v>
      </c>
      <c r="O301" s="2">
        <v>54</v>
      </c>
      <c r="P301" s="2">
        <v>516</v>
      </c>
      <c r="Q301" s="3">
        <v>1.0218</v>
      </c>
      <c r="R301" s="2">
        <v>400</v>
      </c>
      <c r="S301" s="2">
        <v>50</v>
      </c>
      <c r="T301" s="2">
        <v>330</v>
      </c>
      <c r="U301" s="3">
        <v>0.82499999999999996</v>
      </c>
      <c r="V301" s="2">
        <v>186</v>
      </c>
    </row>
    <row r="302" spans="1:22" x14ac:dyDescent="0.25">
      <c r="A302" t="s">
        <v>370</v>
      </c>
      <c r="B302" s="1">
        <v>45399</v>
      </c>
      <c r="C302">
        <v>253</v>
      </c>
      <c r="D302" t="s">
        <v>52</v>
      </c>
      <c r="E302" t="s">
        <v>53</v>
      </c>
      <c r="F302" t="s">
        <v>25</v>
      </c>
      <c r="G302" t="s">
        <v>33</v>
      </c>
      <c r="H302" t="s">
        <v>54</v>
      </c>
      <c r="I302" t="s">
        <v>72</v>
      </c>
      <c r="J302" t="s">
        <v>29</v>
      </c>
      <c r="K302">
        <v>567</v>
      </c>
      <c r="L302">
        <v>7</v>
      </c>
      <c r="M302" s="2">
        <v>56</v>
      </c>
      <c r="N302" s="2">
        <v>24</v>
      </c>
      <c r="O302" s="2">
        <v>19</v>
      </c>
      <c r="P302" s="2">
        <v>13</v>
      </c>
      <c r="Q302" s="3">
        <v>0.2321</v>
      </c>
      <c r="R302" s="2">
        <v>50</v>
      </c>
      <c r="S302" s="2">
        <v>20</v>
      </c>
      <c r="T302" s="2">
        <v>20</v>
      </c>
      <c r="U302" s="3">
        <v>0.4</v>
      </c>
      <c r="V302" s="2">
        <v>-7</v>
      </c>
    </row>
    <row r="303" spans="1:22" x14ac:dyDescent="0.25">
      <c r="A303" t="s">
        <v>371</v>
      </c>
      <c r="B303" s="1">
        <v>45399</v>
      </c>
      <c r="C303">
        <v>607</v>
      </c>
      <c r="D303" t="s">
        <v>99</v>
      </c>
      <c r="E303" t="s">
        <v>79</v>
      </c>
      <c r="F303" t="s">
        <v>32</v>
      </c>
      <c r="G303" t="s">
        <v>26</v>
      </c>
      <c r="H303" t="s">
        <v>38</v>
      </c>
      <c r="I303" t="s">
        <v>46</v>
      </c>
      <c r="J303" t="s">
        <v>40</v>
      </c>
      <c r="K303">
        <v>1727</v>
      </c>
      <c r="L303">
        <v>111</v>
      </c>
      <c r="M303" s="2">
        <v>747</v>
      </c>
      <c r="N303" s="2">
        <v>294</v>
      </c>
      <c r="O303" s="2">
        <v>144</v>
      </c>
      <c r="P303" s="2">
        <v>309</v>
      </c>
      <c r="Q303" s="3">
        <v>0.41370000000000001</v>
      </c>
      <c r="R303" s="2">
        <v>540</v>
      </c>
      <c r="S303" s="2">
        <v>220</v>
      </c>
      <c r="T303" s="2">
        <v>210</v>
      </c>
      <c r="U303" s="3">
        <v>0.38890000000000002</v>
      </c>
      <c r="V303" s="2">
        <v>99</v>
      </c>
    </row>
    <row r="304" spans="1:22" x14ac:dyDescent="0.25">
      <c r="A304" t="s">
        <v>372</v>
      </c>
      <c r="B304" s="1">
        <v>45399</v>
      </c>
      <c r="C304">
        <v>630</v>
      </c>
      <c r="D304" t="s">
        <v>37</v>
      </c>
      <c r="E304" t="s">
        <v>24</v>
      </c>
      <c r="F304" t="s">
        <v>32</v>
      </c>
      <c r="G304" t="s">
        <v>33</v>
      </c>
      <c r="H304" t="s">
        <v>54</v>
      </c>
      <c r="I304" t="s">
        <v>68</v>
      </c>
      <c r="J304" t="s">
        <v>29</v>
      </c>
      <c r="K304">
        <v>1691</v>
      </c>
      <c r="L304">
        <v>75</v>
      </c>
      <c r="M304" s="2">
        <v>567</v>
      </c>
      <c r="N304" s="2">
        <v>228</v>
      </c>
      <c r="O304" s="2">
        <v>108</v>
      </c>
      <c r="P304" s="2">
        <v>291</v>
      </c>
      <c r="Q304" s="3">
        <v>0.51319999999999999</v>
      </c>
      <c r="R304" s="2">
        <v>680</v>
      </c>
      <c r="S304" s="2">
        <v>290</v>
      </c>
      <c r="T304" s="2">
        <v>290</v>
      </c>
      <c r="U304" s="3">
        <v>0.42649999999999999</v>
      </c>
      <c r="V304" s="2">
        <v>1</v>
      </c>
    </row>
    <row r="305" spans="1:22" x14ac:dyDescent="0.25">
      <c r="A305" t="s">
        <v>373</v>
      </c>
      <c r="B305" s="1">
        <v>45400</v>
      </c>
      <c r="C305">
        <v>253</v>
      </c>
      <c r="D305" t="s">
        <v>52</v>
      </c>
      <c r="E305" t="s">
        <v>53</v>
      </c>
      <c r="F305" t="s">
        <v>25</v>
      </c>
      <c r="G305" t="s">
        <v>26</v>
      </c>
      <c r="H305" t="s">
        <v>38</v>
      </c>
      <c r="I305" t="s">
        <v>46</v>
      </c>
      <c r="J305" t="s">
        <v>40</v>
      </c>
      <c r="K305">
        <v>834</v>
      </c>
      <c r="L305">
        <v>13</v>
      </c>
      <c r="M305" s="2">
        <v>123</v>
      </c>
      <c r="N305" s="2">
        <v>47</v>
      </c>
      <c r="O305" s="2">
        <v>24</v>
      </c>
      <c r="P305" s="2">
        <v>65</v>
      </c>
      <c r="Q305" s="3">
        <v>0.52849999999999997</v>
      </c>
      <c r="R305" s="2">
        <v>100</v>
      </c>
      <c r="S305" s="2">
        <v>40</v>
      </c>
      <c r="T305" s="2">
        <v>40</v>
      </c>
      <c r="U305" s="3">
        <v>0.4</v>
      </c>
      <c r="V305" s="2">
        <v>25</v>
      </c>
    </row>
    <row r="306" spans="1:22" x14ac:dyDescent="0.25">
      <c r="A306" t="s">
        <v>374</v>
      </c>
      <c r="B306" s="1">
        <v>45400</v>
      </c>
      <c r="C306">
        <v>515</v>
      </c>
      <c r="D306" t="s">
        <v>124</v>
      </c>
      <c r="E306" t="s">
        <v>24</v>
      </c>
      <c r="F306" t="s">
        <v>25</v>
      </c>
      <c r="G306" t="s">
        <v>33</v>
      </c>
      <c r="H306" t="s">
        <v>54</v>
      </c>
      <c r="I306" t="s">
        <v>68</v>
      </c>
      <c r="J306" t="s">
        <v>29</v>
      </c>
      <c r="K306">
        <v>802</v>
      </c>
      <c r="L306">
        <v>6</v>
      </c>
      <c r="M306" s="2">
        <v>60</v>
      </c>
      <c r="N306" s="2">
        <v>22</v>
      </c>
      <c r="O306" s="2">
        <v>18</v>
      </c>
      <c r="P306" s="2">
        <v>24</v>
      </c>
      <c r="Q306" s="3">
        <v>0.4</v>
      </c>
      <c r="R306" s="2">
        <v>70</v>
      </c>
      <c r="S306" s="2">
        <v>20</v>
      </c>
      <c r="T306" s="2">
        <v>40</v>
      </c>
      <c r="U306" s="3">
        <v>0.57140000000000002</v>
      </c>
      <c r="V306" s="2">
        <v>-16</v>
      </c>
    </row>
    <row r="307" spans="1:22" x14ac:dyDescent="0.25">
      <c r="A307" t="s">
        <v>375</v>
      </c>
      <c r="B307" s="1">
        <v>45400</v>
      </c>
      <c r="C307">
        <v>419</v>
      </c>
      <c r="D307" t="s">
        <v>85</v>
      </c>
      <c r="E307" t="s">
        <v>24</v>
      </c>
      <c r="F307" t="s">
        <v>32</v>
      </c>
      <c r="G307" t="s">
        <v>26</v>
      </c>
      <c r="H307" t="s">
        <v>27</v>
      </c>
      <c r="I307" t="s">
        <v>42</v>
      </c>
      <c r="J307" t="s">
        <v>29</v>
      </c>
      <c r="K307">
        <v>666</v>
      </c>
      <c r="L307">
        <v>31</v>
      </c>
      <c r="M307" s="2">
        <v>245</v>
      </c>
      <c r="N307" s="2">
        <v>102</v>
      </c>
      <c r="O307" s="2">
        <v>54</v>
      </c>
      <c r="P307" s="2">
        <v>89</v>
      </c>
      <c r="Q307" s="3">
        <v>0.36330000000000001</v>
      </c>
      <c r="R307" s="2">
        <v>200</v>
      </c>
      <c r="S307" s="2">
        <v>80</v>
      </c>
      <c r="T307" s="2">
        <v>70</v>
      </c>
      <c r="U307" s="3">
        <v>0.35</v>
      </c>
      <c r="V307" s="2">
        <v>19</v>
      </c>
    </row>
    <row r="308" spans="1:22" x14ac:dyDescent="0.25">
      <c r="A308" t="s">
        <v>376</v>
      </c>
      <c r="B308" s="1">
        <v>45401</v>
      </c>
      <c r="C308">
        <v>603</v>
      </c>
      <c r="D308" t="s">
        <v>109</v>
      </c>
      <c r="E308" t="s">
        <v>79</v>
      </c>
      <c r="F308" t="s">
        <v>25</v>
      </c>
      <c r="G308" t="s">
        <v>33</v>
      </c>
      <c r="H308" t="s">
        <v>34</v>
      </c>
      <c r="I308" t="s">
        <v>35</v>
      </c>
      <c r="J308" t="s">
        <v>29</v>
      </c>
      <c r="K308">
        <v>310</v>
      </c>
      <c r="L308">
        <v>15</v>
      </c>
      <c r="M308" s="2">
        <v>128</v>
      </c>
      <c r="N308" s="2">
        <v>49</v>
      </c>
      <c r="O308" s="2">
        <v>38</v>
      </c>
      <c r="P308" s="2">
        <v>49</v>
      </c>
      <c r="Q308" s="3">
        <v>0.38279999999999997</v>
      </c>
      <c r="R308" s="2">
        <v>90</v>
      </c>
      <c r="S308" s="2">
        <v>30</v>
      </c>
      <c r="T308" s="2">
        <v>60</v>
      </c>
      <c r="U308" s="3">
        <v>0.66669999999999996</v>
      </c>
      <c r="V308" s="2">
        <v>-11</v>
      </c>
    </row>
    <row r="309" spans="1:22" x14ac:dyDescent="0.25">
      <c r="A309" t="s">
        <v>377</v>
      </c>
      <c r="B309" s="1">
        <v>45401</v>
      </c>
      <c r="C309">
        <v>318</v>
      </c>
      <c r="D309" t="s">
        <v>49</v>
      </c>
      <c r="E309" t="s">
        <v>45</v>
      </c>
      <c r="F309" t="s">
        <v>25</v>
      </c>
      <c r="G309" t="s">
        <v>33</v>
      </c>
      <c r="H309" t="s">
        <v>54</v>
      </c>
      <c r="I309" t="s">
        <v>55</v>
      </c>
      <c r="J309" t="s">
        <v>40</v>
      </c>
      <c r="K309">
        <v>449</v>
      </c>
      <c r="L309">
        <v>14</v>
      </c>
      <c r="M309" s="2">
        <v>120</v>
      </c>
      <c r="N309" s="2">
        <v>46</v>
      </c>
      <c r="O309" s="2">
        <v>37</v>
      </c>
      <c r="P309" s="2">
        <v>45</v>
      </c>
      <c r="Q309" s="3">
        <v>0.375</v>
      </c>
      <c r="R309" s="2">
        <v>60</v>
      </c>
      <c r="S309" s="2">
        <v>20</v>
      </c>
      <c r="T309" s="2">
        <v>40</v>
      </c>
      <c r="U309" s="3">
        <v>0.66669999999999996</v>
      </c>
      <c r="V309" s="2">
        <v>5</v>
      </c>
    </row>
    <row r="310" spans="1:22" x14ac:dyDescent="0.25">
      <c r="A310" t="s">
        <v>378</v>
      </c>
      <c r="B310" s="1">
        <v>45401</v>
      </c>
      <c r="C310">
        <v>580</v>
      </c>
      <c r="D310" t="s">
        <v>148</v>
      </c>
      <c r="E310" t="s">
        <v>45</v>
      </c>
      <c r="F310" t="s">
        <v>25</v>
      </c>
      <c r="G310" t="s">
        <v>26</v>
      </c>
      <c r="H310" t="s">
        <v>38</v>
      </c>
      <c r="I310" t="s">
        <v>39</v>
      </c>
      <c r="J310" t="s">
        <v>40</v>
      </c>
      <c r="K310">
        <v>385</v>
      </c>
      <c r="L310">
        <v>21</v>
      </c>
      <c r="M310" s="2">
        <v>134</v>
      </c>
      <c r="N310" s="2">
        <v>56</v>
      </c>
      <c r="O310" s="2">
        <v>54</v>
      </c>
      <c r="P310" s="2">
        <v>24</v>
      </c>
      <c r="Q310" s="3">
        <v>0.17910000000000001</v>
      </c>
      <c r="R310" s="2">
        <v>110</v>
      </c>
      <c r="S310" s="2">
        <v>40</v>
      </c>
      <c r="T310" s="2">
        <v>50</v>
      </c>
      <c r="U310" s="3">
        <v>0.45450000000000002</v>
      </c>
      <c r="V310" s="2">
        <v>-26</v>
      </c>
    </row>
    <row r="311" spans="1:22" x14ac:dyDescent="0.25">
      <c r="A311" t="s">
        <v>379</v>
      </c>
      <c r="B311" s="1">
        <v>45401</v>
      </c>
      <c r="C311">
        <v>253</v>
      </c>
      <c r="D311" t="s">
        <v>52</v>
      </c>
      <c r="E311" t="s">
        <v>53</v>
      </c>
      <c r="F311" t="s">
        <v>25</v>
      </c>
      <c r="G311" t="s">
        <v>33</v>
      </c>
      <c r="H311" t="s">
        <v>54</v>
      </c>
      <c r="I311" t="s">
        <v>72</v>
      </c>
      <c r="J311" t="s">
        <v>29</v>
      </c>
      <c r="K311">
        <v>570</v>
      </c>
      <c r="L311">
        <v>7</v>
      </c>
      <c r="M311" s="2">
        <v>52</v>
      </c>
      <c r="N311" s="2">
        <v>22</v>
      </c>
      <c r="O311" s="2">
        <v>19</v>
      </c>
      <c r="P311" s="2">
        <v>11</v>
      </c>
      <c r="Q311" s="3">
        <v>0.21149999999999999</v>
      </c>
      <c r="R311" s="2">
        <v>50</v>
      </c>
      <c r="S311" s="2">
        <v>20</v>
      </c>
      <c r="T311" s="2">
        <v>20</v>
      </c>
      <c r="U311" s="3">
        <v>0.4</v>
      </c>
      <c r="V311" s="2">
        <v>-9</v>
      </c>
    </row>
    <row r="312" spans="1:22" x14ac:dyDescent="0.25">
      <c r="A312" t="s">
        <v>380</v>
      </c>
      <c r="B312" s="1">
        <v>45401</v>
      </c>
      <c r="C312">
        <v>614</v>
      </c>
      <c r="D312" t="s">
        <v>85</v>
      </c>
      <c r="E312" t="s">
        <v>24</v>
      </c>
      <c r="F312" t="s">
        <v>32</v>
      </c>
      <c r="G312" t="s">
        <v>26</v>
      </c>
      <c r="H312" t="s">
        <v>27</v>
      </c>
      <c r="I312" t="s">
        <v>28</v>
      </c>
      <c r="J312" t="s">
        <v>29</v>
      </c>
      <c r="K312">
        <v>798</v>
      </c>
      <c r="L312">
        <v>25</v>
      </c>
      <c r="M312" s="2">
        <v>210</v>
      </c>
      <c r="N312" s="2">
        <v>78</v>
      </c>
      <c r="O312" s="2">
        <v>57</v>
      </c>
      <c r="P312" s="2">
        <v>92</v>
      </c>
      <c r="Q312" s="3">
        <v>0.43809999999999999</v>
      </c>
      <c r="R312" s="2">
        <v>160</v>
      </c>
      <c r="S312" s="2">
        <v>60</v>
      </c>
      <c r="T312" s="2">
        <v>60</v>
      </c>
      <c r="U312" s="3">
        <v>0.375</v>
      </c>
      <c r="V312" s="2">
        <v>32</v>
      </c>
    </row>
    <row r="313" spans="1:22" x14ac:dyDescent="0.25">
      <c r="A313" t="s">
        <v>381</v>
      </c>
      <c r="B313" s="1">
        <v>45402</v>
      </c>
      <c r="C313">
        <v>614</v>
      </c>
      <c r="D313" t="s">
        <v>85</v>
      </c>
      <c r="E313" t="s">
        <v>24</v>
      </c>
      <c r="F313" t="s">
        <v>32</v>
      </c>
      <c r="G313" t="s">
        <v>33</v>
      </c>
      <c r="H313" t="s">
        <v>34</v>
      </c>
      <c r="I313" t="s">
        <v>50</v>
      </c>
      <c r="J313" t="s">
        <v>29</v>
      </c>
      <c r="K313">
        <v>435</v>
      </c>
      <c r="L313">
        <v>13</v>
      </c>
      <c r="M313" s="2">
        <v>101</v>
      </c>
      <c r="N313" s="2">
        <v>41</v>
      </c>
      <c r="O313" s="2">
        <v>36</v>
      </c>
      <c r="P313" s="2">
        <v>24</v>
      </c>
      <c r="Q313" s="3">
        <v>0.23760000000000001</v>
      </c>
      <c r="R313" s="2">
        <v>90</v>
      </c>
      <c r="S313" s="2">
        <v>40</v>
      </c>
      <c r="T313" s="2">
        <v>20</v>
      </c>
      <c r="U313" s="3">
        <v>0.22220000000000001</v>
      </c>
      <c r="V313" s="2">
        <v>4</v>
      </c>
    </row>
    <row r="314" spans="1:22" x14ac:dyDescent="0.25">
      <c r="A314" t="s">
        <v>382</v>
      </c>
      <c r="B314" s="1">
        <v>45402</v>
      </c>
      <c r="C314">
        <v>509</v>
      </c>
      <c r="D314" t="s">
        <v>52</v>
      </c>
      <c r="E314" t="s">
        <v>53</v>
      </c>
      <c r="F314" t="s">
        <v>25</v>
      </c>
      <c r="G314" t="s">
        <v>26</v>
      </c>
      <c r="H314" t="s">
        <v>27</v>
      </c>
      <c r="I314" t="s">
        <v>42</v>
      </c>
      <c r="J314" t="s">
        <v>29</v>
      </c>
      <c r="K314">
        <v>449</v>
      </c>
      <c r="L314">
        <v>14</v>
      </c>
      <c r="M314" s="2">
        <v>120</v>
      </c>
      <c r="N314" s="2">
        <v>46</v>
      </c>
      <c r="O314" s="2">
        <v>36</v>
      </c>
      <c r="P314" s="2">
        <v>46</v>
      </c>
      <c r="Q314" s="3">
        <v>0.38329999999999997</v>
      </c>
      <c r="R314" s="2">
        <v>50</v>
      </c>
      <c r="S314" s="2">
        <v>20</v>
      </c>
      <c r="T314" s="2">
        <v>30</v>
      </c>
      <c r="U314" s="3">
        <v>0.6</v>
      </c>
      <c r="V314" s="2">
        <v>16</v>
      </c>
    </row>
    <row r="315" spans="1:22" x14ac:dyDescent="0.25">
      <c r="A315" t="s">
        <v>383</v>
      </c>
      <c r="B315" s="1">
        <v>45402</v>
      </c>
      <c r="C315">
        <v>708</v>
      </c>
      <c r="D315" t="s">
        <v>37</v>
      </c>
      <c r="E315" t="s">
        <v>24</v>
      </c>
      <c r="F315" t="s">
        <v>32</v>
      </c>
      <c r="G315" t="s">
        <v>26</v>
      </c>
      <c r="H315" t="s">
        <v>27</v>
      </c>
      <c r="I315" t="s">
        <v>42</v>
      </c>
      <c r="J315" t="s">
        <v>29</v>
      </c>
      <c r="K315">
        <v>677</v>
      </c>
      <c r="L315">
        <v>22</v>
      </c>
      <c r="M315" s="2">
        <v>179</v>
      </c>
      <c r="N315" s="2">
        <v>67</v>
      </c>
      <c r="O315" s="2">
        <v>54</v>
      </c>
      <c r="P315" s="2">
        <v>70</v>
      </c>
      <c r="Q315" s="3">
        <v>0.3911</v>
      </c>
      <c r="R315" s="2">
        <v>130</v>
      </c>
      <c r="S315" s="2">
        <v>50</v>
      </c>
      <c r="T315" s="2">
        <v>40</v>
      </c>
      <c r="U315" s="3">
        <v>0.30769999999999997</v>
      </c>
      <c r="V315" s="2">
        <v>30</v>
      </c>
    </row>
    <row r="316" spans="1:22" x14ac:dyDescent="0.25">
      <c r="A316" t="s">
        <v>384</v>
      </c>
      <c r="B316" s="1">
        <v>45402</v>
      </c>
      <c r="C316">
        <v>419</v>
      </c>
      <c r="D316" t="s">
        <v>85</v>
      </c>
      <c r="E316" t="s">
        <v>24</v>
      </c>
      <c r="F316" t="s">
        <v>32</v>
      </c>
      <c r="G316" t="s">
        <v>33</v>
      </c>
      <c r="H316" t="s">
        <v>54</v>
      </c>
      <c r="I316" t="s">
        <v>55</v>
      </c>
      <c r="J316" t="s">
        <v>40</v>
      </c>
      <c r="K316">
        <v>404</v>
      </c>
      <c r="L316">
        <v>20</v>
      </c>
      <c r="M316" s="2">
        <v>128</v>
      </c>
      <c r="N316" s="2">
        <v>54</v>
      </c>
      <c r="O316" s="2">
        <v>54</v>
      </c>
      <c r="P316" s="2">
        <v>18</v>
      </c>
      <c r="Q316" s="3">
        <v>0.1406</v>
      </c>
      <c r="R316" s="2">
        <v>170</v>
      </c>
      <c r="S316" s="2">
        <v>70</v>
      </c>
      <c r="T316" s="2">
        <v>70</v>
      </c>
      <c r="U316" s="3">
        <v>0.4118</v>
      </c>
      <c r="V316" s="2">
        <v>-52</v>
      </c>
    </row>
    <row r="317" spans="1:22" x14ac:dyDescent="0.25">
      <c r="A317" t="s">
        <v>385</v>
      </c>
      <c r="B317" s="1">
        <v>45402</v>
      </c>
      <c r="C317">
        <v>971</v>
      </c>
      <c r="D317" t="s">
        <v>71</v>
      </c>
      <c r="E317" t="s">
        <v>53</v>
      </c>
      <c r="F317" t="s">
        <v>25</v>
      </c>
      <c r="G317" t="s">
        <v>33</v>
      </c>
      <c r="H317" t="s">
        <v>34</v>
      </c>
      <c r="I317" t="s">
        <v>83</v>
      </c>
      <c r="J317" t="s">
        <v>40</v>
      </c>
      <c r="K317">
        <v>419</v>
      </c>
      <c r="L317">
        <v>13</v>
      </c>
      <c r="M317" s="2">
        <v>107</v>
      </c>
      <c r="N317" s="2">
        <v>43</v>
      </c>
      <c r="O317" s="2">
        <v>35</v>
      </c>
      <c r="P317" s="2">
        <v>29</v>
      </c>
      <c r="Q317" s="3">
        <v>0.27100000000000002</v>
      </c>
      <c r="R317" s="2">
        <v>150</v>
      </c>
      <c r="S317" s="2">
        <v>50</v>
      </c>
      <c r="T317" s="2">
        <v>80</v>
      </c>
      <c r="U317" s="3">
        <v>0.5333</v>
      </c>
      <c r="V317" s="2">
        <v>-51</v>
      </c>
    </row>
    <row r="318" spans="1:22" x14ac:dyDescent="0.25">
      <c r="A318" t="s">
        <v>386</v>
      </c>
      <c r="B318" s="1">
        <v>45403</v>
      </c>
      <c r="C318">
        <v>573</v>
      </c>
      <c r="D318" t="s">
        <v>58</v>
      </c>
      <c r="E318" t="s">
        <v>24</v>
      </c>
      <c r="F318" t="s">
        <v>25</v>
      </c>
      <c r="G318" t="s">
        <v>26</v>
      </c>
      <c r="H318" t="s">
        <v>38</v>
      </c>
      <c r="I318" t="s">
        <v>39</v>
      </c>
      <c r="J318" t="s">
        <v>40</v>
      </c>
      <c r="K318">
        <v>320</v>
      </c>
      <c r="L318">
        <v>41</v>
      </c>
      <c r="M318" s="2">
        <v>116</v>
      </c>
      <c r="N318" s="2">
        <v>45</v>
      </c>
      <c r="O318" s="2">
        <v>70</v>
      </c>
      <c r="P318" s="2">
        <v>-9</v>
      </c>
      <c r="Q318" s="3">
        <v>-7.7600000000000002E-2</v>
      </c>
      <c r="R318" s="2">
        <v>80</v>
      </c>
      <c r="S318" s="2">
        <v>20</v>
      </c>
      <c r="T318" s="2">
        <v>30</v>
      </c>
      <c r="U318" s="3">
        <v>0.375</v>
      </c>
      <c r="V318" s="2">
        <v>-39</v>
      </c>
    </row>
    <row r="319" spans="1:22" x14ac:dyDescent="0.25">
      <c r="A319" t="s">
        <v>387</v>
      </c>
      <c r="B319" s="1">
        <v>45403</v>
      </c>
      <c r="C319">
        <v>262</v>
      </c>
      <c r="D319" t="s">
        <v>23</v>
      </c>
      <c r="E319" t="s">
        <v>24</v>
      </c>
      <c r="F319" t="s">
        <v>25</v>
      </c>
      <c r="G319" t="s">
        <v>26</v>
      </c>
      <c r="H319" t="s">
        <v>38</v>
      </c>
      <c r="I319" t="s">
        <v>46</v>
      </c>
      <c r="J319" t="s">
        <v>40</v>
      </c>
      <c r="K319">
        <v>851</v>
      </c>
      <c r="L319">
        <v>13</v>
      </c>
      <c r="M319" s="2">
        <v>126</v>
      </c>
      <c r="N319" s="2">
        <v>48</v>
      </c>
      <c r="O319" s="2">
        <v>25</v>
      </c>
      <c r="P319" s="2">
        <v>67</v>
      </c>
      <c r="Q319" s="3">
        <v>0.53169999999999995</v>
      </c>
      <c r="R319" s="2">
        <v>90</v>
      </c>
      <c r="S319" s="2">
        <v>30</v>
      </c>
      <c r="T319" s="2">
        <v>60</v>
      </c>
      <c r="U319" s="3">
        <v>0.66669999999999996</v>
      </c>
      <c r="V319" s="2">
        <v>7</v>
      </c>
    </row>
    <row r="320" spans="1:22" x14ac:dyDescent="0.25">
      <c r="A320" t="s">
        <v>388</v>
      </c>
      <c r="B320" s="1">
        <v>45403</v>
      </c>
      <c r="C320">
        <v>225</v>
      </c>
      <c r="D320" t="s">
        <v>49</v>
      </c>
      <c r="E320" t="s">
        <v>45</v>
      </c>
      <c r="F320" t="s">
        <v>25</v>
      </c>
      <c r="G320" t="s">
        <v>33</v>
      </c>
      <c r="H320" t="s">
        <v>54</v>
      </c>
      <c r="I320" t="s">
        <v>68</v>
      </c>
      <c r="J320" t="s">
        <v>29</v>
      </c>
      <c r="K320">
        <v>320</v>
      </c>
      <c r="L320">
        <v>12</v>
      </c>
      <c r="M320" s="2">
        <v>114</v>
      </c>
      <c r="N320" s="2">
        <v>41</v>
      </c>
      <c r="O320" s="2">
        <v>35</v>
      </c>
      <c r="P320" s="2">
        <v>46</v>
      </c>
      <c r="Q320" s="3">
        <v>0.40350000000000003</v>
      </c>
      <c r="R320" s="2">
        <v>80</v>
      </c>
      <c r="S320" s="2">
        <v>30</v>
      </c>
      <c r="T320" s="2">
        <v>20</v>
      </c>
      <c r="U320" s="3">
        <v>0.25</v>
      </c>
      <c r="V320" s="2">
        <v>26</v>
      </c>
    </row>
    <row r="321" spans="1:22" x14ac:dyDescent="0.25">
      <c r="A321" t="s">
        <v>389</v>
      </c>
      <c r="B321" s="1">
        <v>45404</v>
      </c>
      <c r="C321">
        <v>262</v>
      </c>
      <c r="D321" t="s">
        <v>23</v>
      </c>
      <c r="E321" t="s">
        <v>24</v>
      </c>
      <c r="F321" t="s">
        <v>25</v>
      </c>
      <c r="G321" t="s">
        <v>33</v>
      </c>
      <c r="H321" t="s">
        <v>54</v>
      </c>
      <c r="I321" t="s">
        <v>55</v>
      </c>
      <c r="J321" t="s">
        <v>40</v>
      </c>
      <c r="K321">
        <v>573</v>
      </c>
      <c r="L321">
        <v>7</v>
      </c>
      <c r="M321" s="2">
        <v>54</v>
      </c>
      <c r="N321" s="2">
        <v>22</v>
      </c>
      <c r="O321" s="2">
        <v>19</v>
      </c>
      <c r="P321" s="2">
        <v>15</v>
      </c>
      <c r="Q321" s="3">
        <v>0.27779999999999999</v>
      </c>
      <c r="R321" s="2">
        <v>70</v>
      </c>
      <c r="S321" s="2">
        <v>20</v>
      </c>
      <c r="T321" s="2">
        <v>50</v>
      </c>
      <c r="U321" s="3">
        <v>0.71430000000000005</v>
      </c>
      <c r="V321" s="2">
        <v>-35</v>
      </c>
    </row>
    <row r="322" spans="1:22" x14ac:dyDescent="0.25">
      <c r="A322" t="s">
        <v>390</v>
      </c>
      <c r="B322" s="1">
        <v>45404</v>
      </c>
      <c r="C322">
        <v>801</v>
      </c>
      <c r="D322" t="s">
        <v>95</v>
      </c>
      <c r="E322" t="s">
        <v>53</v>
      </c>
      <c r="F322" t="s">
        <v>25</v>
      </c>
      <c r="G322" t="s">
        <v>33</v>
      </c>
      <c r="H322" t="s">
        <v>54</v>
      </c>
      <c r="I322" t="s">
        <v>72</v>
      </c>
      <c r="J322" t="s">
        <v>29</v>
      </c>
      <c r="K322">
        <v>833</v>
      </c>
      <c r="L322">
        <v>8</v>
      </c>
      <c r="M322" s="2">
        <v>79</v>
      </c>
      <c r="N322" s="2">
        <v>32</v>
      </c>
      <c r="O322" s="2">
        <v>19</v>
      </c>
      <c r="P322" s="2">
        <v>28</v>
      </c>
      <c r="Q322" s="3">
        <v>0.35439999999999999</v>
      </c>
      <c r="R322" s="2">
        <v>60</v>
      </c>
      <c r="S322" s="2">
        <v>20</v>
      </c>
      <c r="T322" s="2">
        <v>40</v>
      </c>
      <c r="U322" s="3">
        <v>0.66669999999999996</v>
      </c>
      <c r="V322" s="2">
        <v>-12</v>
      </c>
    </row>
    <row r="323" spans="1:22" x14ac:dyDescent="0.25">
      <c r="A323" t="s">
        <v>391</v>
      </c>
      <c r="B323" s="1">
        <v>45404</v>
      </c>
      <c r="C323">
        <v>505</v>
      </c>
      <c r="D323" t="s">
        <v>44</v>
      </c>
      <c r="E323" t="s">
        <v>45</v>
      </c>
      <c r="F323" t="s">
        <v>25</v>
      </c>
      <c r="G323" t="s">
        <v>33</v>
      </c>
      <c r="H323" t="s">
        <v>54</v>
      </c>
      <c r="I323" t="s">
        <v>68</v>
      </c>
      <c r="J323" t="s">
        <v>29</v>
      </c>
      <c r="K323">
        <v>320</v>
      </c>
      <c r="L323">
        <v>41</v>
      </c>
      <c r="M323" s="2">
        <v>116</v>
      </c>
      <c r="N323" s="2">
        <v>45</v>
      </c>
      <c r="O323" s="2">
        <v>70</v>
      </c>
      <c r="P323" s="2">
        <v>-9</v>
      </c>
      <c r="Q323" s="3">
        <v>-7.7600000000000002E-2</v>
      </c>
      <c r="R323" s="2">
        <v>60</v>
      </c>
      <c r="S323" s="2">
        <v>20</v>
      </c>
      <c r="T323" s="2">
        <v>10</v>
      </c>
      <c r="U323" s="3">
        <v>0.16669999999999999</v>
      </c>
      <c r="V323" s="2">
        <v>-19</v>
      </c>
    </row>
    <row r="324" spans="1:22" x14ac:dyDescent="0.25">
      <c r="A324" t="s">
        <v>392</v>
      </c>
      <c r="B324" s="1">
        <v>45404</v>
      </c>
      <c r="C324">
        <v>636</v>
      </c>
      <c r="D324" t="s">
        <v>58</v>
      </c>
      <c r="E324" t="s">
        <v>24</v>
      </c>
      <c r="F324" t="s">
        <v>25</v>
      </c>
      <c r="G324" t="s">
        <v>26</v>
      </c>
      <c r="H324" t="s">
        <v>27</v>
      </c>
      <c r="I324" t="s">
        <v>28</v>
      </c>
      <c r="J324" t="s">
        <v>29</v>
      </c>
      <c r="K324">
        <v>248</v>
      </c>
      <c r="L324">
        <v>11</v>
      </c>
      <c r="M324" s="2">
        <v>87</v>
      </c>
      <c r="N324" s="2">
        <v>35</v>
      </c>
      <c r="O324" s="2">
        <v>38</v>
      </c>
      <c r="P324" s="2">
        <v>13</v>
      </c>
      <c r="Q324" s="3">
        <v>0.14940000000000001</v>
      </c>
      <c r="R324" s="2">
        <v>60</v>
      </c>
      <c r="S324" s="2">
        <v>20</v>
      </c>
      <c r="T324" s="2">
        <v>10</v>
      </c>
      <c r="U324" s="3">
        <v>0.16669999999999999</v>
      </c>
      <c r="V324" s="2">
        <v>3</v>
      </c>
    </row>
    <row r="325" spans="1:22" x14ac:dyDescent="0.25">
      <c r="A325" t="s">
        <v>393</v>
      </c>
      <c r="B325" s="1">
        <v>45404</v>
      </c>
      <c r="C325">
        <v>435</v>
      </c>
      <c r="D325" t="s">
        <v>95</v>
      </c>
      <c r="E325" t="s">
        <v>53</v>
      </c>
      <c r="F325" t="s">
        <v>25</v>
      </c>
      <c r="G325" t="s">
        <v>26</v>
      </c>
      <c r="H325" t="s">
        <v>27</v>
      </c>
      <c r="I325" t="s">
        <v>59</v>
      </c>
      <c r="J325" t="s">
        <v>29</v>
      </c>
      <c r="K325">
        <v>211</v>
      </c>
      <c r="L325">
        <v>12</v>
      </c>
      <c r="M325" s="2">
        <v>81</v>
      </c>
      <c r="N325" s="2">
        <v>34</v>
      </c>
      <c r="O325" s="2">
        <v>45</v>
      </c>
      <c r="P325" s="2">
        <v>-4</v>
      </c>
      <c r="Q325" s="3">
        <v>-4.9399999999999999E-2</v>
      </c>
      <c r="R325" s="2">
        <v>50</v>
      </c>
      <c r="S325" s="2">
        <v>20</v>
      </c>
      <c r="T325" s="2">
        <v>0</v>
      </c>
      <c r="U325" s="3">
        <v>0</v>
      </c>
      <c r="V325" s="2">
        <v>-4</v>
      </c>
    </row>
    <row r="326" spans="1:22" x14ac:dyDescent="0.25">
      <c r="A326" t="s">
        <v>394</v>
      </c>
      <c r="B326" s="1">
        <v>45404</v>
      </c>
      <c r="C326">
        <v>715</v>
      </c>
      <c r="D326" t="s">
        <v>23</v>
      </c>
      <c r="E326" t="s">
        <v>24</v>
      </c>
      <c r="F326" t="s">
        <v>25</v>
      </c>
      <c r="G326" t="s">
        <v>33</v>
      </c>
      <c r="H326" t="s">
        <v>34</v>
      </c>
      <c r="I326" t="s">
        <v>50</v>
      </c>
      <c r="J326" t="s">
        <v>29</v>
      </c>
      <c r="K326">
        <v>716</v>
      </c>
      <c r="L326">
        <v>95</v>
      </c>
      <c r="M326" s="2">
        <v>250</v>
      </c>
      <c r="N326" s="2">
        <v>105</v>
      </c>
      <c r="O326" s="2">
        <v>125</v>
      </c>
      <c r="P326" s="2">
        <v>20</v>
      </c>
      <c r="Q326" s="3">
        <v>0.08</v>
      </c>
      <c r="R326" s="2">
        <v>240</v>
      </c>
      <c r="S326" s="2">
        <v>100</v>
      </c>
      <c r="T326" s="2">
        <v>30</v>
      </c>
      <c r="U326" s="3">
        <v>0.125</v>
      </c>
      <c r="V326" s="2">
        <v>-10</v>
      </c>
    </row>
    <row r="327" spans="1:22" x14ac:dyDescent="0.25">
      <c r="A327" t="s">
        <v>395</v>
      </c>
      <c r="B327" s="1">
        <v>45405</v>
      </c>
      <c r="C327">
        <v>801</v>
      </c>
      <c r="D327" t="s">
        <v>95</v>
      </c>
      <c r="E327" t="s">
        <v>53</v>
      </c>
      <c r="F327" t="s">
        <v>25</v>
      </c>
      <c r="G327" t="s">
        <v>26</v>
      </c>
      <c r="H327" t="s">
        <v>27</v>
      </c>
      <c r="I327" t="s">
        <v>28</v>
      </c>
      <c r="J327" t="s">
        <v>29</v>
      </c>
      <c r="K327">
        <v>320</v>
      </c>
      <c r="L327">
        <v>41</v>
      </c>
      <c r="M327" s="2">
        <v>109</v>
      </c>
      <c r="N327" s="2">
        <v>45</v>
      </c>
      <c r="O327" s="2">
        <v>70</v>
      </c>
      <c r="P327" s="2">
        <v>-6</v>
      </c>
      <c r="Q327" s="3">
        <v>-5.5E-2</v>
      </c>
      <c r="R327" s="2">
        <v>50</v>
      </c>
      <c r="S327" s="2">
        <v>10</v>
      </c>
      <c r="T327" s="2">
        <v>20</v>
      </c>
      <c r="U327" s="3">
        <v>0.4</v>
      </c>
      <c r="V327" s="2">
        <v>-26</v>
      </c>
    </row>
    <row r="328" spans="1:22" x14ac:dyDescent="0.25">
      <c r="A328" t="s">
        <v>396</v>
      </c>
      <c r="B328" s="1">
        <v>45405</v>
      </c>
      <c r="C328">
        <v>641</v>
      </c>
      <c r="D328" t="s">
        <v>124</v>
      </c>
      <c r="E328" t="s">
        <v>24</v>
      </c>
      <c r="F328" t="s">
        <v>25</v>
      </c>
      <c r="G328" t="s">
        <v>33</v>
      </c>
      <c r="H328" t="s">
        <v>34</v>
      </c>
      <c r="I328" t="s">
        <v>83</v>
      </c>
      <c r="J328" t="s">
        <v>40</v>
      </c>
      <c r="K328">
        <v>598</v>
      </c>
      <c r="L328">
        <v>3</v>
      </c>
      <c r="M328" s="2">
        <v>25</v>
      </c>
      <c r="N328" s="2">
        <v>10</v>
      </c>
      <c r="O328" s="2">
        <v>15</v>
      </c>
      <c r="P328" s="2">
        <v>-3</v>
      </c>
      <c r="Q328" s="3">
        <v>-0.12</v>
      </c>
      <c r="R328" s="2">
        <v>10</v>
      </c>
      <c r="S328" s="2">
        <v>0</v>
      </c>
      <c r="T328" s="2">
        <v>10</v>
      </c>
      <c r="U328" s="3">
        <v>1</v>
      </c>
      <c r="V328" s="2">
        <v>-13</v>
      </c>
    </row>
    <row r="329" spans="1:22" x14ac:dyDescent="0.25">
      <c r="A329" t="s">
        <v>397</v>
      </c>
      <c r="B329" s="1">
        <v>45405</v>
      </c>
      <c r="C329">
        <v>513</v>
      </c>
      <c r="D329" t="s">
        <v>85</v>
      </c>
      <c r="E329" t="s">
        <v>24</v>
      </c>
      <c r="F329" t="s">
        <v>32</v>
      </c>
      <c r="G329" t="s">
        <v>26</v>
      </c>
      <c r="H329" t="s">
        <v>27</v>
      </c>
      <c r="I329" t="s">
        <v>28</v>
      </c>
      <c r="J329" t="s">
        <v>29</v>
      </c>
      <c r="K329">
        <v>817</v>
      </c>
      <c r="L329">
        <v>29</v>
      </c>
      <c r="M329" s="2">
        <v>236</v>
      </c>
      <c r="N329" s="2">
        <v>88</v>
      </c>
      <c r="O329" s="2">
        <v>61</v>
      </c>
      <c r="P329" s="2">
        <v>107</v>
      </c>
      <c r="Q329" s="3">
        <v>0.45340000000000003</v>
      </c>
      <c r="R329" s="2">
        <v>180</v>
      </c>
      <c r="S329" s="2">
        <v>70</v>
      </c>
      <c r="T329" s="2">
        <v>70</v>
      </c>
      <c r="U329" s="3">
        <v>0.38890000000000002</v>
      </c>
      <c r="V329" s="2">
        <v>37</v>
      </c>
    </row>
    <row r="330" spans="1:22" x14ac:dyDescent="0.25">
      <c r="A330" t="s">
        <v>398</v>
      </c>
      <c r="B330" s="1">
        <v>45406</v>
      </c>
      <c r="C330">
        <v>225</v>
      </c>
      <c r="D330" t="s">
        <v>49</v>
      </c>
      <c r="E330" t="s">
        <v>45</v>
      </c>
      <c r="F330" t="s">
        <v>25</v>
      </c>
      <c r="G330" t="s">
        <v>33</v>
      </c>
      <c r="H330" t="s">
        <v>54</v>
      </c>
      <c r="I330" t="s">
        <v>55</v>
      </c>
      <c r="J330" t="s">
        <v>40</v>
      </c>
      <c r="K330">
        <v>466</v>
      </c>
      <c r="L330">
        <v>13</v>
      </c>
      <c r="M330" s="2">
        <v>106</v>
      </c>
      <c r="N330" s="2">
        <v>43</v>
      </c>
      <c r="O330" s="2">
        <v>36</v>
      </c>
      <c r="P330" s="2">
        <v>27</v>
      </c>
      <c r="Q330" s="3">
        <v>0.25469999999999998</v>
      </c>
      <c r="R330" s="2">
        <v>80</v>
      </c>
      <c r="S330" s="2">
        <v>30</v>
      </c>
      <c r="T330" s="2">
        <v>20</v>
      </c>
      <c r="U330" s="3">
        <v>0.25</v>
      </c>
      <c r="V330" s="2">
        <v>7</v>
      </c>
    </row>
    <row r="331" spans="1:22" x14ac:dyDescent="0.25">
      <c r="A331" t="s">
        <v>399</v>
      </c>
      <c r="B331" s="1">
        <v>45406</v>
      </c>
      <c r="C331">
        <v>978</v>
      </c>
      <c r="D331" t="s">
        <v>78</v>
      </c>
      <c r="E331" t="s">
        <v>79</v>
      </c>
      <c r="F331" t="s">
        <v>32</v>
      </c>
      <c r="G331" t="s">
        <v>26</v>
      </c>
      <c r="H331" t="s">
        <v>27</v>
      </c>
      <c r="I331" t="s">
        <v>28</v>
      </c>
      <c r="J331" t="s">
        <v>29</v>
      </c>
      <c r="K331">
        <v>870</v>
      </c>
      <c r="L331">
        <v>9</v>
      </c>
      <c r="M331" s="2">
        <v>87</v>
      </c>
      <c r="N331" s="2">
        <v>33</v>
      </c>
      <c r="O331" s="2">
        <v>20</v>
      </c>
      <c r="P331" s="2">
        <v>43</v>
      </c>
      <c r="Q331" s="3">
        <v>0.49430000000000002</v>
      </c>
      <c r="R331" s="2">
        <v>80</v>
      </c>
      <c r="S331" s="2">
        <v>30</v>
      </c>
      <c r="T331" s="2">
        <v>40</v>
      </c>
      <c r="U331" s="3">
        <v>0.5</v>
      </c>
      <c r="V331" s="2">
        <v>3</v>
      </c>
    </row>
    <row r="332" spans="1:22" x14ac:dyDescent="0.25">
      <c r="A332" t="s">
        <v>400</v>
      </c>
      <c r="B332" s="1">
        <v>45406</v>
      </c>
      <c r="C332">
        <v>318</v>
      </c>
      <c r="D332" t="s">
        <v>49</v>
      </c>
      <c r="E332" t="s">
        <v>45</v>
      </c>
      <c r="F332" t="s">
        <v>25</v>
      </c>
      <c r="G332" t="s">
        <v>33</v>
      </c>
      <c r="H332" t="s">
        <v>54</v>
      </c>
      <c r="I332" t="s">
        <v>72</v>
      </c>
      <c r="J332" t="s">
        <v>29</v>
      </c>
      <c r="K332">
        <v>-906</v>
      </c>
      <c r="L332">
        <v>55</v>
      </c>
      <c r="M332" s="2">
        <v>157</v>
      </c>
      <c r="N332" s="2">
        <v>61</v>
      </c>
      <c r="O332" s="2">
        <v>85</v>
      </c>
      <c r="P332" s="2">
        <v>1</v>
      </c>
      <c r="Q332" s="3">
        <v>6.4000000000000003E-3</v>
      </c>
      <c r="R332" s="2">
        <v>110</v>
      </c>
      <c r="S332" s="2">
        <v>40</v>
      </c>
      <c r="T332" s="2">
        <v>10</v>
      </c>
      <c r="U332" s="3">
        <v>9.0899999999999995E-2</v>
      </c>
      <c r="V332" s="2">
        <v>-9</v>
      </c>
    </row>
    <row r="333" spans="1:22" x14ac:dyDescent="0.25">
      <c r="A333" t="s">
        <v>401</v>
      </c>
      <c r="B333" s="1">
        <v>45406</v>
      </c>
      <c r="C333">
        <v>775</v>
      </c>
      <c r="D333" t="s">
        <v>65</v>
      </c>
      <c r="E333" t="s">
        <v>53</v>
      </c>
      <c r="F333" t="s">
        <v>25</v>
      </c>
      <c r="G333" t="s">
        <v>26</v>
      </c>
      <c r="H333" t="s">
        <v>27</v>
      </c>
      <c r="I333" t="s">
        <v>28</v>
      </c>
      <c r="J333" t="s">
        <v>29</v>
      </c>
      <c r="K333">
        <v>1744</v>
      </c>
      <c r="L333">
        <v>81</v>
      </c>
      <c r="M333" s="2">
        <v>614</v>
      </c>
      <c r="N333" s="2">
        <v>247</v>
      </c>
      <c r="O333" s="2">
        <v>114</v>
      </c>
      <c r="P333" s="2">
        <v>319</v>
      </c>
      <c r="Q333" s="3">
        <v>0.51949999999999996</v>
      </c>
      <c r="R333" s="2">
        <v>420</v>
      </c>
      <c r="S333" s="2">
        <v>180</v>
      </c>
      <c r="T333" s="2">
        <v>150</v>
      </c>
      <c r="U333" s="3">
        <v>0.35709999999999997</v>
      </c>
      <c r="V333" s="2">
        <v>169</v>
      </c>
    </row>
    <row r="334" spans="1:22" x14ac:dyDescent="0.25">
      <c r="A334" t="s">
        <v>402</v>
      </c>
      <c r="B334" s="1">
        <v>45408</v>
      </c>
      <c r="C334">
        <v>603</v>
      </c>
      <c r="D334" t="s">
        <v>109</v>
      </c>
      <c r="E334" t="s">
        <v>79</v>
      </c>
      <c r="F334" t="s">
        <v>25</v>
      </c>
      <c r="G334" t="s">
        <v>33</v>
      </c>
      <c r="H334" t="s">
        <v>34</v>
      </c>
      <c r="I334" t="s">
        <v>50</v>
      </c>
      <c r="J334" t="s">
        <v>29</v>
      </c>
      <c r="K334">
        <v>462</v>
      </c>
      <c r="L334">
        <v>15</v>
      </c>
      <c r="M334" s="2">
        <v>130</v>
      </c>
      <c r="N334" s="2">
        <v>48</v>
      </c>
      <c r="O334" s="2">
        <v>46</v>
      </c>
      <c r="P334" s="2">
        <v>42</v>
      </c>
      <c r="Q334" s="3">
        <v>0.3231</v>
      </c>
      <c r="R334" s="2">
        <v>100</v>
      </c>
      <c r="S334" s="2">
        <v>40</v>
      </c>
      <c r="T334" s="2">
        <v>30</v>
      </c>
      <c r="U334" s="3">
        <v>0.3</v>
      </c>
      <c r="V334" s="2">
        <v>12</v>
      </c>
    </row>
    <row r="335" spans="1:22" x14ac:dyDescent="0.25">
      <c r="A335" t="s">
        <v>403</v>
      </c>
      <c r="B335" s="1">
        <v>45408</v>
      </c>
      <c r="C335">
        <v>505</v>
      </c>
      <c r="D335" t="s">
        <v>44</v>
      </c>
      <c r="E335" t="s">
        <v>45</v>
      </c>
      <c r="F335" t="s">
        <v>25</v>
      </c>
      <c r="G335" t="s">
        <v>33</v>
      </c>
      <c r="H335" t="s">
        <v>54</v>
      </c>
      <c r="I335" t="s">
        <v>68</v>
      </c>
      <c r="J335" t="s">
        <v>29</v>
      </c>
      <c r="K335">
        <v>335</v>
      </c>
      <c r="L335">
        <v>44</v>
      </c>
      <c r="M335" s="2">
        <v>126</v>
      </c>
      <c r="N335" s="2">
        <v>49</v>
      </c>
      <c r="O335" s="2">
        <v>74</v>
      </c>
      <c r="P335" s="2">
        <v>-7</v>
      </c>
      <c r="Q335" s="3">
        <v>-5.5599999999999997E-2</v>
      </c>
      <c r="R335" s="2">
        <v>90</v>
      </c>
      <c r="S335" s="2">
        <v>30</v>
      </c>
      <c r="T335" s="2">
        <v>10</v>
      </c>
      <c r="U335" s="3">
        <v>0.1111</v>
      </c>
      <c r="V335" s="2">
        <v>-17</v>
      </c>
    </row>
    <row r="336" spans="1:22" x14ac:dyDescent="0.25">
      <c r="A336" t="s">
        <v>404</v>
      </c>
      <c r="B336" s="1">
        <v>45408</v>
      </c>
      <c r="C336">
        <v>617</v>
      </c>
      <c r="D336" t="s">
        <v>78</v>
      </c>
      <c r="E336" t="s">
        <v>79</v>
      </c>
      <c r="F336" t="s">
        <v>32</v>
      </c>
      <c r="G336" t="s">
        <v>26</v>
      </c>
      <c r="H336" t="s">
        <v>38</v>
      </c>
      <c r="I336" t="s">
        <v>46</v>
      </c>
      <c r="J336" t="s">
        <v>40</v>
      </c>
      <c r="K336">
        <v>410</v>
      </c>
      <c r="L336">
        <v>20</v>
      </c>
      <c r="M336" s="2">
        <v>124</v>
      </c>
      <c r="N336" s="2">
        <v>55</v>
      </c>
      <c r="O336" s="2">
        <v>54</v>
      </c>
      <c r="P336" s="2">
        <v>15</v>
      </c>
      <c r="Q336" s="3">
        <v>0.121</v>
      </c>
      <c r="R336" s="2">
        <v>90</v>
      </c>
      <c r="S336" s="2">
        <v>40</v>
      </c>
      <c r="T336" s="2">
        <v>20</v>
      </c>
      <c r="U336" s="3">
        <v>0.22220000000000001</v>
      </c>
      <c r="V336" s="2">
        <v>-5</v>
      </c>
    </row>
    <row r="337" spans="1:22" x14ac:dyDescent="0.25">
      <c r="A337" t="s">
        <v>405</v>
      </c>
      <c r="B337" s="1">
        <v>45408</v>
      </c>
      <c r="C337">
        <v>425</v>
      </c>
      <c r="D337" t="s">
        <v>52</v>
      </c>
      <c r="E337" t="s">
        <v>53</v>
      </c>
      <c r="F337" t="s">
        <v>25</v>
      </c>
      <c r="G337" t="s">
        <v>26</v>
      </c>
      <c r="H337" t="s">
        <v>38</v>
      </c>
      <c r="I337" t="s">
        <v>46</v>
      </c>
      <c r="J337" t="s">
        <v>40</v>
      </c>
      <c r="K337">
        <v>845</v>
      </c>
      <c r="L337">
        <v>13</v>
      </c>
      <c r="M337" s="2">
        <v>128</v>
      </c>
      <c r="N337" s="2">
        <v>49</v>
      </c>
      <c r="O337" s="2">
        <v>25</v>
      </c>
      <c r="P337" s="2">
        <v>68</v>
      </c>
      <c r="Q337" s="3">
        <v>0.53129999999999999</v>
      </c>
      <c r="R337" s="2">
        <v>110</v>
      </c>
      <c r="S337" s="2">
        <v>40</v>
      </c>
      <c r="T337" s="2">
        <v>50</v>
      </c>
      <c r="U337" s="3">
        <v>0.45450000000000002</v>
      </c>
      <c r="V337" s="2">
        <v>18</v>
      </c>
    </row>
    <row r="338" spans="1:22" x14ac:dyDescent="0.25">
      <c r="A338" t="s">
        <v>406</v>
      </c>
      <c r="B338" s="1">
        <v>45408</v>
      </c>
      <c r="C338">
        <v>971</v>
      </c>
      <c r="D338" t="s">
        <v>71</v>
      </c>
      <c r="E338" t="s">
        <v>53</v>
      </c>
      <c r="F338" t="s">
        <v>25</v>
      </c>
      <c r="G338" t="s">
        <v>26</v>
      </c>
      <c r="H338" t="s">
        <v>27</v>
      </c>
      <c r="I338" t="s">
        <v>28</v>
      </c>
      <c r="J338" t="s">
        <v>29</v>
      </c>
      <c r="K338">
        <v>490</v>
      </c>
      <c r="L338">
        <v>8</v>
      </c>
      <c r="M338" s="2">
        <v>73</v>
      </c>
      <c r="N338" s="2">
        <v>29</v>
      </c>
      <c r="O338" s="2">
        <v>19</v>
      </c>
      <c r="P338" s="2">
        <v>25</v>
      </c>
      <c r="Q338" s="3">
        <v>0.34250000000000003</v>
      </c>
      <c r="R338" s="2">
        <v>50</v>
      </c>
      <c r="S338" s="2">
        <v>20</v>
      </c>
      <c r="T338" s="2">
        <v>30</v>
      </c>
      <c r="U338" s="3">
        <v>0.6</v>
      </c>
      <c r="V338" s="2">
        <v>-5</v>
      </c>
    </row>
    <row r="339" spans="1:22" x14ac:dyDescent="0.25">
      <c r="A339" t="s">
        <v>407</v>
      </c>
      <c r="B339" s="1">
        <v>45408</v>
      </c>
      <c r="C339">
        <v>918</v>
      </c>
      <c r="D339" t="s">
        <v>148</v>
      </c>
      <c r="E339" t="s">
        <v>45</v>
      </c>
      <c r="F339" t="s">
        <v>25</v>
      </c>
      <c r="G339" t="s">
        <v>33</v>
      </c>
      <c r="H339" t="s">
        <v>34</v>
      </c>
      <c r="I339" t="s">
        <v>50</v>
      </c>
      <c r="J339" t="s">
        <v>29</v>
      </c>
      <c r="K339">
        <v>572</v>
      </c>
      <c r="L339">
        <v>29</v>
      </c>
      <c r="M339" s="2">
        <v>218</v>
      </c>
      <c r="N339" s="2">
        <v>90</v>
      </c>
      <c r="O339" s="2">
        <v>41</v>
      </c>
      <c r="P339" s="2">
        <v>110</v>
      </c>
      <c r="Q339" s="3">
        <v>0.50460000000000005</v>
      </c>
      <c r="R339" s="2">
        <v>290</v>
      </c>
      <c r="S339" s="2">
        <v>130</v>
      </c>
      <c r="T339" s="2">
        <v>140</v>
      </c>
      <c r="U339" s="3">
        <v>0.48280000000000001</v>
      </c>
      <c r="V339" s="2">
        <v>-30</v>
      </c>
    </row>
    <row r="340" spans="1:22" x14ac:dyDescent="0.25">
      <c r="A340" t="s">
        <v>408</v>
      </c>
      <c r="B340" s="1">
        <v>45409</v>
      </c>
      <c r="C340">
        <v>312</v>
      </c>
      <c r="D340" t="s">
        <v>37</v>
      </c>
      <c r="E340" t="s">
        <v>24</v>
      </c>
      <c r="F340" t="s">
        <v>32</v>
      </c>
      <c r="G340" t="s">
        <v>26</v>
      </c>
      <c r="H340" t="s">
        <v>38</v>
      </c>
      <c r="I340" t="s">
        <v>46</v>
      </c>
      <c r="J340" t="s">
        <v>40</v>
      </c>
      <c r="K340">
        <v>536</v>
      </c>
      <c r="L340">
        <v>13</v>
      </c>
      <c r="M340" s="2">
        <v>98</v>
      </c>
      <c r="N340" s="2">
        <v>40</v>
      </c>
      <c r="O340" s="2">
        <v>25</v>
      </c>
      <c r="P340" s="2">
        <v>40</v>
      </c>
      <c r="Q340" s="3">
        <v>0.40820000000000001</v>
      </c>
      <c r="R340" s="2">
        <v>80</v>
      </c>
      <c r="S340" s="2">
        <v>30</v>
      </c>
      <c r="T340" s="2">
        <v>30</v>
      </c>
      <c r="U340" s="3">
        <v>0.375</v>
      </c>
      <c r="V340" s="2">
        <v>10</v>
      </c>
    </row>
    <row r="341" spans="1:22" x14ac:dyDescent="0.25">
      <c r="A341" t="s">
        <v>409</v>
      </c>
      <c r="B341" s="1">
        <v>45409</v>
      </c>
      <c r="C341">
        <v>303</v>
      </c>
      <c r="D341" t="s">
        <v>31</v>
      </c>
      <c r="E341" t="s">
        <v>24</v>
      </c>
      <c r="F341" t="s">
        <v>32</v>
      </c>
      <c r="G341" t="s">
        <v>26</v>
      </c>
      <c r="H341" t="s">
        <v>38</v>
      </c>
      <c r="I341" t="s">
        <v>39</v>
      </c>
      <c r="J341" t="s">
        <v>40</v>
      </c>
      <c r="K341">
        <v>1319</v>
      </c>
      <c r="L341">
        <v>42</v>
      </c>
      <c r="M341" s="2">
        <v>306</v>
      </c>
      <c r="N341" s="2">
        <v>153</v>
      </c>
      <c r="O341" s="2">
        <v>66</v>
      </c>
      <c r="P341" s="2">
        <v>87</v>
      </c>
      <c r="Q341" s="3">
        <v>0.2843</v>
      </c>
      <c r="R341" s="2">
        <v>280</v>
      </c>
      <c r="S341" s="2">
        <v>140</v>
      </c>
      <c r="T341" s="2">
        <v>80</v>
      </c>
      <c r="U341" s="3">
        <v>0.28570000000000001</v>
      </c>
      <c r="V341" s="2">
        <v>7</v>
      </c>
    </row>
    <row r="342" spans="1:22" x14ac:dyDescent="0.25">
      <c r="A342" t="s">
        <v>410</v>
      </c>
      <c r="B342" s="1">
        <v>45409</v>
      </c>
      <c r="C342">
        <v>541</v>
      </c>
      <c r="D342" t="s">
        <v>71</v>
      </c>
      <c r="E342" t="s">
        <v>53</v>
      </c>
      <c r="F342" t="s">
        <v>25</v>
      </c>
      <c r="G342" t="s">
        <v>26</v>
      </c>
      <c r="H342" t="s">
        <v>27</v>
      </c>
      <c r="I342" t="s">
        <v>28</v>
      </c>
      <c r="J342" t="s">
        <v>29</v>
      </c>
      <c r="K342">
        <v>480</v>
      </c>
      <c r="L342">
        <v>5</v>
      </c>
      <c r="M342" s="2">
        <v>53</v>
      </c>
      <c r="N342" s="2">
        <v>21</v>
      </c>
      <c r="O342" s="2">
        <v>16</v>
      </c>
      <c r="P342" s="2">
        <v>16</v>
      </c>
      <c r="Q342" s="3">
        <v>0.3019</v>
      </c>
      <c r="R342" s="2">
        <v>20</v>
      </c>
      <c r="S342" s="2">
        <v>0</v>
      </c>
      <c r="T342" s="2">
        <v>20</v>
      </c>
      <c r="U342" s="3">
        <v>1</v>
      </c>
      <c r="V342" s="2">
        <v>-4</v>
      </c>
    </row>
    <row r="343" spans="1:22" x14ac:dyDescent="0.25">
      <c r="A343" t="s">
        <v>411</v>
      </c>
      <c r="B343" s="1">
        <v>45409</v>
      </c>
      <c r="C343">
        <v>559</v>
      </c>
      <c r="D343" t="s">
        <v>62</v>
      </c>
      <c r="E343" t="s">
        <v>53</v>
      </c>
      <c r="F343" t="s">
        <v>32</v>
      </c>
      <c r="G343" t="s">
        <v>33</v>
      </c>
      <c r="H343" t="s">
        <v>54</v>
      </c>
      <c r="I343" t="s">
        <v>72</v>
      </c>
      <c r="J343" t="s">
        <v>29</v>
      </c>
      <c r="K343">
        <v>1778</v>
      </c>
      <c r="L343">
        <v>59</v>
      </c>
      <c r="M343" s="2">
        <v>423</v>
      </c>
      <c r="N343" s="2">
        <v>211</v>
      </c>
      <c r="O343" s="2">
        <v>83</v>
      </c>
      <c r="P343" s="2">
        <v>129</v>
      </c>
      <c r="Q343" s="3">
        <v>0.30499999999999999</v>
      </c>
      <c r="R343" s="2">
        <v>410</v>
      </c>
      <c r="S343" s="2">
        <v>200</v>
      </c>
      <c r="T343" s="2">
        <v>140</v>
      </c>
      <c r="U343" s="3">
        <v>0.34150000000000003</v>
      </c>
      <c r="V343" s="2">
        <v>-11</v>
      </c>
    </row>
    <row r="344" spans="1:22" x14ac:dyDescent="0.25">
      <c r="A344" t="s">
        <v>412</v>
      </c>
      <c r="B344" s="1">
        <v>45409</v>
      </c>
      <c r="C344">
        <v>702</v>
      </c>
      <c r="D344" t="s">
        <v>65</v>
      </c>
      <c r="E344" t="s">
        <v>53</v>
      </c>
      <c r="F344" t="s">
        <v>25</v>
      </c>
      <c r="G344" t="s">
        <v>26</v>
      </c>
      <c r="H344" t="s">
        <v>38</v>
      </c>
      <c r="I344" t="s">
        <v>46</v>
      </c>
      <c r="J344" t="s">
        <v>40</v>
      </c>
      <c r="K344">
        <v>1191</v>
      </c>
      <c r="L344">
        <v>73</v>
      </c>
      <c r="M344" s="2">
        <v>569</v>
      </c>
      <c r="N344" s="2">
        <v>224</v>
      </c>
      <c r="O344" s="2">
        <v>116</v>
      </c>
      <c r="P344" s="2">
        <v>288</v>
      </c>
      <c r="Q344" s="3">
        <v>0.50619999999999998</v>
      </c>
      <c r="R344" s="2">
        <v>490</v>
      </c>
      <c r="S344" s="2">
        <v>210</v>
      </c>
      <c r="T344" s="2">
        <v>170</v>
      </c>
      <c r="U344" s="3">
        <v>0.34689999999999999</v>
      </c>
      <c r="V344" s="2">
        <v>118</v>
      </c>
    </row>
    <row r="345" spans="1:22" x14ac:dyDescent="0.25">
      <c r="A345" t="s">
        <v>413</v>
      </c>
      <c r="B345" s="1">
        <v>45410</v>
      </c>
      <c r="C345">
        <v>936</v>
      </c>
      <c r="D345" t="s">
        <v>76</v>
      </c>
      <c r="E345" t="s">
        <v>45</v>
      </c>
      <c r="F345" t="s">
        <v>32</v>
      </c>
      <c r="G345" t="s">
        <v>26</v>
      </c>
      <c r="H345" t="s">
        <v>38</v>
      </c>
      <c r="I345" t="s">
        <v>46</v>
      </c>
      <c r="J345" t="s">
        <v>40</v>
      </c>
      <c r="K345">
        <v>424</v>
      </c>
      <c r="L345">
        <v>14</v>
      </c>
      <c r="M345" s="2">
        <v>114</v>
      </c>
      <c r="N345" s="2">
        <v>46</v>
      </c>
      <c r="O345" s="2">
        <v>37</v>
      </c>
      <c r="P345" s="2">
        <v>31</v>
      </c>
      <c r="Q345" s="3">
        <v>0.27189999999999998</v>
      </c>
      <c r="R345" s="2">
        <v>100</v>
      </c>
      <c r="S345" s="2">
        <v>40</v>
      </c>
      <c r="T345" s="2">
        <v>30</v>
      </c>
      <c r="U345" s="3">
        <v>0.3</v>
      </c>
      <c r="V345" s="2">
        <v>1</v>
      </c>
    </row>
    <row r="346" spans="1:22" x14ac:dyDescent="0.25">
      <c r="A346" t="s">
        <v>414</v>
      </c>
      <c r="B346" s="1">
        <v>45410</v>
      </c>
      <c r="C346">
        <v>225</v>
      </c>
      <c r="D346" t="s">
        <v>49</v>
      </c>
      <c r="E346" t="s">
        <v>45</v>
      </c>
      <c r="F346" t="s">
        <v>25</v>
      </c>
      <c r="G346" t="s">
        <v>33</v>
      </c>
      <c r="H346" t="s">
        <v>34</v>
      </c>
      <c r="I346" t="s">
        <v>83</v>
      </c>
      <c r="J346" t="s">
        <v>40</v>
      </c>
      <c r="K346">
        <v>863</v>
      </c>
      <c r="L346">
        <v>9</v>
      </c>
      <c r="M346" s="2">
        <v>85</v>
      </c>
      <c r="N346" s="2">
        <v>34</v>
      </c>
      <c r="O346" s="2">
        <v>20</v>
      </c>
      <c r="P346" s="2">
        <v>31</v>
      </c>
      <c r="Q346" s="3">
        <v>0.36470000000000002</v>
      </c>
      <c r="R346" s="2">
        <v>100</v>
      </c>
      <c r="S346" s="2">
        <v>40</v>
      </c>
      <c r="T346" s="2">
        <v>50</v>
      </c>
      <c r="U346" s="3">
        <v>0.5</v>
      </c>
      <c r="V346" s="2">
        <v>-19</v>
      </c>
    </row>
    <row r="347" spans="1:22" x14ac:dyDescent="0.25">
      <c r="A347" t="s">
        <v>415</v>
      </c>
      <c r="B347" s="1">
        <v>45410</v>
      </c>
      <c r="C347">
        <v>386</v>
      </c>
      <c r="D347" t="s">
        <v>117</v>
      </c>
      <c r="E347" t="s">
        <v>79</v>
      </c>
      <c r="F347" t="s">
        <v>32</v>
      </c>
      <c r="G347" t="s">
        <v>33</v>
      </c>
      <c r="H347" t="s">
        <v>54</v>
      </c>
      <c r="I347" t="s">
        <v>55</v>
      </c>
      <c r="J347" t="s">
        <v>40</v>
      </c>
      <c r="K347">
        <v>575</v>
      </c>
      <c r="L347">
        <v>27</v>
      </c>
      <c r="M347" s="2">
        <v>208</v>
      </c>
      <c r="N347" s="2">
        <v>83</v>
      </c>
      <c r="O347" s="2">
        <v>54</v>
      </c>
      <c r="P347" s="2">
        <v>86</v>
      </c>
      <c r="Q347" s="3">
        <v>0.41349999999999998</v>
      </c>
      <c r="R347" s="2">
        <v>190</v>
      </c>
      <c r="S347" s="2">
        <v>80</v>
      </c>
      <c r="T347" s="2">
        <v>70</v>
      </c>
      <c r="U347" s="3">
        <v>0.36840000000000001</v>
      </c>
      <c r="V347" s="2">
        <v>16</v>
      </c>
    </row>
    <row r="348" spans="1:22" x14ac:dyDescent="0.25">
      <c r="A348" t="s">
        <v>416</v>
      </c>
      <c r="B348" s="1">
        <v>45413</v>
      </c>
      <c r="C348">
        <v>860</v>
      </c>
      <c r="D348" t="s">
        <v>135</v>
      </c>
      <c r="E348" t="s">
        <v>79</v>
      </c>
      <c r="F348" t="s">
        <v>25</v>
      </c>
      <c r="G348" t="s">
        <v>26</v>
      </c>
      <c r="H348" t="s">
        <v>27</v>
      </c>
      <c r="I348" t="s">
        <v>28</v>
      </c>
      <c r="J348" t="s">
        <v>29</v>
      </c>
      <c r="K348">
        <v>881</v>
      </c>
      <c r="L348">
        <v>11</v>
      </c>
      <c r="M348" s="2">
        <v>99</v>
      </c>
      <c r="N348" s="2">
        <v>40</v>
      </c>
      <c r="O348" s="2">
        <v>23</v>
      </c>
      <c r="P348" s="2">
        <v>36</v>
      </c>
      <c r="Q348" s="3">
        <v>0.36359999999999998</v>
      </c>
      <c r="R348" s="2">
        <v>100</v>
      </c>
      <c r="S348" s="2">
        <v>40</v>
      </c>
      <c r="T348" s="2">
        <v>50</v>
      </c>
      <c r="U348" s="3">
        <v>0.5</v>
      </c>
      <c r="V348" s="2">
        <v>-14</v>
      </c>
    </row>
    <row r="349" spans="1:22" x14ac:dyDescent="0.25">
      <c r="A349" t="s">
        <v>417</v>
      </c>
      <c r="B349" s="1">
        <v>45413</v>
      </c>
      <c r="C349">
        <v>630</v>
      </c>
      <c r="D349" t="s">
        <v>37</v>
      </c>
      <c r="E349" t="s">
        <v>24</v>
      </c>
      <c r="F349" t="s">
        <v>32</v>
      </c>
      <c r="G349" t="s">
        <v>26</v>
      </c>
      <c r="H349" t="s">
        <v>38</v>
      </c>
      <c r="I349" t="s">
        <v>46</v>
      </c>
      <c r="J349" t="s">
        <v>40</v>
      </c>
      <c r="K349">
        <v>541</v>
      </c>
      <c r="L349">
        <v>12</v>
      </c>
      <c r="M349" s="2">
        <v>90</v>
      </c>
      <c r="N349" s="2">
        <v>39</v>
      </c>
      <c r="O349" s="2">
        <v>24</v>
      </c>
      <c r="P349" s="2">
        <v>27</v>
      </c>
      <c r="Q349" s="3">
        <v>0.3</v>
      </c>
      <c r="R349" s="2">
        <v>60</v>
      </c>
      <c r="S349" s="2">
        <v>20</v>
      </c>
      <c r="T349" s="2">
        <v>40</v>
      </c>
      <c r="U349" s="3">
        <v>0.66669999999999996</v>
      </c>
      <c r="V349" s="2">
        <v>-13</v>
      </c>
    </row>
    <row r="350" spans="1:22" x14ac:dyDescent="0.25">
      <c r="A350" t="s">
        <v>418</v>
      </c>
      <c r="B350" s="1">
        <v>45413</v>
      </c>
      <c r="C350">
        <v>682</v>
      </c>
      <c r="D350" t="s">
        <v>76</v>
      </c>
      <c r="E350" t="s">
        <v>45</v>
      </c>
      <c r="F350" t="s">
        <v>32</v>
      </c>
      <c r="G350" t="s">
        <v>33</v>
      </c>
      <c r="H350" t="s">
        <v>54</v>
      </c>
      <c r="I350" t="s">
        <v>72</v>
      </c>
      <c r="J350" t="s">
        <v>29</v>
      </c>
      <c r="K350">
        <v>-868</v>
      </c>
      <c r="L350">
        <v>23</v>
      </c>
      <c r="M350" s="2">
        <v>194</v>
      </c>
      <c r="N350" s="2">
        <v>72</v>
      </c>
      <c r="O350" s="2">
        <v>55</v>
      </c>
      <c r="P350" s="2">
        <v>82</v>
      </c>
      <c r="Q350" s="3">
        <v>0.42270000000000002</v>
      </c>
      <c r="R350" s="2">
        <v>110</v>
      </c>
      <c r="S350" s="2">
        <v>40</v>
      </c>
      <c r="T350" s="2">
        <v>50</v>
      </c>
      <c r="U350" s="3">
        <v>0.45450000000000002</v>
      </c>
      <c r="V350" s="2">
        <v>32</v>
      </c>
    </row>
    <row r="351" spans="1:22" x14ac:dyDescent="0.25">
      <c r="A351" t="s">
        <v>419</v>
      </c>
      <c r="B351" s="1">
        <v>45413</v>
      </c>
      <c r="C351">
        <v>585</v>
      </c>
      <c r="D351" t="s">
        <v>99</v>
      </c>
      <c r="E351" t="s">
        <v>79</v>
      </c>
      <c r="F351" t="s">
        <v>32</v>
      </c>
      <c r="G351" t="s">
        <v>26</v>
      </c>
      <c r="H351" t="s">
        <v>27</v>
      </c>
      <c r="I351" t="s">
        <v>59</v>
      </c>
      <c r="J351" t="s">
        <v>29</v>
      </c>
      <c r="K351">
        <v>601</v>
      </c>
      <c r="L351">
        <v>15</v>
      </c>
      <c r="M351" s="2">
        <v>142</v>
      </c>
      <c r="N351" s="2">
        <v>54</v>
      </c>
      <c r="O351" s="2">
        <v>27</v>
      </c>
      <c r="P351" s="2">
        <v>77</v>
      </c>
      <c r="Q351" s="3">
        <v>0.5423</v>
      </c>
      <c r="R351" s="2">
        <v>130</v>
      </c>
      <c r="S351" s="2">
        <v>50</v>
      </c>
      <c r="T351" s="2">
        <v>60</v>
      </c>
      <c r="U351" s="3">
        <v>0.46150000000000002</v>
      </c>
      <c r="V351" s="2">
        <v>17</v>
      </c>
    </row>
    <row r="352" spans="1:22" x14ac:dyDescent="0.25">
      <c r="A352" t="s">
        <v>420</v>
      </c>
      <c r="B352" s="1">
        <v>45413</v>
      </c>
      <c r="C352">
        <v>435</v>
      </c>
      <c r="D352" t="s">
        <v>95</v>
      </c>
      <c r="E352" t="s">
        <v>53</v>
      </c>
      <c r="F352" t="s">
        <v>25</v>
      </c>
      <c r="G352" t="s">
        <v>33</v>
      </c>
      <c r="H352" t="s">
        <v>34</v>
      </c>
      <c r="I352" t="s">
        <v>83</v>
      </c>
      <c r="J352" t="s">
        <v>40</v>
      </c>
      <c r="K352">
        <v>619</v>
      </c>
      <c r="L352">
        <v>25</v>
      </c>
      <c r="M352" s="2">
        <v>153</v>
      </c>
      <c r="N352" s="2">
        <v>68</v>
      </c>
      <c r="O352" s="2">
        <v>59</v>
      </c>
      <c r="P352" s="2">
        <v>26</v>
      </c>
      <c r="Q352" s="3">
        <v>0.1699</v>
      </c>
      <c r="R352" s="2">
        <v>180</v>
      </c>
      <c r="S352" s="2">
        <v>80</v>
      </c>
      <c r="T352" s="2">
        <v>50</v>
      </c>
      <c r="U352" s="3">
        <v>0.27779999999999999</v>
      </c>
      <c r="V352" s="2">
        <v>-24</v>
      </c>
    </row>
    <row r="353" spans="1:22" x14ac:dyDescent="0.25">
      <c r="A353" t="s">
        <v>421</v>
      </c>
      <c r="B353" s="1">
        <v>45413</v>
      </c>
      <c r="C353">
        <v>951</v>
      </c>
      <c r="D353" t="s">
        <v>62</v>
      </c>
      <c r="E353" t="s">
        <v>53</v>
      </c>
      <c r="F353" t="s">
        <v>32</v>
      </c>
      <c r="G353" t="s">
        <v>26</v>
      </c>
      <c r="H353" t="s">
        <v>38</v>
      </c>
      <c r="I353" t="s">
        <v>46</v>
      </c>
      <c r="J353" t="s">
        <v>40</v>
      </c>
      <c r="K353">
        <v>1246</v>
      </c>
      <c r="L353">
        <v>74</v>
      </c>
      <c r="M353" s="2">
        <v>554</v>
      </c>
      <c r="N353" s="2">
        <v>239</v>
      </c>
      <c r="O353" s="2">
        <v>95</v>
      </c>
      <c r="P353" s="2">
        <v>276</v>
      </c>
      <c r="Q353" s="3">
        <v>0.49819999999999998</v>
      </c>
      <c r="R353" s="2">
        <v>410</v>
      </c>
      <c r="S353" s="2">
        <v>190</v>
      </c>
      <c r="T353" s="2">
        <v>170</v>
      </c>
      <c r="U353" s="3">
        <v>0.41460000000000002</v>
      </c>
      <c r="V353" s="2">
        <v>106</v>
      </c>
    </row>
    <row r="354" spans="1:22" x14ac:dyDescent="0.25">
      <c r="A354" t="s">
        <v>422</v>
      </c>
      <c r="B354" s="1">
        <v>45414</v>
      </c>
      <c r="C354">
        <v>720</v>
      </c>
      <c r="D354" t="s">
        <v>31</v>
      </c>
      <c r="E354" t="s">
        <v>24</v>
      </c>
      <c r="F354" t="s">
        <v>32</v>
      </c>
      <c r="G354" t="s">
        <v>26</v>
      </c>
      <c r="H354" t="s">
        <v>38</v>
      </c>
      <c r="I354" t="s">
        <v>46</v>
      </c>
      <c r="J354" t="s">
        <v>40</v>
      </c>
      <c r="K354">
        <v>503</v>
      </c>
      <c r="L354">
        <v>46</v>
      </c>
      <c r="M354" s="2">
        <v>130</v>
      </c>
      <c r="N354" s="2">
        <v>51</v>
      </c>
      <c r="O354" s="2">
        <v>76</v>
      </c>
      <c r="P354" s="2">
        <v>-7</v>
      </c>
      <c r="Q354" s="3">
        <v>-5.3800000000000001E-2</v>
      </c>
      <c r="R354" s="2">
        <v>90</v>
      </c>
      <c r="S354" s="2">
        <v>30</v>
      </c>
      <c r="T354" s="2">
        <v>30</v>
      </c>
      <c r="U354" s="3">
        <v>0.33329999999999999</v>
      </c>
      <c r="V354" s="2">
        <v>-37</v>
      </c>
    </row>
    <row r="355" spans="1:22" x14ac:dyDescent="0.25">
      <c r="A355" t="s">
        <v>423</v>
      </c>
      <c r="B355" s="1">
        <v>45414</v>
      </c>
      <c r="C355">
        <v>720</v>
      </c>
      <c r="D355" t="s">
        <v>31</v>
      </c>
      <c r="E355" t="s">
        <v>24</v>
      </c>
      <c r="F355" t="s">
        <v>32</v>
      </c>
      <c r="G355" t="s">
        <v>26</v>
      </c>
      <c r="H355" t="s">
        <v>27</v>
      </c>
      <c r="I355" t="s">
        <v>28</v>
      </c>
      <c r="J355" t="s">
        <v>29</v>
      </c>
      <c r="K355">
        <v>404</v>
      </c>
      <c r="L355">
        <v>20</v>
      </c>
      <c r="M355" s="2">
        <v>128</v>
      </c>
      <c r="N355" s="2">
        <v>54</v>
      </c>
      <c r="O355" s="2">
        <v>53</v>
      </c>
      <c r="P355" s="2">
        <v>19</v>
      </c>
      <c r="Q355" s="3">
        <v>0.1484</v>
      </c>
      <c r="R355" s="2">
        <v>80</v>
      </c>
      <c r="S355" s="2">
        <v>30</v>
      </c>
      <c r="T355" s="2">
        <v>30</v>
      </c>
      <c r="U355" s="3">
        <v>0.375</v>
      </c>
      <c r="V355" s="2">
        <v>-11</v>
      </c>
    </row>
    <row r="356" spans="1:22" x14ac:dyDescent="0.25">
      <c r="A356" t="s">
        <v>424</v>
      </c>
      <c r="B356" s="1">
        <v>45414</v>
      </c>
      <c r="C356">
        <v>937</v>
      </c>
      <c r="D356" t="s">
        <v>85</v>
      </c>
      <c r="E356" t="s">
        <v>24</v>
      </c>
      <c r="F356" t="s">
        <v>32</v>
      </c>
      <c r="G356" t="s">
        <v>33</v>
      </c>
      <c r="H356" t="s">
        <v>34</v>
      </c>
      <c r="I356" t="s">
        <v>50</v>
      </c>
      <c r="J356" t="s">
        <v>29</v>
      </c>
      <c r="K356">
        <v>419</v>
      </c>
      <c r="L356">
        <v>13</v>
      </c>
      <c r="M356" s="2">
        <v>107</v>
      </c>
      <c r="N356" s="2">
        <v>43</v>
      </c>
      <c r="O356" s="2">
        <v>36</v>
      </c>
      <c r="P356" s="2">
        <v>28</v>
      </c>
      <c r="Q356" s="3">
        <v>0.26169999999999999</v>
      </c>
      <c r="R356" s="2">
        <v>100</v>
      </c>
      <c r="S356" s="2">
        <v>30</v>
      </c>
      <c r="T356" s="2">
        <v>60</v>
      </c>
      <c r="U356" s="3">
        <v>0.6</v>
      </c>
      <c r="V356" s="2">
        <v>-32</v>
      </c>
    </row>
    <row r="357" spans="1:22" x14ac:dyDescent="0.25">
      <c r="A357" t="s">
        <v>425</v>
      </c>
      <c r="B357" s="1">
        <v>45414</v>
      </c>
      <c r="C357">
        <v>513</v>
      </c>
      <c r="D357" t="s">
        <v>85</v>
      </c>
      <c r="E357" t="s">
        <v>24</v>
      </c>
      <c r="F357" t="s">
        <v>32</v>
      </c>
      <c r="G357" t="s">
        <v>33</v>
      </c>
      <c r="H357" t="s">
        <v>34</v>
      </c>
      <c r="I357" t="s">
        <v>35</v>
      </c>
      <c r="J357" t="s">
        <v>29</v>
      </c>
      <c r="K357">
        <v>424</v>
      </c>
      <c r="L357">
        <v>17</v>
      </c>
      <c r="M357" s="2">
        <v>127</v>
      </c>
      <c r="N357" s="2">
        <v>54</v>
      </c>
      <c r="O357" s="2">
        <v>44</v>
      </c>
      <c r="P357" s="2">
        <v>29</v>
      </c>
      <c r="Q357" s="3">
        <v>0.2283</v>
      </c>
      <c r="R357" s="2">
        <v>120</v>
      </c>
      <c r="S357" s="2">
        <v>50</v>
      </c>
      <c r="T357" s="2">
        <v>40</v>
      </c>
      <c r="U357" s="3">
        <v>0.33329999999999999</v>
      </c>
      <c r="V357" s="2">
        <v>-11</v>
      </c>
    </row>
    <row r="358" spans="1:22" x14ac:dyDescent="0.25">
      <c r="A358" t="s">
        <v>426</v>
      </c>
      <c r="B358" s="1">
        <v>45414</v>
      </c>
      <c r="C358">
        <v>405</v>
      </c>
      <c r="D358" t="s">
        <v>148</v>
      </c>
      <c r="E358" t="s">
        <v>45</v>
      </c>
      <c r="F358" t="s">
        <v>25</v>
      </c>
      <c r="G358" t="s">
        <v>26</v>
      </c>
      <c r="H358" t="s">
        <v>38</v>
      </c>
      <c r="I358" t="s">
        <v>39</v>
      </c>
      <c r="J358" t="s">
        <v>40</v>
      </c>
      <c r="K358">
        <v>403</v>
      </c>
      <c r="L358">
        <v>24</v>
      </c>
      <c r="M358" s="2">
        <v>145</v>
      </c>
      <c r="N358" s="2">
        <v>65</v>
      </c>
      <c r="O358" s="2">
        <v>58</v>
      </c>
      <c r="P358" s="2">
        <v>22</v>
      </c>
      <c r="Q358" s="3">
        <v>0.1517</v>
      </c>
      <c r="R358" s="2">
        <v>130</v>
      </c>
      <c r="S358" s="2">
        <v>60</v>
      </c>
      <c r="T358" s="2">
        <v>20</v>
      </c>
      <c r="U358" s="3">
        <v>0.15379999999999999</v>
      </c>
      <c r="V358" s="2">
        <v>2</v>
      </c>
    </row>
    <row r="359" spans="1:22" x14ac:dyDescent="0.25">
      <c r="A359" t="s">
        <v>427</v>
      </c>
      <c r="B359" s="1">
        <v>45414</v>
      </c>
      <c r="C359">
        <v>775</v>
      </c>
      <c r="D359" t="s">
        <v>65</v>
      </c>
      <c r="E359" t="s">
        <v>53</v>
      </c>
      <c r="F359" t="s">
        <v>25</v>
      </c>
      <c r="G359" t="s">
        <v>33</v>
      </c>
      <c r="H359" t="s">
        <v>54</v>
      </c>
      <c r="I359" t="s">
        <v>55</v>
      </c>
      <c r="J359" t="s">
        <v>40</v>
      </c>
      <c r="K359">
        <v>800</v>
      </c>
      <c r="L359">
        <v>6</v>
      </c>
      <c r="M359" s="2">
        <v>62</v>
      </c>
      <c r="N359" s="2">
        <v>23</v>
      </c>
      <c r="O359" s="2">
        <v>18</v>
      </c>
      <c r="P359" s="2">
        <v>25</v>
      </c>
      <c r="Q359" s="3">
        <v>0.4032</v>
      </c>
      <c r="R359" s="2">
        <v>40</v>
      </c>
      <c r="S359" s="2">
        <v>10</v>
      </c>
      <c r="T359" s="2">
        <v>30</v>
      </c>
      <c r="U359" s="3">
        <v>0.75</v>
      </c>
      <c r="V359" s="2">
        <v>-5</v>
      </c>
    </row>
    <row r="360" spans="1:22" x14ac:dyDescent="0.25">
      <c r="A360" t="s">
        <v>428</v>
      </c>
      <c r="B360" s="1">
        <v>45414</v>
      </c>
      <c r="C360">
        <v>435</v>
      </c>
      <c r="D360" t="s">
        <v>95</v>
      </c>
      <c r="E360" t="s">
        <v>53</v>
      </c>
      <c r="F360" t="s">
        <v>25</v>
      </c>
      <c r="G360" t="s">
        <v>26</v>
      </c>
      <c r="H360" t="s">
        <v>27</v>
      </c>
      <c r="I360" t="s">
        <v>42</v>
      </c>
      <c r="J360" t="s">
        <v>29</v>
      </c>
      <c r="K360">
        <v>248</v>
      </c>
      <c r="L360">
        <v>11</v>
      </c>
      <c r="M360" s="2">
        <v>87</v>
      </c>
      <c r="N360" s="2">
        <v>35</v>
      </c>
      <c r="O360" s="2">
        <v>38</v>
      </c>
      <c r="P360" s="2">
        <v>13</v>
      </c>
      <c r="Q360" s="3">
        <v>0.14940000000000001</v>
      </c>
      <c r="R360" s="2">
        <v>50</v>
      </c>
      <c r="S360" s="2">
        <v>20</v>
      </c>
      <c r="T360" s="2">
        <v>10</v>
      </c>
      <c r="U360" s="3">
        <v>0.2</v>
      </c>
      <c r="V360" s="2">
        <v>3</v>
      </c>
    </row>
    <row r="361" spans="1:22" x14ac:dyDescent="0.25">
      <c r="A361" t="s">
        <v>429</v>
      </c>
      <c r="B361" s="1">
        <v>45414</v>
      </c>
      <c r="C361">
        <v>405</v>
      </c>
      <c r="D361" t="s">
        <v>148</v>
      </c>
      <c r="E361" t="s">
        <v>45</v>
      </c>
      <c r="F361" t="s">
        <v>25</v>
      </c>
      <c r="G361" t="s">
        <v>26</v>
      </c>
      <c r="H361" t="s">
        <v>38</v>
      </c>
      <c r="I361" t="s">
        <v>46</v>
      </c>
      <c r="J361" t="s">
        <v>40</v>
      </c>
      <c r="K361">
        <v>694</v>
      </c>
      <c r="L361">
        <v>85</v>
      </c>
      <c r="M361" s="2">
        <v>239</v>
      </c>
      <c r="N361" s="2">
        <v>94</v>
      </c>
      <c r="O361" s="2">
        <v>115</v>
      </c>
      <c r="P361" s="2">
        <v>22</v>
      </c>
      <c r="Q361" s="3">
        <v>9.2100000000000001E-2</v>
      </c>
      <c r="R361" s="2">
        <v>200</v>
      </c>
      <c r="S361" s="2">
        <v>80</v>
      </c>
      <c r="T361" s="2">
        <v>20</v>
      </c>
      <c r="U361" s="3">
        <v>0.1</v>
      </c>
      <c r="V361" s="2">
        <v>2</v>
      </c>
    </row>
    <row r="362" spans="1:22" x14ac:dyDescent="0.25">
      <c r="A362" t="s">
        <v>430</v>
      </c>
      <c r="B362" s="1">
        <v>45414</v>
      </c>
      <c r="C362">
        <v>407</v>
      </c>
      <c r="D362" t="s">
        <v>117</v>
      </c>
      <c r="E362" t="s">
        <v>79</v>
      </c>
      <c r="F362" t="s">
        <v>32</v>
      </c>
      <c r="G362" t="s">
        <v>33</v>
      </c>
      <c r="H362" t="s">
        <v>54</v>
      </c>
      <c r="I362" t="s">
        <v>55</v>
      </c>
      <c r="J362" t="s">
        <v>40</v>
      </c>
      <c r="K362">
        <v>575</v>
      </c>
      <c r="L362">
        <v>27</v>
      </c>
      <c r="M362" s="2">
        <v>195</v>
      </c>
      <c r="N362" s="2">
        <v>83</v>
      </c>
      <c r="O362" s="2">
        <v>54</v>
      </c>
      <c r="P362" s="2">
        <v>58</v>
      </c>
      <c r="Q362" s="3">
        <v>0.2974</v>
      </c>
      <c r="R362" s="2">
        <v>190</v>
      </c>
      <c r="S362" s="2">
        <v>80</v>
      </c>
      <c r="T362" s="2">
        <v>70</v>
      </c>
      <c r="U362" s="3">
        <v>0.36840000000000001</v>
      </c>
      <c r="V362" s="2">
        <v>-12</v>
      </c>
    </row>
    <row r="363" spans="1:22" x14ac:dyDescent="0.25">
      <c r="A363" t="s">
        <v>431</v>
      </c>
      <c r="B363" s="1">
        <v>45415</v>
      </c>
      <c r="C363">
        <v>435</v>
      </c>
      <c r="D363" t="s">
        <v>95</v>
      </c>
      <c r="E363" t="s">
        <v>53</v>
      </c>
      <c r="F363" t="s">
        <v>25</v>
      </c>
      <c r="G363" t="s">
        <v>26</v>
      </c>
      <c r="H363" t="s">
        <v>38</v>
      </c>
      <c r="I363" t="s">
        <v>66</v>
      </c>
      <c r="J363" t="s">
        <v>40</v>
      </c>
      <c r="K363">
        <v>1898</v>
      </c>
      <c r="L363">
        <v>28</v>
      </c>
      <c r="M363" s="2">
        <v>160</v>
      </c>
      <c r="N363" s="2">
        <v>92</v>
      </c>
      <c r="O363" s="2">
        <v>51</v>
      </c>
      <c r="P363" s="2">
        <v>17</v>
      </c>
      <c r="Q363" s="3">
        <v>0.10630000000000001</v>
      </c>
      <c r="R363" s="2">
        <v>140</v>
      </c>
      <c r="S363" s="2">
        <v>80</v>
      </c>
      <c r="T363" s="2">
        <v>20</v>
      </c>
      <c r="U363" s="3">
        <v>0.1429</v>
      </c>
      <c r="V363" s="2">
        <v>-3</v>
      </c>
    </row>
    <row r="364" spans="1:22" x14ac:dyDescent="0.25">
      <c r="A364" t="s">
        <v>432</v>
      </c>
      <c r="B364" s="1">
        <v>45415</v>
      </c>
      <c r="C364">
        <v>978</v>
      </c>
      <c r="D364" t="s">
        <v>78</v>
      </c>
      <c r="E364" t="s">
        <v>79</v>
      </c>
      <c r="F364" t="s">
        <v>32</v>
      </c>
      <c r="G364" t="s">
        <v>26</v>
      </c>
      <c r="H364" t="s">
        <v>27</v>
      </c>
      <c r="I364" t="s">
        <v>28</v>
      </c>
      <c r="J364" t="s">
        <v>29</v>
      </c>
      <c r="K364">
        <v>859</v>
      </c>
      <c r="L364">
        <v>7</v>
      </c>
      <c r="M364" s="2">
        <v>70</v>
      </c>
      <c r="N364" s="2">
        <v>27</v>
      </c>
      <c r="O364" s="2">
        <v>19</v>
      </c>
      <c r="P364" s="2">
        <v>30</v>
      </c>
      <c r="Q364" s="3">
        <v>0.42859999999999998</v>
      </c>
      <c r="R364" s="2">
        <v>70</v>
      </c>
      <c r="S364" s="2">
        <v>20</v>
      </c>
      <c r="T364" s="2">
        <v>50</v>
      </c>
      <c r="U364" s="3">
        <v>0.71430000000000005</v>
      </c>
      <c r="V364" s="2">
        <v>-20</v>
      </c>
    </row>
    <row r="365" spans="1:22" x14ac:dyDescent="0.25">
      <c r="A365" t="s">
        <v>433</v>
      </c>
      <c r="B365" s="1">
        <v>45415</v>
      </c>
      <c r="C365">
        <v>561</v>
      </c>
      <c r="D365" t="s">
        <v>117</v>
      </c>
      <c r="E365" t="s">
        <v>79</v>
      </c>
      <c r="F365" t="s">
        <v>32</v>
      </c>
      <c r="G365" t="s">
        <v>26</v>
      </c>
      <c r="H365" t="s">
        <v>38</v>
      </c>
      <c r="I365" t="s">
        <v>46</v>
      </c>
      <c r="J365" t="s">
        <v>40</v>
      </c>
      <c r="K365">
        <v>391</v>
      </c>
      <c r="L365">
        <v>20</v>
      </c>
      <c r="M365" s="2">
        <v>129</v>
      </c>
      <c r="N365" s="2">
        <v>54</v>
      </c>
      <c r="O365" s="2">
        <v>54</v>
      </c>
      <c r="P365" s="2">
        <v>19</v>
      </c>
      <c r="Q365" s="3">
        <v>0.14729999999999999</v>
      </c>
      <c r="R365" s="2">
        <v>80</v>
      </c>
      <c r="S365" s="2">
        <v>40</v>
      </c>
      <c r="T365" s="2">
        <v>10</v>
      </c>
      <c r="U365" s="3">
        <v>0.125</v>
      </c>
      <c r="V365" s="2">
        <v>9</v>
      </c>
    </row>
    <row r="366" spans="1:22" x14ac:dyDescent="0.25">
      <c r="A366" t="s">
        <v>434</v>
      </c>
      <c r="B366" s="1">
        <v>45415</v>
      </c>
      <c r="C366">
        <v>425</v>
      </c>
      <c r="D366" t="s">
        <v>52</v>
      </c>
      <c r="E366" t="s">
        <v>53</v>
      </c>
      <c r="F366" t="s">
        <v>25</v>
      </c>
      <c r="G366" t="s">
        <v>33</v>
      </c>
      <c r="H366" t="s">
        <v>34</v>
      </c>
      <c r="I366" t="s">
        <v>83</v>
      </c>
      <c r="J366" t="s">
        <v>40</v>
      </c>
      <c r="K366">
        <v>683</v>
      </c>
      <c r="L366">
        <v>87</v>
      </c>
      <c r="M366" s="2">
        <v>230</v>
      </c>
      <c r="N366" s="2">
        <v>96</v>
      </c>
      <c r="O366" s="2">
        <v>117</v>
      </c>
      <c r="P366" s="2">
        <v>17</v>
      </c>
      <c r="Q366" s="3">
        <v>7.3899999999999993E-2</v>
      </c>
      <c r="R366" s="2">
        <v>330</v>
      </c>
      <c r="S366" s="2">
        <v>140</v>
      </c>
      <c r="T366" s="2">
        <v>100</v>
      </c>
      <c r="U366" s="3">
        <v>0.30299999999999999</v>
      </c>
      <c r="V366" s="2">
        <v>-83</v>
      </c>
    </row>
    <row r="367" spans="1:22" x14ac:dyDescent="0.25">
      <c r="A367" t="s">
        <v>435</v>
      </c>
      <c r="B367" s="1">
        <v>45416</v>
      </c>
      <c r="C367">
        <v>603</v>
      </c>
      <c r="D367" t="s">
        <v>109</v>
      </c>
      <c r="E367" t="s">
        <v>79</v>
      </c>
      <c r="F367" t="s">
        <v>25</v>
      </c>
      <c r="G367" t="s">
        <v>33</v>
      </c>
      <c r="H367" t="s">
        <v>34</v>
      </c>
      <c r="I367" t="s">
        <v>35</v>
      </c>
      <c r="J367" t="s">
        <v>29</v>
      </c>
      <c r="K367">
        <v>310</v>
      </c>
      <c r="L367">
        <v>15</v>
      </c>
      <c r="M367" s="2">
        <v>120</v>
      </c>
      <c r="N367" s="2">
        <v>49</v>
      </c>
      <c r="O367" s="2">
        <v>38</v>
      </c>
      <c r="P367" s="2">
        <v>33</v>
      </c>
      <c r="Q367" s="3">
        <v>0.27500000000000002</v>
      </c>
      <c r="R367" s="2">
        <v>90</v>
      </c>
      <c r="S367" s="2">
        <v>30</v>
      </c>
      <c r="T367" s="2">
        <v>60</v>
      </c>
      <c r="U367" s="3">
        <v>0.66669999999999996</v>
      </c>
      <c r="V367" s="2">
        <v>-27</v>
      </c>
    </row>
    <row r="368" spans="1:22" x14ac:dyDescent="0.25">
      <c r="A368" t="s">
        <v>436</v>
      </c>
      <c r="B368" s="1">
        <v>45416</v>
      </c>
      <c r="C368">
        <v>712</v>
      </c>
      <c r="D368" t="s">
        <v>124</v>
      </c>
      <c r="E368" t="s">
        <v>24</v>
      </c>
      <c r="F368" t="s">
        <v>25</v>
      </c>
      <c r="G368" t="s">
        <v>33</v>
      </c>
      <c r="H368" t="s">
        <v>54</v>
      </c>
      <c r="I368" t="s">
        <v>55</v>
      </c>
      <c r="J368" t="s">
        <v>40</v>
      </c>
      <c r="K368">
        <v>387</v>
      </c>
      <c r="L368">
        <v>0</v>
      </c>
      <c r="M368" s="2">
        <v>43</v>
      </c>
      <c r="N368" s="2">
        <v>0</v>
      </c>
      <c r="O368" s="2">
        <v>12</v>
      </c>
      <c r="P368" s="2">
        <v>31</v>
      </c>
      <c r="Q368" s="3">
        <v>0.72089999999999999</v>
      </c>
      <c r="R368" s="2">
        <v>50</v>
      </c>
      <c r="S368" s="2">
        <v>0</v>
      </c>
      <c r="T368" s="2">
        <v>40</v>
      </c>
      <c r="U368" s="3">
        <v>0.8</v>
      </c>
      <c r="V368" s="2">
        <v>-9</v>
      </c>
    </row>
    <row r="369" spans="1:22" x14ac:dyDescent="0.25">
      <c r="A369" t="s">
        <v>437</v>
      </c>
      <c r="B369" s="1">
        <v>45416</v>
      </c>
      <c r="C369">
        <v>985</v>
      </c>
      <c r="D369" t="s">
        <v>49</v>
      </c>
      <c r="E369" t="s">
        <v>45</v>
      </c>
      <c r="F369" t="s">
        <v>25</v>
      </c>
      <c r="G369" t="s">
        <v>33</v>
      </c>
      <c r="H369" t="s">
        <v>54</v>
      </c>
      <c r="I369" t="s">
        <v>68</v>
      </c>
      <c r="J369" t="s">
        <v>29</v>
      </c>
      <c r="K369">
        <v>320</v>
      </c>
      <c r="L369">
        <v>12</v>
      </c>
      <c r="M369" s="2">
        <v>107</v>
      </c>
      <c r="N369" s="2">
        <v>41</v>
      </c>
      <c r="O369" s="2">
        <v>35</v>
      </c>
      <c r="P369" s="2">
        <v>31</v>
      </c>
      <c r="Q369" s="3">
        <v>0.28970000000000001</v>
      </c>
      <c r="R369" s="2">
        <v>80</v>
      </c>
      <c r="S369" s="2">
        <v>30</v>
      </c>
      <c r="T369" s="2">
        <v>20</v>
      </c>
      <c r="U369" s="3">
        <v>0.25</v>
      </c>
      <c r="V369" s="2">
        <v>11</v>
      </c>
    </row>
    <row r="370" spans="1:22" x14ac:dyDescent="0.25">
      <c r="A370" t="s">
        <v>438</v>
      </c>
      <c r="B370" s="1">
        <v>45416</v>
      </c>
      <c r="C370">
        <v>505</v>
      </c>
      <c r="D370" t="s">
        <v>44</v>
      </c>
      <c r="E370" t="s">
        <v>45</v>
      </c>
      <c r="F370" t="s">
        <v>25</v>
      </c>
      <c r="G370" t="s">
        <v>33</v>
      </c>
      <c r="H370" t="s">
        <v>54</v>
      </c>
      <c r="I370" t="s">
        <v>72</v>
      </c>
      <c r="J370" t="s">
        <v>29</v>
      </c>
      <c r="K370">
        <v>-598</v>
      </c>
      <c r="L370">
        <v>7</v>
      </c>
      <c r="M370" s="2">
        <v>45</v>
      </c>
      <c r="N370" s="2">
        <v>20</v>
      </c>
      <c r="O370" s="2">
        <v>40</v>
      </c>
      <c r="P370" s="2">
        <v>-15</v>
      </c>
      <c r="Q370" s="3">
        <v>-0.33329999999999999</v>
      </c>
      <c r="R370" s="2">
        <v>30</v>
      </c>
      <c r="S370" s="2">
        <v>10</v>
      </c>
      <c r="T370" s="2">
        <v>-10</v>
      </c>
      <c r="U370" s="3">
        <v>-0.33329999999999999</v>
      </c>
      <c r="V370" s="2">
        <v>-5</v>
      </c>
    </row>
    <row r="371" spans="1:22" x14ac:dyDescent="0.25">
      <c r="A371" t="s">
        <v>439</v>
      </c>
      <c r="B371" s="1">
        <v>45418</v>
      </c>
      <c r="C371">
        <v>314</v>
      </c>
      <c r="D371" t="s">
        <v>58</v>
      </c>
      <c r="E371" t="s">
        <v>24</v>
      </c>
      <c r="F371" t="s">
        <v>25</v>
      </c>
      <c r="G371" t="s">
        <v>33</v>
      </c>
      <c r="H371" t="s">
        <v>54</v>
      </c>
      <c r="I371" t="s">
        <v>55</v>
      </c>
      <c r="J371" t="s">
        <v>40</v>
      </c>
      <c r="K371">
        <v>836</v>
      </c>
      <c r="L371">
        <v>9</v>
      </c>
      <c r="M371" s="2">
        <v>81</v>
      </c>
      <c r="N371" s="2">
        <v>33</v>
      </c>
      <c r="O371" s="2">
        <v>21</v>
      </c>
      <c r="P371" s="2">
        <v>27</v>
      </c>
      <c r="Q371" s="3">
        <v>0.33329999999999999</v>
      </c>
      <c r="R371" s="2">
        <v>100</v>
      </c>
      <c r="S371" s="2">
        <v>40</v>
      </c>
      <c r="T371" s="2">
        <v>50</v>
      </c>
      <c r="U371" s="3">
        <v>0.5</v>
      </c>
      <c r="V371" s="2">
        <v>-23</v>
      </c>
    </row>
    <row r="372" spans="1:22" x14ac:dyDescent="0.25">
      <c r="A372" t="s">
        <v>440</v>
      </c>
      <c r="B372" s="1">
        <v>45418</v>
      </c>
      <c r="C372">
        <v>936</v>
      </c>
      <c r="D372" t="s">
        <v>76</v>
      </c>
      <c r="E372" t="s">
        <v>45</v>
      </c>
      <c r="F372" t="s">
        <v>32</v>
      </c>
      <c r="G372" t="s">
        <v>33</v>
      </c>
      <c r="H372" t="s">
        <v>34</v>
      </c>
      <c r="I372" t="s">
        <v>83</v>
      </c>
      <c r="J372" t="s">
        <v>40</v>
      </c>
      <c r="K372">
        <v>536</v>
      </c>
      <c r="L372">
        <v>13</v>
      </c>
      <c r="M372" s="2">
        <v>98</v>
      </c>
      <c r="N372" s="2">
        <v>40</v>
      </c>
      <c r="O372" s="2">
        <v>26</v>
      </c>
      <c r="P372" s="2">
        <v>39</v>
      </c>
      <c r="Q372" s="3">
        <v>0.39800000000000002</v>
      </c>
      <c r="R372" s="2">
        <v>100</v>
      </c>
      <c r="S372" s="2">
        <v>40</v>
      </c>
      <c r="T372" s="2">
        <v>40</v>
      </c>
      <c r="U372" s="3">
        <v>0.4</v>
      </c>
      <c r="V372" s="2">
        <v>-1</v>
      </c>
    </row>
    <row r="373" spans="1:22" x14ac:dyDescent="0.25">
      <c r="A373" t="s">
        <v>441</v>
      </c>
      <c r="B373" s="1">
        <v>45418</v>
      </c>
      <c r="C373">
        <v>262</v>
      </c>
      <c r="D373" t="s">
        <v>23</v>
      </c>
      <c r="E373" t="s">
        <v>24</v>
      </c>
      <c r="F373" t="s">
        <v>25</v>
      </c>
      <c r="G373" t="s">
        <v>26</v>
      </c>
      <c r="H373" t="s">
        <v>27</v>
      </c>
      <c r="I373" t="s">
        <v>28</v>
      </c>
      <c r="J373" t="s">
        <v>29</v>
      </c>
      <c r="K373">
        <v>454</v>
      </c>
      <c r="L373">
        <v>15</v>
      </c>
      <c r="M373" s="2">
        <v>120</v>
      </c>
      <c r="N373" s="2">
        <v>49</v>
      </c>
      <c r="O373" s="2">
        <v>38</v>
      </c>
      <c r="P373" s="2">
        <v>33</v>
      </c>
      <c r="Q373" s="3">
        <v>0.27500000000000002</v>
      </c>
      <c r="R373" s="2">
        <v>90</v>
      </c>
      <c r="S373" s="2">
        <v>40</v>
      </c>
      <c r="T373" s="2">
        <v>20</v>
      </c>
      <c r="U373" s="3">
        <v>0.22220000000000001</v>
      </c>
      <c r="V373" s="2">
        <v>13</v>
      </c>
    </row>
    <row r="374" spans="1:22" x14ac:dyDescent="0.25">
      <c r="A374" t="s">
        <v>442</v>
      </c>
      <c r="B374" s="1">
        <v>45418</v>
      </c>
      <c r="C374">
        <v>914</v>
      </c>
      <c r="D374" t="s">
        <v>99</v>
      </c>
      <c r="E374" t="s">
        <v>79</v>
      </c>
      <c r="F374" t="s">
        <v>32</v>
      </c>
      <c r="G374" t="s">
        <v>26</v>
      </c>
      <c r="H374" t="s">
        <v>27</v>
      </c>
      <c r="I374" t="s">
        <v>59</v>
      </c>
      <c r="J374" t="s">
        <v>29</v>
      </c>
      <c r="K374">
        <v>589</v>
      </c>
      <c r="L374">
        <v>14</v>
      </c>
      <c r="M374" s="2">
        <v>131</v>
      </c>
      <c r="N374" s="2">
        <v>50</v>
      </c>
      <c r="O374" s="2">
        <v>26</v>
      </c>
      <c r="P374" s="2">
        <v>70</v>
      </c>
      <c r="Q374" s="3">
        <v>0.53439999999999999</v>
      </c>
      <c r="R374" s="2">
        <v>120</v>
      </c>
      <c r="S374" s="2">
        <v>50</v>
      </c>
      <c r="T374" s="2">
        <v>50</v>
      </c>
      <c r="U374" s="3">
        <v>0.41670000000000001</v>
      </c>
      <c r="V374" s="2">
        <v>20</v>
      </c>
    </row>
    <row r="375" spans="1:22" x14ac:dyDescent="0.25">
      <c r="A375" t="s">
        <v>443</v>
      </c>
      <c r="B375" s="1">
        <v>45418</v>
      </c>
      <c r="C375">
        <v>210</v>
      </c>
      <c r="D375" t="s">
        <v>76</v>
      </c>
      <c r="E375" t="s">
        <v>45</v>
      </c>
      <c r="F375" t="s">
        <v>32</v>
      </c>
      <c r="G375" t="s">
        <v>33</v>
      </c>
      <c r="H375" t="s">
        <v>54</v>
      </c>
      <c r="I375" t="s">
        <v>68</v>
      </c>
      <c r="J375" t="s">
        <v>29</v>
      </c>
      <c r="K375">
        <v>915</v>
      </c>
      <c r="L375">
        <v>34</v>
      </c>
      <c r="M375" s="2">
        <v>302</v>
      </c>
      <c r="N375" s="2">
        <v>123</v>
      </c>
      <c r="O375" s="2">
        <v>46</v>
      </c>
      <c r="P375" s="2">
        <v>133</v>
      </c>
      <c r="Q375" s="3">
        <v>0.44040000000000001</v>
      </c>
      <c r="R375" s="2">
        <v>190</v>
      </c>
      <c r="S375" s="2">
        <v>70</v>
      </c>
      <c r="T375" s="2">
        <v>100</v>
      </c>
      <c r="U375" s="3">
        <v>0.52629999999999999</v>
      </c>
      <c r="V375" s="2">
        <v>33</v>
      </c>
    </row>
    <row r="376" spans="1:22" x14ac:dyDescent="0.25">
      <c r="A376" t="s">
        <v>444</v>
      </c>
      <c r="B376" s="1">
        <v>45418</v>
      </c>
      <c r="C376">
        <v>630</v>
      </c>
      <c r="D376" t="s">
        <v>37</v>
      </c>
      <c r="E376" t="s">
        <v>24</v>
      </c>
      <c r="F376" t="s">
        <v>32</v>
      </c>
      <c r="G376" t="s">
        <v>26</v>
      </c>
      <c r="H376" t="s">
        <v>38</v>
      </c>
      <c r="I376" t="s">
        <v>66</v>
      </c>
      <c r="J376" t="s">
        <v>40</v>
      </c>
      <c r="K376">
        <v>1003</v>
      </c>
      <c r="L376">
        <v>24</v>
      </c>
      <c r="M376" s="2">
        <v>210</v>
      </c>
      <c r="N376" s="2">
        <v>86</v>
      </c>
      <c r="O376" s="2">
        <v>36</v>
      </c>
      <c r="P376" s="2">
        <v>88</v>
      </c>
      <c r="Q376" s="3">
        <v>0.41899999999999998</v>
      </c>
      <c r="R376" s="2">
        <v>190</v>
      </c>
      <c r="S376" s="2">
        <v>80</v>
      </c>
      <c r="T376" s="2">
        <v>80</v>
      </c>
      <c r="U376" s="3">
        <v>0.42109999999999997</v>
      </c>
      <c r="V376" s="2">
        <v>8</v>
      </c>
    </row>
    <row r="377" spans="1:22" x14ac:dyDescent="0.25">
      <c r="A377" t="s">
        <v>445</v>
      </c>
      <c r="B377" s="1">
        <v>45418</v>
      </c>
      <c r="C377">
        <v>971</v>
      </c>
      <c r="D377" t="s">
        <v>71</v>
      </c>
      <c r="E377" t="s">
        <v>53</v>
      </c>
      <c r="F377" t="s">
        <v>25</v>
      </c>
      <c r="G377" t="s">
        <v>33</v>
      </c>
      <c r="H377" t="s">
        <v>34</v>
      </c>
      <c r="I377" t="s">
        <v>83</v>
      </c>
      <c r="J377" t="s">
        <v>40</v>
      </c>
      <c r="K377">
        <v>419</v>
      </c>
      <c r="L377">
        <v>13</v>
      </c>
      <c r="M377" s="2">
        <v>114</v>
      </c>
      <c r="N377" s="2">
        <v>43</v>
      </c>
      <c r="O377" s="2">
        <v>35</v>
      </c>
      <c r="P377" s="2">
        <v>43</v>
      </c>
      <c r="Q377" s="3">
        <v>0.37719999999999998</v>
      </c>
      <c r="R377" s="2">
        <v>150</v>
      </c>
      <c r="S377" s="2">
        <v>50</v>
      </c>
      <c r="T377" s="2">
        <v>80</v>
      </c>
      <c r="U377" s="3">
        <v>0.5333</v>
      </c>
      <c r="V377" s="2">
        <v>-37</v>
      </c>
    </row>
    <row r="378" spans="1:22" x14ac:dyDescent="0.25">
      <c r="A378" t="s">
        <v>446</v>
      </c>
      <c r="B378" s="1">
        <v>45419</v>
      </c>
      <c r="C378">
        <v>772</v>
      </c>
      <c r="D378" t="s">
        <v>117</v>
      </c>
      <c r="E378" t="s">
        <v>79</v>
      </c>
      <c r="F378" t="s">
        <v>32</v>
      </c>
      <c r="G378" t="s">
        <v>26</v>
      </c>
      <c r="H378" t="s">
        <v>27</v>
      </c>
      <c r="I378" t="s">
        <v>59</v>
      </c>
      <c r="J378" t="s">
        <v>29</v>
      </c>
      <c r="K378">
        <v>851</v>
      </c>
      <c r="L378">
        <v>13</v>
      </c>
      <c r="M378" s="2">
        <v>126</v>
      </c>
      <c r="N378" s="2">
        <v>48</v>
      </c>
      <c r="O378" s="2">
        <v>24</v>
      </c>
      <c r="P378" s="2">
        <v>68</v>
      </c>
      <c r="Q378" s="3">
        <v>0.53969999999999996</v>
      </c>
      <c r="R378" s="2">
        <v>120</v>
      </c>
      <c r="S378" s="2">
        <v>50</v>
      </c>
      <c r="T378" s="2">
        <v>60</v>
      </c>
      <c r="U378" s="3">
        <v>0.5</v>
      </c>
      <c r="V378" s="2">
        <v>8</v>
      </c>
    </row>
    <row r="379" spans="1:22" x14ac:dyDescent="0.25">
      <c r="A379" t="s">
        <v>447</v>
      </c>
      <c r="B379" s="1">
        <v>45419</v>
      </c>
      <c r="C379">
        <v>815</v>
      </c>
      <c r="D379" t="s">
        <v>37</v>
      </c>
      <c r="E379" t="s">
        <v>24</v>
      </c>
      <c r="F379" t="s">
        <v>32</v>
      </c>
      <c r="G379" t="s">
        <v>33</v>
      </c>
      <c r="H379" t="s">
        <v>34</v>
      </c>
      <c r="I379" t="s">
        <v>50</v>
      </c>
      <c r="J379" t="s">
        <v>29</v>
      </c>
      <c r="K379">
        <v>1132</v>
      </c>
      <c r="L379">
        <v>50</v>
      </c>
      <c r="M379" s="2">
        <v>367</v>
      </c>
      <c r="N379" s="2">
        <v>154</v>
      </c>
      <c r="O379" s="2">
        <v>93</v>
      </c>
      <c r="P379" s="2">
        <v>120</v>
      </c>
      <c r="Q379" s="3">
        <v>0.32700000000000001</v>
      </c>
      <c r="R379" s="2">
        <v>370</v>
      </c>
      <c r="S379" s="2">
        <v>150</v>
      </c>
      <c r="T379" s="2">
        <v>160</v>
      </c>
      <c r="U379" s="3">
        <v>0.43240000000000001</v>
      </c>
      <c r="V379" s="2">
        <v>-40</v>
      </c>
    </row>
    <row r="380" spans="1:22" x14ac:dyDescent="0.25">
      <c r="A380" t="s">
        <v>448</v>
      </c>
      <c r="B380" s="1">
        <v>45420</v>
      </c>
      <c r="C380">
        <v>503</v>
      </c>
      <c r="D380" t="s">
        <v>71</v>
      </c>
      <c r="E380" t="s">
        <v>53</v>
      </c>
      <c r="F380" t="s">
        <v>25</v>
      </c>
      <c r="G380" t="s">
        <v>33</v>
      </c>
      <c r="H380" t="s">
        <v>54</v>
      </c>
      <c r="I380" t="s">
        <v>72</v>
      </c>
      <c r="J380" t="s">
        <v>29</v>
      </c>
      <c r="K380">
        <v>404</v>
      </c>
      <c r="L380">
        <v>20</v>
      </c>
      <c r="M380" s="2">
        <v>120</v>
      </c>
      <c r="N380" s="2">
        <v>54</v>
      </c>
      <c r="O380" s="2">
        <v>54</v>
      </c>
      <c r="P380" s="2">
        <v>12</v>
      </c>
      <c r="Q380" s="3">
        <v>0.1</v>
      </c>
      <c r="R380" s="2">
        <v>100</v>
      </c>
      <c r="S380" s="2">
        <v>40</v>
      </c>
      <c r="T380" s="2">
        <v>40</v>
      </c>
      <c r="U380" s="3">
        <v>0.4</v>
      </c>
      <c r="V380" s="2">
        <v>-28</v>
      </c>
    </row>
    <row r="381" spans="1:22" x14ac:dyDescent="0.25">
      <c r="A381" t="s">
        <v>449</v>
      </c>
      <c r="B381" s="1">
        <v>45420</v>
      </c>
      <c r="C381">
        <v>573</v>
      </c>
      <c r="D381" t="s">
        <v>58</v>
      </c>
      <c r="E381" t="s">
        <v>24</v>
      </c>
      <c r="F381" t="s">
        <v>25</v>
      </c>
      <c r="G381" t="s">
        <v>26</v>
      </c>
      <c r="H381" t="s">
        <v>38</v>
      </c>
      <c r="I381" t="s">
        <v>39</v>
      </c>
      <c r="J381" t="s">
        <v>40</v>
      </c>
      <c r="K381">
        <v>325</v>
      </c>
      <c r="L381">
        <v>40</v>
      </c>
      <c r="M381" s="2">
        <v>106</v>
      </c>
      <c r="N381" s="2">
        <v>44</v>
      </c>
      <c r="O381" s="2">
        <v>70</v>
      </c>
      <c r="P381" s="2">
        <v>-8</v>
      </c>
      <c r="Q381" s="3">
        <v>-7.5499999999999998E-2</v>
      </c>
      <c r="R381" s="2">
        <v>90</v>
      </c>
      <c r="S381" s="2">
        <v>40</v>
      </c>
      <c r="T381" s="2">
        <v>0</v>
      </c>
      <c r="U381" s="3">
        <v>0</v>
      </c>
      <c r="V381" s="2">
        <v>-8</v>
      </c>
    </row>
    <row r="382" spans="1:22" x14ac:dyDescent="0.25">
      <c r="A382" t="s">
        <v>450</v>
      </c>
      <c r="B382" s="1">
        <v>45420</v>
      </c>
      <c r="C382">
        <v>937</v>
      </c>
      <c r="D382" t="s">
        <v>85</v>
      </c>
      <c r="E382" t="s">
        <v>24</v>
      </c>
      <c r="F382" t="s">
        <v>32</v>
      </c>
      <c r="G382" t="s">
        <v>33</v>
      </c>
      <c r="H382" t="s">
        <v>34</v>
      </c>
      <c r="I382" t="s">
        <v>50</v>
      </c>
      <c r="J382" t="s">
        <v>29</v>
      </c>
      <c r="K382">
        <v>419</v>
      </c>
      <c r="L382">
        <v>13</v>
      </c>
      <c r="M382" s="2">
        <v>114</v>
      </c>
      <c r="N382" s="2">
        <v>43</v>
      </c>
      <c r="O382" s="2">
        <v>36</v>
      </c>
      <c r="P382" s="2">
        <v>42</v>
      </c>
      <c r="Q382" s="3">
        <v>0.36840000000000001</v>
      </c>
      <c r="R382" s="2">
        <v>100</v>
      </c>
      <c r="S382" s="2">
        <v>30</v>
      </c>
      <c r="T382" s="2">
        <v>60</v>
      </c>
      <c r="U382" s="3">
        <v>0.6</v>
      </c>
      <c r="V382" s="2">
        <v>-18</v>
      </c>
    </row>
    <row r="383" spans="1:22" x14ac:dyDescent="0.25">
      <c r="A383" t="s">
        <v>451</v>
      </c>
      <c r="B383" s="1">
        <v>45420</v>
      </c>
      <c r="C383">
        <v>971</v>
      </c>
      <c r="D383" t="s">
        <v>71</v>
      </c>
      <c r="E383" t="s">
        <v>53</v>
      </c>
      <c r="F383" t="s">
        <v>25</v>
      </c>
      <c r="G383" t="s">
        <v>26</v>
      </c>
      <c r="H383" t="s">
        <v>38</v>
      </c>
      <c r="I383" t="s">
        <v>39</v>
      </c>
      <c r="J383" t="s">
        <v>40</v>
      </c>
      <c r="K383">
        <v>820</v>
      </c>
      <c r="L383">
        <v>7</v>
      </c>
      <c r="M383" s="2">
        <v>61</v>
      </c>
      <c r="N383" s="2">
        <v>25</v>
      </c>
      <c r="O383" s="2">
        <v>19</v>
      </c>
      <c r="P383" s="2">
        <v>17</v>
      </c>
      <c r="Q383" s="3">
        <v>0.2787</v>
      </c>
      <c r="R383" s="2">
        <v>40</v>
      </c>
      <c r="S383" s="2">
        <v>10</v>
      </c>
      <c r="T383" s="2">
        <v>30</v>
      </c>
      <c r="U383" s="3">
        <v>0.75</v>
      </c>
      <c r="V383" s="2">
        <v>-13</v>
      </c>
    </row>
    <row r="384" spans="1:22" x14ac:dyDescent="0.25">
      <c r="A384" t="s">
        <v>452</v>
      </c>
      <c r="B384" s="1">
        <v>45420</v>
      </c>
      <c r="C384">
        <v>563</v>
      </c>
      <c r="D384" t="s">
        <v>124</v>
      </c>
      <c r="E384" t="s">
        <v>24</v>
      </c>
      <c r="F384" t="s">
        <v>25</v>
      </c>
      <c r="G384" t="s">
        <v>26</v>
      </c>
      <c r="H384" t="s">
        <v>27</v>
      </c>
      <c r="I384" t="s">
        <v>28</v>
      </c>
      <c r="J384" t="s">
        <v>29</v>
      </c>
      <c r="K384">
        <v>1778</v>
      </c>
      <c r="L384">
        <v>59</v>
      </c>
      <c r="M384" s="2">
        <v>451</v>
      </c>
      <c r="N384" s="2">
        <v>211</v>
      </c>
      <c r="O384" s="2">
        <v>83</v>
      </c>
      <c r="P384" s="2">
        <v>191</v>
      </c>
      <c r="Q384" s="3">
        <v>0.42349999999999999</v>
      </c>
      <c r="R384" s="2">
        <v>350</v>
      </c>
      <c r="S384" s="2">
        <v>170</v>
      </c>
      <c r="T384" s="2">
        <v>110</v>
      </c>
      <c r="U384" s="3">
        <v>0.31430000000000002</v>
      </c>
      <c r="V384" s="2">
        <v>81</v>
      </c>
    </row>
    <row r="385" spans="1:22" x14ac:dyDescent="0.25">
      <c r="A385" t="s">
        <v>453</v>
      </c>
      <c r="B385" s="1">
        <v>45420</v>
      </c>
      <c r="C385">
        <v>937</v>
      </c>
      <c r="D385" t="s">
        <v>85</v>
      </c>
      <c r="E385" t="s">
        <v>24</v>
      </c>
      <c r="F385" t="s">
        <v>32</v>
      </c>
      <c r="G385" t="s">
        <v>33</v>
      </c>
      <c r="H385" t="s">
        <v>54</v>
      </c>
      <c r="I385" t="s">
        <v>68</v>
      </c>
      <c r="J385" t="s">
        <v>29</v>
      </c>
      <c r="K385">
        <v>1319</v>
      </c>
      <c r="L385">
        <v>42</v>
      </c>
      <c r="M385" s="2">
        <v>326</v>
      </c>
      <c r="N385" s="2">
        <v>153</v>
      </c>
      <c r="O385" s="2">
        <v>66</v>
      </c>
      <c r="P385" s="2">
        <v>129</v>
      </c>
      <c r="Q385" s="3">
        <v>0.3957</v>
      </c>
      <c r="R385" s="2">
        <v>390</v>
      </c>
      <c r="S385" s="2">
        <v>190</v>
      </c>
      <c r="T385" s="2">
        <v>140</v>
      </c>
      <c r="U385" s="3">
        <v>0.35899999999999999</v>
      </c>
      <c r="V385" s="2">
        <v>-11</v>
      </c>
    </row>
    <row r="386" spans="1:22" x14ac:dyDescent="0.25">
      <c r="A386" t="s">
        <v>454</v>
      </c>
      <c r="B386" s="1">
        <v>45421</v>
      </c>
      <c r="C386">
        <v>561</v>
      </c>
      <c r="D386" t="s">
        <v>117</v>
      </c>
      <c r="E386" t="s">
        <v>79</v>
      </c>
      <c r="F386" t="s">
        <v>32</v>
      </c>
      <c r="G386" t="s">
        <v>26</v>
      </c>
      <c r="H386" t="s">
        <v>38</v>
      </c>
      <c r="I386" t="s">
        <v>66</v>
      </c>
      <c r="J386" t="s">
        <v>40</v>
      </c>
      <c r="K386">
        <v>1063</v>
      </c>
      <c r="L386">
        <v>23</v>
      </c>
      <c r="M386" s="2">
        <v>175</v>
      </c>
      <c r="N386" s="2">
        <v>75</v>
      </c>
      <c r="O386" s="2">
        <v>45</v>
      </c>
      <c r="P386" s="2">
        <v>65</v>
      </c>
      <c r="Q386" s="3">
        <v>0.37140000000000001</v>
      </c>
      <c r="R386" s="2">
        <v>110</v>
      </c>
      <c r="S386" s="2">
        <v>50</v>
      </c>
      <c r="T386" s="2">
        <v>30</v>
      </c>
      <c r="U386" s="3">
        <v>0.2727</v>
      </c>
      <c r="V386" s="2">
        <v>35</v>
      </c>
    </row>
    <row r="387" spans="1:22" x14ac:dyDescent="0.25">
      <c r="A387" t="s">
        <v>455</v>
      </c>
      <c r="B387" s="1">
        <v>45421</v>
      </c>
      <c r="C387">
        <v>563</v>
      </c>
      <c r="D387" t="s">
        <v>124</v>
      </c>
      <c r="E387" t="s">
        <v>24</v>
      </c>
      <c r="F387" t="s">
        <v>25</v>
      </c>
      <c r="G387" t="s">
        <v>26</v>
      </c>
      <c r="H387" t="s">
        <v>27</v>
      </c>
      <c r="I387" t="s">
        <v>28</v>
      </c>
      <c r="J387" t="s">
        <v>29</v>
      </c>
      <c r="K387">
        <v>1755</v>
      </c>
      <c r="L387">
        <v>66</v>
      </c>
      <c r="M387" s="2">
        <v>478</v>
      </c>
      <c r="N387" s="2">
        <v>239</v>
      </c>
      <c r="O387" s="2">
        <v>90</v>
      </c>
      <c r="P387" s="2">
        <v>149</v>
      </c>
      <c r="Q387" s="3">
        <v>0.31169999999999998</v>
      </c>
      <c r="R387" s="2">
        <v>340</v>
      </c>
      <c r="S387" s="2">
        <v>170</v>
      </c>
      <c r="T387" s="2">
        <v>110</v>
      </c>
      <c r="U387" s="3">
        <v>0.32350000000000001</v>
      </c>
      <c r="V387" s="2">
        <v>39</v>
      </c>
    </row>
    <row r="388" spans="1:22" x14ac:dyDescent="0.25">
      <c r="A388" t="s">
        <v>456</v>
      </c>
      <c r="B388" s="1">
        <v>45422</v>
      </c>
      <c r="C388">
        <v>505</v>
      </c>
      <c r="D388" t="s">
        <v>44</v>
      </c>
      <c r="E388" t="s">
        <v>45</v>
      </c>
      <c r="F388" t="s">
        <v>25</v>
      </c>
      <c r="G388" t="s">
        <v>26</v>
      </c>
      <c r="H388" t="s">
        <v>38</v>
      </c>
      <c r="I388" t="s">
        <v>39</v>
      </c>
      <c r="J388" t="s">
        <v>40</v>
      </c>
      <c r="K388">
        <v>846</v>
      </c>
      <c r="L388">
        <v>5</v>
      </c>
      <c r="M388" s="2">
        <v>55</v>
      </c>
      <c r="N388" s="2">
        <v>21</v>
      </c>
      <c r="O388" s="2">
        <v>17</v>
      </c>
      <c r="P388" s="2">
        <v>21</v>
      </c>
      <c r="Q388" s="3">
        <v>0.38179999999999997</v>
      </c>
      <c r="R388" s="2">
        <v>40</v>
      </c>
      <c r="S388" s="2">
        <v>10</v>
      </c>
      <c r="T388" s="2">
        <v>30</v>
      </c>
      <c r="U388" s="3">
        <v>0.75</v>
      </c>
      <c r="V388" s="2">
        <v>-9</v>
      </c>
    </row>
    <row r="389" spans="1:22" x14ac:dyDescent="0.25">
      <c r="A389" t="s">
        <v>457</v>
      </c>
      <c r="B389" s="1">
        <v>45422</v>
      </c>
      <c r="C389">
        <v>585</v>
      </c>
      <c r="D389" t="s">
        <v>99</v>
      </c>
      <c r="E389" t="s">
        <v>79</v>
      </c>
      <c r="F389" t="s">
        <v>32</v>
      </c>
      <c r="G389" t="s">
        <v>26</v>
      </c>
      <c r="H389" t="s">
        <v>27</v>
      </c>
      <c r="I389" t="s">
        <v>28</v>
      </c>
      <c r="J389" t="s">
        <v>29</v>
      </c>
      <c r="K389">
        <v>971</v>
      </c>
      <c r="L389">
        <v>30</v>
      </c>
      <c r="M389" s="2">
        <v>282</v>
      </c>
      <c r="N389" s="2">
        <v>108</v>
      </c>
      <c r="O389" s="2">
        <v>42</v>
      </c>
      <c r="P389" s="2">
        <v>171</v>
      </c>
      <c r="Q389" s="3">
        <v>0.60640000000000005</v>
      </c>
      <c r="R389" s="2">
        <v>280</v>
      </c>
      <c r="S389" s="2">
        <v>110</v>
      </c>
      <c r="T389" s="2">
        <v>140</v>
      </c>
      <c r="U389" s="3">
        <v>0.5</v>
      </c>
      <c r="V389" s="2">
        <v>31</v>
      </c>
    </row>
    <row r="390" spans="1:22" x14ac:dyDescent="0.25">
      <c r="A390" t="s">
        <v>458</v>
      </c>
      <c r="B390" s="1">
        <v>45423</v>
      </c>
      <c r="C390">
        <v>860</v>
      </c>
      <c r="D390" t="s">
        <v>135</v>
      </c>
      <c r="E390" t="s">
        <v>79</v>
      </c>
      <c r="F390" t="s">
        <v>25</v>
      </c>
      <c r="G390" t="s">
        <v>33</v>
      </c>
      <c r="H390" t="s">
        <v>54</v>
      </c>
      <c r="I390" t="s">
        <v>55</v>
      </c>
      <c r="J390" t="s">
        <v>40</v>
      </c>
      <c r="K390">
        <v>380</v>
      </c>
      <c r="L390">
        <v>17</v>
      </c>
      <c r="M390" s="2">
        <v>124</v>
      </c>
      <c r="N390" s="2">
        <v>53</v>
      </c>
      <c r="O390" s="2">
        <v>45</v>
      </c>
      <c r="P390" s="2">
        <v>26</v>
      </c>
      <c r="Q390" s="3">
        <v>0.2097</v>
      </c>
      <c r="R390" s="2">
        <v>120</v>
      </c>
      <c r="S390" s="2">
        <v>50</v>
      </c>
      <c r="T390" s="2">
        <v>40</v>
      </c>
      <c r="U390" s="3">
        <v>0.33329999999999999</v>
      </c>
      <c r="V390" s="2">
        <v>-14</v>
      </c>
    </row>
    <row r="391" spans="1:22" x14ac:dyDescent="0.25">
      <c r="A391" t="s">
        <v>459</v>
      </c>
      <c r="B391" s="1">
        <v>45423</v>
      </c>
      <c r="C391">
        <v>918</v>
      </c>
      <c r="D391" t="s">
        <v>148</v>
      </c>
      <c r="E391" t="s">
        <v>45</v>
      </c>
      <c r="F391" t="s">
        <v>25</v>
      </c>
      <c r="G391" t="s">
        <v>26</v>
      </c>
      <c r="H391" t="s">
        <v>38</v>
      </c>
      <c r="I391" t="s">
        <v>46</v>
      </c>
      <c r="J391" t="s">
        <v>40</v>
      </c>
      <c r="K391">
        <v>683</v>
      </c>
      <c r="L391">
        <v>87</v>
      </c>
      <c r="M391" s="2">
        <v>245</v>
      </c>
      <c r="N391" s="2">
        <v>96</v>
      </c>
      <c r="O391" s="2">
        <v>117</v>
      </c>
      <c r="P391" s="2">
        <v>25</v>
      </c>
      <c r="Q391" s="3">
        <v>0.10199999999999999</v>
      </c>
      <c r="R391" s="2">
        <v>200</v>
      </c>
      <c r="S391" s="2">
        <v>80</v>
      </c>
      <c r="T391" s="2">
        <v>40</v>
      </c>
      <c r="U391" s="3">
        <v>0.2</v>
      </c>
      <c r="V391" s="2">
        <v>-15</v>
      </c>
    </row>
    <row r="392" spans="1:22" x14ac:dyDescent="0.25">
      <c r="A392" t="s">
        <v>460</v>
      </c>
      <c r="B392" s="1">
        <v>45423</v>
      </c>
      <c r="C392">
        <v>971</v>
      </c>
      <c r="D392" t="s">
        <v>71</v>
      </c>
      <c r="E392" t="s">
        <v>53</v>
      </c>
      <c r="F392" t="s">
        <v>25</v>
      </c>
      <c r="G392" t="s">
        <v>33</v>
      </c>
      <c r="H392" t="s">
        <v>34</v>
      </c>
      <c r="I392" t="s">
        <v>50</v>
      </c>
      <c r="J392" t="s">
        <v>29</v>
      </c>
      <c r="K392">
        <v>470</v>
      </c>
      <c r="L392">
        <v>17</v>
      </c>
      <c r="M392" s="2">
        <v>128</v>
      </c>
      <c r="N392" s="2">
        <v>53</v>
      </c>
      <c r="O392" s="2">
        <v>61</v>
      </c>
      <c r="P392" s="2">
        <v>14</v>
      </c>
      <c r="Q392" s="3">
        <v>0.1094</v>
      </c>
      <c r="R392" s="2">
        <v>150</v>
      </c>
      <c r="S392" s="2">
        <v>60</v>
      </c>
      <c r="T392" s="2">
        <v>40</v>
      </c>
      <c r="U392" s="3">
        <v>0.26669999999999999</v>
      </c>
      <c r="V392" s="2">
        <v>-26</v>
      </c>
    </row>
    <row r="393" spans="1:22" x14ac:dyDescent="0.25">
      <c r="A393" t="s">
        <v>461</v>
      </c>
      <c r="B393" s="1">
        <v>45424</v>
      </c>
      <c r="C393">
        <v>417</v>
      </c>
      <c r="D393" t="s">
        <v>58</v>
      </c>
      <c r="E393" t="s">
        <v>24</v>
      </c>
      <c r="F393" t="s">
        <v>25</v>
      </c>
      <c r="G393" t="s">
        <v>33</v>
      </c>
      <c r="H393" t="s">
        <v>54</v>
      </c>
      <c r="I393" t="s">
        <v>55</v>
      </c>
      <c r="J393" t="s">
        <v>40</v>
      </c>
      <c r="K393">
        <v>833</v>
      </c>
      <c r="L393">
        <v>8</v>
      </c>
      <c r="M393" s="2">
        <v>84</v>
      </c>
      <c r="N393" s="2">
        <v>32</v>
      </c>
      <c r="O393" s="2">
        <v>19</v>
      </c>
      <c r="P393" s="2">
        <v>42</v>
      </c>
      <c r="Q393" s="3">
        <v>0.5</v>
      </c>
      <c r="R393" s="2">
        <v>110</v>
      </c>
      <c r="S393" s="2">
        <v>30</v>
      </c>
      <c r="T393" s="2">
        <v>80</v>
      </c>
      <c r="U393" s="3">
        <v>0.72729999999999995</v>
      </c>
      <c r="V393" s="2">
        <v>-38</v>
      </c>
    </row>
    <row r="394" spans="1:22" x14ac:dyDescent="0.25">
      <c r="A394" t="s">
        <v>462</v>
      </c>
      <c r="B394" s="1">
        <v>45424</v>
      </c>
      <c r="C394">
        <v>720</v>
      </c>
      <c r="D394" t="s">
        <v>31</v>
      </c>
      <c r="E394" t="s">
        <v>24</v>
      </c>
      <c r="F394" t="s">
        <v>32</v>
      </c>
      <c r="G394" t="s">
        <v>26</v>
      </c>
      <c r="H394" t="s">
        <v>38</v>
      </c>
      <c r="I394" t="s">
        <v>39</v>
      </c>
      <c r="J394" t="s">
        <v>40</v>
      </c>
      <c r="K394">
        <v>1267</v>
      </c>
      <c r="L394">
        <v>45</v>
      </c>
      <c r="M394" s="2">
        <v>343</v>
      </c>
      <c r="N394" s="2">
        <v>161</v>
      </c>
      <c r="O394" s="2">
        <v>69</v>
      </c>
      <c r="P394" s="2">
        <v>137</v>
      </c>
      <c r="Q394" s="3">
        <v>0.39939999999999998</v>
      </c>
      <c r="R394" s="2">
        <v>260</v>
      </c>
      <c r="S394" s="2">
        <v>120</v>
      </c>
      <c r="T394" s="2">
        <v>110</v>
      </c>
      <c r="U394" s="3">
        <v>0.42309999999999998</v>
      </c>
      <c r="V394" s="2">
        <v>27</v>
      </c>
    </row>
    <row r="395" spans="1:22" x14ac:dyDescent="0.25">
      <c r="A395" t="s">
        <v>463</v>
      </c>
      <c r="B395" s="1">
        <v>45424</v>
      </c>
      <c r="C395">
        <v>970</v>
      </c>
      <c r="D395" t="s">
        <v>31</v>
      </c>
      <c r="E395" t="s">
        <v>24</v>
      </c>
      <c r="F395" t="s">
        <v>32</v>
      </c>
      <c r="G395" t="s">
        <v>26</v>
      </c>
      <c r="H395" t="s">
        <v>27</v>
      </c>
      <c r="I395" t="s">
        <v>59</v>
      </c>
      <c r="J395" t="s">
        <v>29</v>
      </c>
      <c r="K395">
        <v>572</v>
      </c>
      <c r="L395">
        <v>29</v>
      </c>
      <c r="M395" s="2">
        <v>218</v>
      </c>
      <c r="N395" s="2">
        <v>90</v>
      </c>
      <c r="O395" s="2">
        <v>41</v>
      </c>
      <c r="P395" s="2">
        <v>110</v>
      </c>
      <c r="Q395" s="3">
        <v>0.50460000000000005</v>
      </c>
      <c r="R395" s="2">
        <v>140</v>
      </c>
      <c r="S395" s="2">
        <v>50</v>
      </c>
      <c r="T395" s="2">
        <v>80</v>
      </c>
      <c r="U395" s="3">
        <v>0.57140000000000002</v>
      </c>
      <c r="V395" s="2">
        <v>30</v>
      </c>
    </row>
    <row r="396" spans="1:22" x14ac:dyDescent="0.25">
      <c r="A396" t="s">
        <v>464</v>
      </c>
      <c r="B396" s="1">
        <v>45424</v>
      </c>
      <c r="C396">
        <v>712</v>
      </c>
      <c r="D396" t="s">
        <v>124</v>
      </c>
      <c r="E396" t="s">
        <v>24</v>
      </c>
      <c r="F396" t="s">
        <v>25</v>
      </c>
      <c r="G396" t="s">
        <v>33</v>
      </c>
      <c r="H396" t="s">
        <v>34</v>
      </c>
      <c r="I396" t="s">
        <v>35</v>
      </c>
      <c r="J396" t="s">
        <v>29</v>
      </c>
      <c r="K396">
        <v>848</v>
      </c>
      <c r="L396">
        <v>4</v>
      </c>
      <c r="M396" s="2">
        <v>42</v>
      </c>
      <c r="N396" s="2">
        <v>15</v>
      </c>
      <c r="O396" s="2">
        <v>16</v>
      </c>
      <c r="P396" s="2">
        <v>12</v>
      </c>
      <c r="Q396" s="3">
        <v>0.28570000000000001</v>
      </c>
      <c r="R396" s="2">
        <v>30</v>
      </c>
      <c r="S396" s="2">
        <v>10</v>
      </c>
      <c r="T396" s="2">
        <v>10</v>
      </c>
      <c r="U396" s="3">
        <v>0.33329999999999999</v>
      </c>
      <c r="V396" s="2">
        <v>2</v>
      </c>
    </row>
    <row r="397" spans="1:22" x14ac:dyDescent="0.25">
      <c r="A397" t="s">
        <v>465</v>
      </c>
      <c r="B397" s="1">
        <v>45425</v>
      </c>
      <c r="C397">
        <v>312</v>
      </c>
      <c r="D397" t="s">
        <v>37</v>
      </c>
      <c r="E397" t="s">
        <v>24</v>
      </c>
      <c r="F397" t="s">
        <v>32</v>
      </c>
      <c r="G397" t="s">
        <v>26</v>
      </c>
      <c r="H397" t="s">
        <v>38</v>
      </c>
      <c r="I397" t="s">
        <v>46</v>
      </c>
      <c r="J397" t="s">
        <v>40</v>
      </c>
      <c r="K397">
        <v>531</v>
      </c>
      <c r="L397">
        <v>14</v>
      </c>
      <c r="M397" s="2">
        <v>106</v>
      </c>
      <c r="N397" s="2">
        <v>43</v>
      </c>
      <c r="O397" s="2">
        <v>27</v>
      </c>
      <c r="P397" s="2">
        <v>43</v>
      </c>
      <c r="Q397" s="3">
        <v>0.40570000000000001</v>
      </c>
      <c r="R397" s="2">
        <v>90</v>
      </c>
      <c r="S397" s="2">
        <v>40</v>
      </c>
      <c r="T397" s="2">
        <v>30</v>
      </c>
      <c r="U397" s="3">
        <v>0.33329999999999999</v>
      </c>
      <c r="V397" s="2">
        <v>13</v>
      </c>
    </row>
    <row r="398" spans="1:22" x14ac:dyDescent="0.25">
      <c r="A398" t="s">
        <v>466</v>
      </c>
      <c r="B398" s="1">
        <v>45425</v>
      </c>
      <c r="C398">
        <v>801</v>
      </c>
      <c r="D398" t="s">
        <v>95</v>
      </c>
      <c r="E398" t="s">
        <v>53</v>
      </c>
      <c r="F398" t="s">
        <v>25</v>
      </c>
      <c r="G398" t="s">
        <v>26</v>
      </c>
      <c r="H398" t="s">
        <v>38</v>
      </c>
      <c r="I398" t="s">
        <v>46</v>
      </c>
      <c r="J398" t="s">
        <v>40</v>
      </c>
      <c r="K398">
        <v>462</v>
      </c>
      <c r="L398">
        <v>15</v>
      </c>
      <c r="M398" s="2">
        <v>122</v>
      </c>
      <c r="N398" s="2">
        <v>48</v>
      </c>
      <c r="O398" s="2">
        <v>46</v>
      </c>
      <c r="P398" s="2">
        <v>28</v>
      </c>
      <c r="Q398" s="3">
        <v>0.22950000000000001</v>
      </c>
      <c r="R398" s="2">
        <v>110</v>
      </c>
      <c r="S398" s="2">
        <v>40</v>
      </c>
      <c r="T398" s="2">
        <v>40</v>
      </c>
      <c r="U398" s="3">
        <v>0.36359999999999998</v>
      </c>
      <c r="V398" s="2">
        <v>-12</v>
      </c>
    </row>
    <row r="399" spans="1:22" x14ac:dyDescent="0.25">
      <c r="A399" t="s">
        <v>467</v>
      </c>
      <c r="B399" s="1">
        <v>45425</v>
      </c>
      <c r="C399">
        <v>937</v>
      </c>
      <c r="D399" t="s">
        <v>85</v>
      </c>
      <c r="E399" t="s">
        <v>24</v>
      </c>
      <c r="F399" t="s">
        <v>32</v>
      </c>
      <c r="G399" t="s">
        <v>26</v>
      </c>
      <c r="H399" t="s">
        <v>38</v>
      </c>
      <c r="I399" t="s">
        <v>46</v>
      </c>
      <c r="J399" t="s">
        <v>40</v>
      </c>
      <c r="K399">
        <v>859</v>
      </c>
      <c r="L399">
        <v>7</v>
      </c>
      <c r="M399" s="2">
        <v>70</v>
      </c>
      <c r="N399" s="2">
        <v>27</v>
      </c>
      <c r="O399" s="2">
        <v>19</v>
      </c>
      <c r="P399" s="2">
        <v>30</v>
      </c>
      <c r="Q399" s="3">
        <v>0.42859999999999998</v>
      </c>
      <c r="R399" s="2">
        <v>40</v>
      </c>
      <c r="S399" s="2">
        <v>10</v>
      </c>
      <c r="T399" s="2">
        <v>30</v>
      </c>
      <c r="U399" s="3">
        <v>0.75</v>
      </c>
      <c r="V399" s="2">
        <v>0</v>
      </c>
    </row>
    <row r="400" spans="1:22" x14ac:dyDescent="0.25">
      <c r="A400" t="s">
        <v>468</v>
      </c>
      <c r="B400" s="1">
        <v>45426</v>
      </c>
      <c r="C400">
        <v>337</v>
      </c>
      <c r="D400" t="s">
        <v>49</v>
      </c>
      <c r="E400" t="s">
        <v>45</v>
      </c>
      <c r="F400" t="s">
        <v>25</v>
      </c>
      <c r="G400" t="s">
        <v>26</v>
      </c>
      <c r="H400" t="s">
        <v>38</v>
      </c>
      <c r="I400" t="s">
        <v>46</v>
      </c>
      <c r="J400" t="s">
        <v>40</v>
      </c>
      <c r="K400">
        <v>601</v>
      </c>
      <c r="L400">
        <v>31</v>
      </c>
      <c r="M400" s="2">
        <v>184</v>
      </c>
      <c r="N400" s="2">
        <v>82</v>
      </c>
      <c r="O400" s="2">
        <v>64</v>
      </c>
      <c r="P400" s="2">
        <v>38</v>
      </c>
      <c r="Q400" s="3">
        <v>0.20649999999999999</v>
      </c>
      <c r="R400" s="2">
        <v>170</v>
      </c>
      <c r="S400" s="2">
        <v>70</v>
      </c>
      <c r="T400" s="2">
        <v>40</v>
      </c>
      <c r="U400" s="3">
        <v>0.23530000000000001</v>
      </c>
      <c r="V400" s="2">
        <v>-2</v>
      </c>
    </row>
    <row r="401" spans="1:22" x14ac:dyDescent="0.25">
      <c r="A401" t="s">
        <v>469</v>
      </c>
      <c r="B401" s="1">
        <v>45426</v>
      </c>
      <c r="C401">
        <v>203</v>
      </c>
      <c r="D401" t="s">
        <v>135</v>
      </c>
      <c r="E401" t="s">
        <v>79</v>
      </c>
      <c r="F401" t="s">
        <v>25</v>
      </c>
      <c r="G401" t="s">
        <v>33</v>
      </c>
      <c r="H401" t="s">
        <v>34</v>
      </c>
      <c r="I401" t="s">
        <v>50</v>
      </c>
      <c r="J401" t="s">
        <v>29</v>
      </c>
      <c r="K401">
        <v>1166</v>
      </c>
      <c r="L401">
        <v>37</v>
      </c>
      <c r="M401" s="2">
        <v>289</v>
      </c>
      <c r="N401" s="2">
        <v>115</v>
      </c>
      <c r="O401" s="2">
        <v>69</v>
      </c>
      <c r="P401" s="2">
        <v>105</v>
      </c>
      <c r="Q401" s="3">
        <v>0.36330000000000001</v>
      </c>
      <c r="R401" s="2">
        <v>260</v>
      </c>
      <c r="S401" s="2">
        <v>100</v>
      </c>
      <c r="T401" s="2">
        <v>110</v>
      </c>
      <c r="U401" s="3">
        <v>0.42309999999999998</v>
      </c>
      <c r="V401" s="2">
        <v>-5</v>
      </c>
    </row>
    <row r="402" spans="1:22" x14ac:dyDescent="0.25">
      <c r="A402" t="s">
        <v>470</v>
      </c>
      <c r="B402" s="1">
        <v>45426</v>
      </c>
      <c r="C402">
        <v>319</v>
      </c>
      <c r="D402" t="s">
        <v>124</v>
      </c>
      <c r="E402" t="s">
        <v>24</v>
      </c>
      <c r="F402" t="s">
        <v>25</v>
      </c>
      <c r="G402" t="s">
        <v>26</v>
      </c>
      <c r="H402" t="s">
        <v>27</v>
      </c>
      <c r="I402" t="s">
        <v>42</v>
      </c>
      <c r="J402" t="s">
        <v>29</v>
      </c>
      <c r="K402">
        <v>1784</v>
      </c>
      <c r="L402">
        <v>93</v>
      </c>
      <c r="M402" s="2">
        <v>545</v>
      </c>
      <c r="N402" s="2">
        <v>245</v>
      </c>
      <c r="O402" s="2">
        <v>127</v>
      </c>
      <c r="P402" s="2">
        <v>173</v>
      </c>
      <c r="Q402" s="3">
        <v>0.31740000000000002</v>
      </c>
      <c r="R402" s="2">
        <v>450</v>
      </c>
      <c r="S402" s="2">
        <v>200</v>
      </c>
      <c r="T402" s="2">
        <v>130</v>
      </c>
      <c r="U402" s="3">
        <v>0.28889999999999999</v>
      </c>
      <c r="V402" s="2">
        <v>43</v>
      </c>
    </row>
    <row r="403" spans="1:22" x14ac:dyDescent="0.25">
      <c r="A403" t="s">
        <v>471</v>
      </c>
      <c r="B403" s="1">
        <v>45426</v>
      </c>
      <c r="C403">
        <v>801</v>
      </c>
      <c r="D403" t="s">
        <v>95</v>
      </c>
      <c r="E403" t="s">
        <v>53</v>
      </c>
      <c r="F403" t="s">
        <v>25</v>
      </c>
      <c r="G403" t="s">
        <v>33</v>
      </c>
      <c r="H403" t="s">
        <v>34</v>
      </c>
      <c r="I403" t="s">
        <v>35</v>
      </c>
      <c r="J403" t="s">
        <v>29</v>
      </c>
      <c r="K403">
        <v>1060</v>
      </c>
      <c r="L403">
        <v>21</v>
      </c>
      <c r="M403" s="2">
        <v>150</v>
      </c>
      <c r="N403" s="2">
        <v>69</v>
      </c>
      <c r="O403" s="2">
        <v>42</v>
      </c>
      <c r="P403" s="2">
        <v>39</v>
      </c>
      <c r="Q403" s="3">
        <v>0.26</v>
      </c>
      <c r="R403" s="2">
        <v>170</v>
      </c>
      <c r="S403" s="2">
        <v>80</v>
      </c>
      <c r="T403" s="2">
        <v>50</v>
      </c>
      <c r="U403" s="3">
        <v>0.29409999999999997</v>
      </c>
      <c r="V403" s="2">
        <v>-11</v>
      </c>
    </row>
    <row r="404" spans="1:22" x14ac:dyDescent="0.25">
      <c r="A404" t="s">
        <v>472</v>
      </c>
      <c r="B404" s="1">
        <v>45428</v>
      </c>
      <c r="C404">
        <v>970</v>
      </c>
      <c r="D404" t="s">
        <v>31</v>
      </c>
      <c r="E404" t="s">
        <v>24</v>
      </c>
      <c r="F404" t="s">
        <v>32</v>
      </c>
      <c r="G404" t="s">
        <v>26</v>
      </c>
      <c r="H404" t="s">
        <v>27</v>
      </c>
      <c r="I404" t="s">
        <v>42</v>
      </c>
      <c r="J404" t="s">
        <v>29</v>
      </c>
      <c r="K404">
        <v>1054</v>
      </c>
      <c r="L404">
        <v>16</v>
      </c>
      <c r="M404" s="2">
        <v>124</v>
      </c>
      <c r="N404" s="2">
        <v>53</v>
      </c>
      <c r="O404" s="2">
        <v>37</v>
      </c>
      <c r="P404" s="2">
        <v>39</v>
      </c>
      <c r="Q404" s="3">
        <v>0.3145</v>
      </c>
      <c r="R404" s="2">
        <v>90</v>
      </c>
      <c r="S404" s="2">
        <v>40</v>
      </c>
      <c r="T404" s="2">
        <v>20</v>
      </c>
      <c r="U404" s="3">
        <v>0.22220000000000001</v>
      </c>
      <c r="V404" s="2">
        <v>19</v>
      </c>
    </row>
    <row r="405" spans="1:22" x14ac:dyDescent="0.25">
      <c r="A405" t="s">
        <v>473</v>
      </c>
      <c r="B405" s="1">
        <v>45428</v>
      </c>
      <c r="C405">
        <v>801</v>
      </c>
      <c r="D405" t="s">
        <v>95</v>
      </c>
      <c r="E405" t="s">
        <v>53</v>
      </c>
      <c r="F405" t="s">
        <v>25</v>
      </c>
      <c r="G405" t="s">
        <v>26</v>
      </c>
      <c r="H405" t="s">
        <v>27</v>
      </c>
      <c r="I405" t="s">
        <v>59</v>
      </c>
      <c r="J405" t="s">
        <v>29</v>
      </c>
      <c r="K405">
        <v>211</v>
      </c>
      <c r="L405">
        <v>12</v>
      </c>
      <c r="M405" s="2">
        <v>76</v>
      </c>
      <c r="N405" s="2">
        <v>34</v>
      </c>
      <c r="O405" s="2">
        <v>45</v>
      </c>
      <c r="P405" s="2">
        <v>-3</v>
      </c>
      <c r="Q405" s="3">
        <v>-3.95E-2</v>
      </c>
      <c r="R405" s="2">
        <v>50</v>
      </c>
      <c r="S405" s="2">
        <v>20</v>
      </c>
      <c r="T405" s="2">
        <v>0</v>
      </c>
      <c r="U405" s="3">
        <v>0</v>
      </c>
      <c r="V405" s="2">
        <v>-3</v>
      </c>
    </row>
    <row r="406" spans="1:22" x14ac:dyDescent="0.25">
      <c r="A406" t="s">
        <v>474</v>
      </c>
      <c r="B406" s="1">
        <v>45428</v>
      </c>
      <c r="C406">
        <v>660</v>
      </c>
      <c r="D406" t="s">
        <v>58</v>
      </c>
      <c r="E406" t="s">
        <v>24</v>
      </c>
      <c r="F406" t="s">
        <v>25</v>
      </c>
      <c r="G406" t="s">
        <v>33</v>
      </c>
      <c r="H406" t="s">
        <v>54</v>
      </c>
      <c r="I406" t="s">
        <v>55</v>
      </c>
      <c r="J406" t="s">
        <v>40</v>
      </c>
      <c r="K406">
        <v>833</v>
      </c>
      <c r="L406">
        <v>8</v>
      </c>
      <c r="M406" s="2">
        <v>79</v>
      </c>
      <c r="N406" s="2">
        <v>32</v>
      </c>
      <c r="O406" s="2">
        <v>19</v>
      </c>
      <c r="P406" s="2">
        <v>28</v>
      </c>
      <c r="Q406" s="3">
        <v>0.35439999999999999</v>
      </c>
      <c r="R406" s="2">
        <v>110</v>
      </c>
      <c r="S406" s="2">
        <v>30</v>
      </c>
      <c r="T406" s="2">
        <v>80</v>
      </c>
      <c r="U406" s="3">
        <v>0.72729999999999995</v>
      </c>
      <c r="V406" s="2">
        <v>-52</v>
      </c>
    </row>
    <row r="407" spans="1:22" x14ac:dyDescent="0.25">
      <c r="A407" t="s">
        <v>475</v>
      </c>
      <c r="B407" s="1">
        <v>45428</v>
      </c>
      <c r="C407">
        <v>920</v>
      </c>
      <c r="D407" t="s">
        <v>23</v>
      </c>
      <c r="E407" t="s">
        <v>24</v>
      </c>
      <c r="F407" t="s">
        <v>25</v>
      </c>
      <c r="G407" t="s">
        <v>33</v>
      </c>
      <c r="H407" t="s">
        <v>34</v>
      </c>
      <c r="I407" t="s">
        <v>35</v>
      </c>
      <c r="J407" t="s">
        <v>29</v>
      </c>
      <c r="K407">
        <v>403</v>
      </c>
      <c r="L407">
        <v>24</v>
      </c>
      <c r="M407" s="2">
        <v>155</v>
      </c>
      <c r="N407" s="2">
        <v>65</v>
      </c>
      <c r="O407" s="2">
        <v>58</v>
      </c>
      <c r="P407" s="2">
        <v>33</v>
      </c>
      <c r="Q407" s="3">
        <v>0.21290000000000001</v>
      </c>
      <c r="R407" s="2">
        <v>140</v>
      </c>
      <c r="S407" s="2">
        <v>60</v>
      </c>
      <c r="T407" s="2">
        <v>30</v>
      </c>
      <c r="U407" s="3">
        <v>0.21429999999999999</v>
      </c>
      <c r="V407" s="2">
        <v>3</v>
      </c>
    </row>
    <row r="408" spans="1:22" x14ac:dyDescent="0.25">
      <c r="A408" t="s">
        <v>476</v>
      </c>
      <c r="B408" s="1">
        <v>45428</v>
      </c>
      <c r="C408">
        <v>314</v>
      </c>
      <c r="D408" t="s">
        <v>58</v>
      </c>
      <c r="E408" t="s">
        <v>24</v>
      </c>
      <c r="F408" t="s">
        <v>25</v>
      </c>
      <c r="G408" t="s">
        <v>33</v>
      </c>
      <c r="H408" t="s">
        <v>54</v>
      </c>
      <c r="I408" t="s">
        <v>68</v>
      </c>
      <c r="J408" t="s">
        <v>29</v>
      </c>
      <c r="K408">
        <v>885</v>
      </c>
      <c r="L408">
        <v>15</v>
      </c>
      <c r="M408" s="2">
        <v>132</v>
      </c>
      <c r="N408" s="2">
        <v>54</v>
      </c>
      <c r="O408" s="2">
        <v>27</v>
      </c>
      <c r="P408" s="2">
        <v>51</v>
      </c>
      <c r="Q408" s="3">
        <v>0.38640000000000002</v>
      </c>
      <c r="R408" s="2">
        <v>160</v>
      </c>
      <c r="S408" s="2">
        <v>60</v>
      </c>
      <c r="T408" s="2">
        <v>80</v>
      </c>
      <c r="U408" s="3">
        <v>0.5</v>
      </c>
      <c r="V408" s="2">
        <v>-29</v>
      </c>
    </row>
    <row r="409" spans="1:22" x14ac:dyDescent="0.25">
      <c r="A409" t="s">
        <v>477</v>
      </c>
      <c r="B409" s="1">
        <v>45428</v>
      </c>
      <c r="C409">
        <v>916</v>
      </c>
      <c r="D409" t="s">
        <v>62</v>
      </c>
      <c r="E409" t="s">
        <v>53</v>
      </c>
      <c r="F409" t="s">
        <v>32</v>
      </c>
      <c r="G409" t="s">
        <v>26</v>
      </c>
      <c r="H409" t="s">
        <v>27</v>
      </c>
      <c r="I409" t="s">
        <v>28</v>
      </c>
      <c r="J409" t="s">
        <v>29</v>
      </c>
      <c r="K409">
        <v>959</v>
      </c>
      <c r="L409">
        <v>34</v>
      </c>
      <c r="M409" s="2">
        <v>302</v>
      </c>
      <c r="N409" s="2">
        <v>123</v>
      </c>
      <c r="O409" s="2">
        <v>45</v>
      </c>
      <c r="P409" s="2">
        <v>134</v>
      </c>
      <c r="Q409" s="3">
        <v>0.44369999999999998</v>
      </c>
      <c r="R409" s="2">
        <v>220</v>
      </c>
      <c r="S409" s="2">
        <v>90</v>
      </c>
      <c r="T409" s="2">
        <v>110</v>
      </c>
      <c r="U409" s="3">
        <v>0.5</v>
      </c>
      <c r="V409" s="2">
        <v>24</v>
      </c>
    </row>
    <row r="410" spans="1:22" x14ac:dyDescent="0.25">
      <c r="A410" t="s">
        <v>478</v>
      </c>
      <c r="B410" s="1">
        <v>45429</v>
      </c>
      <c r="C410">
        <v>801</v>
      </c>
      <c r="D410" t="s">
        <v>95</v>
      </c>
      <c r="E410" t="s">
        <v>53</v>
      </c>
      <c r="F410" t="s">
        <v>25</v>
      </c>
      <c r="G410" t="s">
        <v>26</v>
      </c>
      <c r="H410" t="s">
        <v>38</v>
      </c>
      <c r="I410" t="s">
        <v>66</v>
      </c>
      <c r="J410" t="s">
        <v>40</v>
      </c>
      <c r="K410">
        <v>1804</v>
      </c>
      <c r="L410">
        <v>25</v>
      </c>
      <c r="M410" s="2">
        <v>122</v>
      </c>
      <c r="N410" s="2">
        <v>82</v>
      </c>
      <c r="O410" s="2">
        <v>48</v>
      </c>
      <c r="P410" s="2">
        <v>-8</v>
      </c>
      <c r="Q410" s="3">
        <v>-6.5600000000000006E-2</v>
      </c>
      <c r="R410" s="2">
        <v>110</v>
      </c>
      <c r="S410" s="2">
        <v>70</v>
      </c>
      <c r="T410" s="2">
        <v>0</v>
      </c>
      <c r="U410" s="3">
        <v>0</v>
      </c>
      <c r="V410" s="2">
        <v>-8</v>
      </c>
    </row>
    <row r="411" spans="1:22" x14ac:dyDescent="0.25">
      <c r="A411" t="s">
        <v>479</v>
      </c>
      <c r="B411" s="1">
        <v>45430</v>
      </c>
      <c r="C411">
        <v>505</v>
      </c>
      <c r="D411" t="s">
        <v>44</v>
      </c>
      <c r="E411" t="s">
        <v>45</v>
      </c>
      <c r="F411" t="s">
        <v>25</v>
      </c>
      <c r="G411" t="s">
        <v>33</v>
      </c>
      <c r="H411" t="s">
        <v>54</v>
      </c>
      <c r="I411" t="s">
        <v>72</v>
      </c>
      <c r="J411" t="s">
        <v>29</v>
      </c>
      <c r="K411">
        <v>-598</v>
      </c>
      <c r="L411">
        <v>7</v>
      </c>
      <c r="M411" s="2">
        <v>48</v>
      </c>
      <c r="N411" s="2">
        <v>20</v>
      </c>
      <c r="O411" s="2">
        <v>40</v>
      </c>
      <c r="P411" s="2">
        <v>-22</v>
      </c>
      <c r="Q411" s="3">
        <v>-0.45829999999999999</v>
      </c>
      <c r="R411" s="2">
        <v>30</v>
      </c>
      <c r="S411" s="2">
        <v>10</v>
      </c>
      <c r="T411" s="2">
        <v>-10</v>
      </c>
      <c r="U411" s="3">
        <v>-0.33329999999999999</v>
      </c>
      <c r="V411" s="2">
        <v>-12</v>
      </c>
    </row>
    <row r="412" spans="1:22" x14ac:dyDescent="0.25">
      <c r="A412" t="s">
        <v>480</v>
      </c>
      <c r="B412" s="1">
        <v>45430</v>
      </c>
      <c r="C412">
        <v>508</v>
      </c>
      <c r="D412" t="s">
        <v>78</v>
      </c>
      <c r="E412" t="s">
        <v>79</v>
      </c>
      <c r="F412" t="s">
        <v>32</v>
      </c>
      <c r="G412" t="s">
        <v>33</v>
      </c>
      <c r="H412" t="s">
        <v>54</v>
      </c>
      <c r="I412" t="s">
        <v>101</v>
      </c>
      <c r="J412" t="s">
        <v>29</v>
      </c>
      <c r="K412">
        <v>1283</v>
      </c>
      <c r="L412">
        <v>50</v>
      </c>
      <c r="M412" s="2">
        <v>363</v>
      </c>
      <c r="N412" s="2">
        <v>181</v>
      </c>
      <c r="O412" s="2">
        <v>74</v>
      </c>
      <c r="P412" s="2">
        <v>108</v>
      </c>
      <c r="Q412" s="3">
        <v>0.29749999999999999</v>
      </c>
      <c r="R412" s="2">
        <v>350</v>
      </c>
      <c r="S412" s="2">
        <v>170</v>
      </c>
      <c r="T412" s="2">
        <v>120</v>
      </c>
      <c r="U412" s="3">
        <v>0.34289999999999998</v>
      </c>
      <c r="V412" s="2">
        <v>-12</v>
      </c>
    </row>
    <row r="413" spans="1:22" x14ac:dyDescent="0.25">
      <c r="A413" t="s">
        <v>481</v>
      </c>
      <c r="B413" s="1">
        <v>45430</v>
      </c>
      <c r="C413">
        <v>503</v>
      </c>
      <c r="D413" t="s">
        <v>71</v>
      </c>
      <c r="E413" t="s">
        <v>53</v>
      </c>
      <c r="F413" t="s">
        <v>25</v>
      </c>
      <c r="G413" t="s">
        <v>26</v>
      </c>
      <c r="H413" t="s">
        <v>27</v>
      </c>
      <c r="I413" t="s">
        <v>42</v>
      </c>
      <c r="J413" t="s">
        <v>29</v>
      </c>
      <c r="K413">
        <v>798</v>
      </c>
      <c r="L413">
        <v>25</v>
      </c>
      <c r="M413" s="2">
        <v>210</v>
      </c>
      <c r="N413" s="2">
        <v>78</v>
      </c>
      <c r="O413" s="2">
        <v>57</v>
      </c>
      <c r="P413" s="2">
        <v>92</v>
      </c>
      <c r="Q413" s="3">
        <v>0.43809999999999999</v>
      </c>
      <c r="R413" s="2">
        <v>140</v>
      </c>
      <c r="S413" s="2">
        <v>50</v>
      </c>
      <c r="T413" s="2">
        <v>50</v>
      </c>
      <c r="U413" s="3">
        <v>0.35709999999999997</v>
      </c>
      <c r="V413" s="2">
        <v>42</v>
      </c>
    </row>
    <row r="414" spans="1:22" x14ac:dyDescent="0.25">
      <c r="A414" t="s">
        <v>482</v>
      </c>
      <c r="B414" s="1">
        <v>45430</v>
      </c>
      <c r="C414">
        <v>209</v>
      </c>
      <c r="D414" t="s">
        <v>62</v>
      </c>
      <c r="E414" t="s">
        <v>53</v>
      </c>
      <c r="F414" t="s">
        <v>32</v>
      </c>
      <c r="G414" t="s">
        <v>33</v>
      </c>
      <c r="H414" t="s">
        <v>54</v>
      </c>
      <c r="I414" t="s">
        <v>55</v>
      </c>
      <c r="J414" t="s">
        <v>40</v>
      </c>
      <c r="K414">
        <v>1744</v>
      </c>
      <c r="L414">
        <v>81</v>
      </c>
      <c r="M414" s="2">
        <v>614</v>
      </c>
      <c r="N414" s="2">
        <v>247</v>
      </c>
      <c r="O414" s="2">
        <v>113</v>
      </c>
      <c r="P414" s="2">
        <v>321</v>
      </c>
      <c r="Q414" s="3">
        <v>0.52280000000000004</v>
      </c>
      <c r="R414" s="2">
        <v>550</v>
      </c>
      <c r="S414" s="2">
        <v>240</v>
      </c>
      <c r="T414" s="2">
        <v>210</v>
      </c>
      <c r="U414" s="3">
        <v>0.38179999999999997</v>
      </c>
      <c r="V414" s="2">
        <v>111</v>
      </c>
    </row>
    <row r="415" spans="1:22" x14ac:dyDescent="0.25">
      <c r="A415" t="s">
        <v>483</v>
      </c>
      <c r="B415" s="1">
        <v>45431</v>
      </c>
      <c r="C415">
        <v>918</v>
      </c>
      <c r="D415" t="s">
        <v>148</v>
      </c>
      <c r="E415" t="s">
        <v>45</v>
      </c>
      <c r="F415" t="s">
        <v>25</v>
      </c>
      <c r="G415" t="s">
        <v>33</v>
      </c>
      <c r="H415" t="s">
        <v>54</v>
      </c>
      <c r="I415" t="s">
        <v>55</v>
      </c>
      <c r="J415" t="s">
        <v>40</v>
      </c>
      <c r="K415">
        <v>817</v>
      </c>
      <c r="L415">
        <v>29</v>
      </c>
      <c r="M415" s="2">
        <v>236</v>
      </c>
      <c r="N415" s="2">
        <v>88</v>
      </c>
      <c r="O415" s="2">
        <v>61</v>
      </c>
      <c r="P415" s="2">
        <v>107</v>
      </c>
      <c r="Q415" s="3">
        <v>0.45340000000000003</v>
      </c>
      <c r="R415" s="2">
        <v>170</v>
      </c>
      <c r="S415" s="2">
        <v>60</v>
      </c>
      <c r="T415" s="2">
        <v>60</v>
      </c>
      <c r="U415" s="3">
        <v>0.35289999999999999</v>
      </c>
      <c r="V415" s="2">
        <v>47</v>
      </c>
    </row>
    <row r="416" spans="1:22" x14ac:dyDescent="0.25">
      <c r="A416" t="s">
        <v>484</v>
      </c>
      <c r="B416" s="1">
        <v>45431</v>
      </c>
      <c r="C416">
        <v>775</v>
      </c>
      <c r="D416" t="s">
        <v>65</v>
      </c>
      <c r="E416" t="s">
        <v>53</v>
      </c>
      <c r="F416" t="s">
        <v>25</v>
      </c>
      <c r="G416" t="s">
        <v>26</v>
      </c>
      <c r="H416" t="s">
        <v>27</v>
      </c>
      <c r="I416" t="s">
        <v>59</v>
      </c>
      <c r="J416" t="s">
        <v>29</v>
      </c>
      <c r="K416">
        <v>8252</v>
      </c>
      <c r="L416">
        <v>111</v>
      </c>
      <c r="M416" s="2">
        <v>31</v>
      </c>
      <c r="N416" s="2">
        <v>294</v>
      </c>
      <c r="O416" s="2">
        <v>145</v>
      </c>
      <c r="P416" s="2">
        <v>-408</v>
      </c>
      <c r="Q416" s="3">
        <v>-13.161300000000001</v>
      </c>
      <c r="R416" s="2">
        <v>0</v>
      </c>
      <c r="S416" s="2">
        <v>210</v>
      </c>
      <c r="T416" s="2">
        <v>-320</v>
      </c>
      <c r="U416" t="e">
        <v>#DIV/0!</v>
      </c>
      <c r="V416" s="2">
        <v>-88</v>
      </c>
    </row>
    <row r="417" spans="1:22" x14ac:dyDescent="0.25">
      <c r="A417" t="s">
        <v>485</v>
      </c>
      <c r="B417" s="1">
        <v>45432</v>
      </c>
      <c r="C417">
        <v>435</v>
      </c>
      <c r="D417" t="s">
        <v>95</v>
      </c>
      <c r="E417" t="s">
        <v>53</v>
      </c>
      <c r="F417" t="s">
        <v>25</v>
      </c>
      <c r="G417" t="s">
        <v>33</v>
      </c>
      <c r="H417" t="s">
        <v>34</v>
      </c>
      <c r="I417" t="s">
        <v>50</v>
      </c>
      <c r="J417" t="s">
        <v>29</v>
      </c>
      <c r="K417">
        <v>380</v>
      </c>
      <c r="L417">
        <v>17</v>
      </c>
      <c r="M417" s="2">
        <v>124</v>
      </c>
      <c r="N417" s="2">
        <v>53</v>
      </c>
      <c r="O417" s="2">
        <v>44</v>
      </c>
      <c r="P417" s="2">
        <v>27</v>
      </c>
      <c r="Q417" s="3">
        <v>0.2177</v>
      </c>
      <c r="R417" s="2">
        <v>140</v>
      </c>
      <c r="S417" s="2">
        <v>60</v>
      </c>
      <c r="T417" s="2">
        <v>50</v>
      </c>
      <c r="U417" s="3">
        <v>0.35709999999999997</v>
      </c>
      <c r="V417" s="2">
        <v>-23</v>
      </c>
    </row>
    <row r="418" spans="1:22" x14ac:dyDescent="0.25">
      <c r="A418" t="s">
        <v>486</v>
      </c>
      <c r="B418" s="1">
        <v>45432</v>
      </c>
      <c r="C418">
        <v>234</v>
      </c>
      <c r="D418" t="s">
        <v>85</v>
      </c>
      <c r="E418" t="s">
        <v>24</v>
      </c>
      <c r="F418" t="s">
        <v>32</v>
      </c>
      <c r="G418" t="s">
        <v>26</v>
      </c>
      <c r="H418" t="s">
        <v>27</v>
      </c>
      <c r="I418" t="s">
        <v>28</v>
      </c>
      <c r="J418" t="s">
        <v>29</v>
      </c>
      <c r="K418">
        <v>788</v>
      </c>
      <c r="L418">
        <v>27</v>
      </c>
      <c r="M418" s="2">
        <v>205</v>
      </c>
      <c r="N418" s="2">
        <v>82</v>
      </c>
      <c r="O418" s="2">
        <v>58</v>
      </c>
      <c r="P418" s="2">
        <v>65</v>
      </c>
      <c r="Q418" s="3">
        <v>0.31709999999999999</v>
      </c>
      <c r="R418" s="2">
        <v>140</v>
      </c>
      <c r="S418" s="2">
        <v>50</v>
      </c>
      <c r="T418" s="2">
        <v>60</v>
      </c>
      <c r="U418" s="3">
        <v>0.42859999999999998</v>
      </c>
      <c r="V418" s="2">
        <v>5</v>
      </c>
    </row>
    <row r="419" spans="1:22" x14ac:dyDescent="0.25">
      <c r="A419" t="s">
        <v>487</v>
      </c>
      <c r="B419" s="1">
        <v>45433</v>
      </c>
      <c r="C419">
        <v>603</v>
      </c>
      <c r="D419" t="s">
        <v>109</v>
      </c>
      <c r="E419" t="s">
        <v>79</v>
      </c>
      <c r="F419" t="s">
        <v>25</v>
      </c>
      <c r="G419" t="s">
        <v>33</v>
      </c>
      <c r="H419" t="s">
        <v>34</v>
      </c>
      <c r="I419" t="s">
        <v>50</v>
      </c>
      <c r="J419" t="s">
        <v>29</v>
      </c>
      <c r="K419">
        <v>447</v>
      </c>
      <c r="L419">
        <v>14</v>
      </c>
      <c r="M419" s="2">
        <v>121</v>
      </c>
      <c r="N419" s="2">
        <v>45</v>
      </c>
      <c r="O419" s="2">
        <v>45</v>
      </c>
      <c r="P419" s="2">
        <v>36</v>
      </c>
      <c r="Q419" s="3">
        <v>0.29749999999999999</v>
      </c>
      <c r="R419" s="2">
        <v>90</v>
      </c>
      <c r="S419" s="2">
        <v>30</v>
      </c>
      <c r="T419" s="2">
        <v>50</v>
      </c>
      <c r="U419" s="3">
        <v>0.55559999999999998</v>
      </c>
      <c r="V419" s="2">
        <v>-14</v>
      </c>
    </row>
    <row r="420" spans="1:22" x14ac:dyDescent="0.25">
      <c r="A420" t="s">
        <v>488</v>
      </c>
      <c r="B420" s="1">
        <v>45433</v>
      </c>
      <c r="C420">
        <v>323</v>
      </c>
      <c r="D420" t="s">
        <v>62</v>
      </c>
      <c r="E420" t="s">
        <v>53</v>
      </c>
      <c r="F420" t="s">
        <v>32</v>
      </c>
      <c r="G420" t="s">
        <v>26</v>
      </c>
      <c r="H420" t="s">
        <v>38</v>
      </c>
      <c r="I420" t="s">
        <v>66</v>
      </c>
      <c r="J420" t="s">
        <v>40</v>
      </c>
      <c r="K420">
        <v>536</v>
      </c>
      <c r="L420">
        <v>13</v>
      </c>
      <c r="M420" s="2">
        <v>98</v>
      </c>
      <c r="N420" s="2">
        <v>40</v>
      </c>
      <c r="O420" s="2">
        <v>25</v>
      </c>
      <c r="P420" s="2">
        <v>40</v>
      </c>
      <c r="Q420" s="3">
        <v>0.40820000000000001</v>
      </c>
      <c r="R420" s="2">
        <v>80</v>
      </c>
      <c r="S420" s="2">
        <v>30</v>
      </c>
      <c r="T420" s="2">
        <v>30</v>
      </c>
      <c r="U420" s="3">
        <v>0.375</v>
      </c>
      <c r="V420" s="2">
        <v>10</v>
      </c>
    </row>
    <row r="421" spans="1:22" x14ac:dyDescent="0.25">
      <c r="A421" t="s">
        <v>489</v>
      </c>
      <c r="B421" s="1">
        <v>45433</v>
      </c>
      <c r="C421">
        <v>225</v>
      </c>
      <c r="D421" t="s">
        <v>49</v>
      </c>
      <c r="E421" t="s">
        <v>45</v>
      </c>
      <c r="F421" t="s">
        <v>25</v>
      </c>
      <c r="G421" t="s">
        <v>33</v>
      </c>
      <c r="H421" t="s">
        <v>34</v>
      </c>
      <c r="I421" t="s">
        <v>83</v>
      </c>
      <c r="J421" t="s">
        <v>40</v>
      </c>
      <c r="K421">
        <v>851</v>
      </c>
      <c r="L421">
        <v>13</v>
      </c>
      <c r="M421" s="2">
        <v>118</v>
      </c>
      <c r="N421" s="2">
        <v>48</v>
      </c>
      <c r="O421" s="2">
        <v>25</v>
      </c>
      <c r="P421" s="2">
        <v>45</v>
      </c>
      <c r="Q421" s="3">
        <v>0.38140000000000002</v>
      </c>
      <c r="R421" s="2">
        <v>160</v>
      </c>
      <c r="S421" s="2">
        <v>70</v>
      </c>
      <c r="T421" s="2">
        <v>80</v>
      </c>
      <c r="U421" s="3">
        <v>0.5</v>
      </c>
      <c r="V421" s="2">
        <v>-35</v>
      </c>
    </row>
    <row r="422" spans="1:22" x14ac:dyDescent="0.25">
      <c r="A422" t="s">
        <v>490</v>
      </c>
      <c r="B422" s="1">
        <v>45434</v>
      </c>
      <c r="C422">
        <v>318</v>
      </c>
      <c r="D422" t="s">
        <v>49</v>
      </c>
      <c r="E422" t="s">
        <v>45</v>
      </c>
      <c r="F422" t="s">
        <v>25</v>
      </c>
      <c r="G422" t="s">
        <v>33</v>
      </c>
      <c r="H422" t="s">
        <v>54</v>
      </c>
      <c r="I422" t="s">
        <v>68</v>
      </c>
      <c r="J422" t="s">
        <v>29</v>
      </c>
      <c r="K422">
        <v>321</v>
      </c>
      <c r="L422">
        <v>16</v>
      </c>
      <c r="M422" s="2">
        <v>150</v>
      </c>
      <c r="N422" s="2">
        <v>53</v>
      </c>
      <c r="O422" s="2">
        <v>39</v>
      </c>
      <c r="P422" s="2">
        <v>73</v>
      </c>
      <c r="Q422" s="3">
        <v>0.48670000000000002</v>
      </c>
      <c r="R422" s="2">
        <v>100</v>
      </c>
      <c r="S422" s="2">
        <v>40</v>
      </c>
      <c r="T422" s="2">
        <v>30</v>
      </c>
      <c r="U422" s="3">
        <v>0.3</v>
      </c>
      <c r="V422" s="2">
        <v>43</v>
      </c>
    </row>
    <row r="423" spans="1:22" x14ac:dyDescent="0.25">
      <c r="A423" t="s">
        <v>491</v>
      </c>
      <c r="B423" s="1">
        <v>45434</v>
      </c>
      <c r="C423">
        <v>360</v>
      </c>
      <c r="D423" t="s">
        <v>52</v>
      </c>
      <c r="E423" t="s">
        <v>53</v>
      </c>
      <c r="F423" t="s">
        <v>25</v>
      </c>
      <c r="G423" t="s">
        <v>26</v>
      </c>
      <c r="H423" t="s">
        <v>27</v>
      </c>
      <c r="I423" t="s">
        <v>42</v>
      </c>
      <c r="J423" t="s">
        <v>29</v>
      </c>
      <c r="K423">
        <v>449</v>
      </c>
      <c r="L423">
        <v>14</v>
      </c>
      <c r="M423" s="2">
        <v>113</v>
      </c>
      <c r="N423" s="2">
        <v>46</v>
      </c>
      <c r="O423" s="2">
        <v>36</v>
      </c>
      <c r="P423" s="2">
        <v>31</v>
      </c>
      <c r="Q423" s="3">
        <v>0.27429999999999999</v>
      </c>
      <c r="R423" s="2">
        <v>50</v>
      </c>
      <c r="S423" s="2">
        <v>20</v>
      </c>
      <c r="T423" s="2">
        <v>30</v>
      </c>
      <c r="U423" s="3">
        <v>0.6</v>
      </c>
      <c r="V423" s="2">
        <v>1</v>
      </c>
    </row>
    <row r="424" spans="1:22" x14ac:dyDescent="0.25">
      <c r="A424" t="s">
        <v>492</v>
      </c>
      <c r="B424" s="1">
        <v>45434</v>
      </c>
      <c r="C424">
        <v>503</v>
      </c>
      <c r="D424" t="s">
        <v>71</v>
      </c>
      <c r="E424" t="s">
        <v>53</v>
      </c>
      <c r="F424" t="s">
        <v>25</v>
      </c>
      <c r="G424" t="s">
        <v>26</v>
      </c>
      <c r="H424" t="s">
        <v>38</v>
      </c>
      <c r="I424" t="s">
        <v>39</v>
      </c>
      <c r="J424" t="s">
        <v>40</v>
      </c>
      <c r="K424">
        <v>823</v>
      </c>
      <c r="L424">
        <v>7</v>
      </c>
      <c r="M424" s="2">
        <v>63</v>
      </c>
      <c r="N424" s="2">
        <v>25</v>
      </c>
      <c r="O424" s="2">
        <v>19</v>
      </c>
      <c r="P424" s="2">
        <v>19</v>
      </c>
      <c r="Q424" s="3">
        <v>0.30159999999999998</v>
      </c>
      <c r="R424" s="2">
        <v>50</v>
      </c>
      <c r="S424" s="2">
        <v>20</v>
      </c>
      <c r="T424" s="2">
        <v>20</v>
      </c>
      <c r="U424" s="3">
        <v>0.4</v>
      </c>
      <c r="V424" s="2">
        <v>-1</v>
      </c>
    </row>
    <row r="425" spans="1:22" x14ac:dyDescent="0.25">
      <c r="A425" t="s">
        <v>493</v>
      </c>
      <c r="B425" s="1">
        <v>45434</v>
      </c>
      <c r="C425">
        <v>650</v>
      </c>
      <c r="D425" t="s">
        <v>62</v>
      </c>
      <c r="E425" t="s">
        <v>53</v>
      </c>
      <c r="F425" t="s">
        <v>32</v>
      </c>
      <c r="G425" t="s">
        <v>26</v>
      </c>
      <c r="H425" t="s">
        <v>27</v>
      </c>
      <c r="I425" t="s">
        <v>59</v>
      </c>
      <c r="J425" t="s">
        <v>29</v>
      </c>
      <c r="K425">
        <v>659</v>
      </c>
      <c r="L425">
        <v>24</v>
      </c>
      <c r="M425" s="2">
        <v>189</v>
      </c>
      <c r="N425" s="2">
        <v>75</v>
      </c>
      <c r="O425" s="2">
        <v>55</v>
      </c>
      <c r="P425" s="2">
        <v>59</v>
      </c>
      <c r="Q425" s="3">
        <v>0.31219999999999998</v>
      </c>
      <c r="R425" s="2">
        <v>130</v>
      </c>
      <c r="S425" s="2">
        <v>50</v>
      </c>
      <c r="T425" s="2">
        <v>40</v>
      </c>
      <c r="U425" s="3">
        <v>0.30769999999999997</v>
      </c>
      <c r="V425" s="2">
        <v>19</v>
      </c>
    </row>
    <row r="426" spans="1:22" x14ac:dyDescent="0.25">
      <c r="A426" t="s">
        <v>494</v>
      </c>
      <c r="B426" s="1">
        <v>45435</v>
      </c>
      <c r="C426">
        <v>435</v>
      </c>
      <c r="D426" t="s">
        <v>95</v>
      </c>
      <c r="E426" t="s">
        <v>53</v>
      </c>
      <c r="F426" t="s">
        <v>25</v>
      </c>
      <c r="G426" t="s">
        <v>26</v>
      </c>
      <c r="H426" t="s">
        <v>38</v>
      </c>
      <c r="I426" t="s">
        <v>39</v>
      </c>
      <c r="J426" t="s">
        <v>40</v>
      </c>
      <c r="K426">
        <v>316</v>
      </c>
      <c r="L426">
        <v>14</v>
      </c>
      <c r="M426" s="2">
        <v>120</v>
      </c>
      <c r="N426" s="2">
        <v>46</v>
      </c>
      <c r="O426" s="2">
        <v>37</v>
      </c>
      <c r="P426" s="2">
        <v>45</v>
      </c>
      <c r="Q426" s="3">
        <v>0.375</v>
      </c>
      <c r="R426" s="2">
        <v>100</v>
      </c>
      <c r="S426" s="2">
        <v>40</v>
      </c>
      <c r="T426" s="2">
        <v>30</v>
      </c>
      <c r="U426" s="3">
        <v>0.3</v>
      </c>
      <c r="V426" s="2">
        <v>15</v>
      </c>
    </row>
    <row r="427" spans="1:22" x14ac:dyDescent="0.25">
      <c r="A427" t="s">
        <v>495</v>
      </c>
      <c r="B427" s="1">
        <v>45435</v>
      </c>
      <c r="C427">
        <v>641</v>
      </c>
      <c r="D427" t="s">
        <v>124</v>
      </c>
      <c r="E427" t="s">
        <v>24</v>
      </c>
      <c r="F427" t="s">
        <v>25</v>
      </c>
      <c r="G427" t="s">
        <v>33</v>
      </c>
      <c r="H427" t="s">
        <v>34</v>
      </c>
      <c r="I427" t="s">
        <v>35</v>
      </c>
      <c r="J427" t="s">
        <v>29</v>
      </c>
      <c r="K427">
        <v>851</v>
      </c>
      <c r="L427">
        <v>4</v>
      </c>
      <c r="M427" s="2">
        <v>41</v>
      </c>
      <c r="N427" s="2">
        <v>16</v>
      </c>
      <c r="O427" s="2">
        <v>15</v>
      </c>
      <c r="P427" s="2">
        <v>10</v>
      </c>
      <c r="Q427" s="3">
        <v>0.24390000000000001</v>
      </c>
      <c r="R427" s="2">
        <v>40</v>
      </c>
      <c r="S427" s="2">
        <v>10</v>
      </c>
      <c r="T427" s="2">
        <v>20</v>
      </c>
      <c r="U427" s="3">
        <v>0.5</v>
      </c>
      <c r="V427" s="2">
        <v>-10</v>
      </c>
    </row>
    <row r="428" spans="1:22" x14ac:dyDescent="0.25">
      <c r="A428" t="s">
        <v>496</v>
      </c>
      <c r="B428" s="1">
        <v>45436</v>
      </c>
      <c r="C428">
        <v>325</v>
      </c>
      <c r="D428" t="s">
        <v>76</v>
      </c>
      <c r="E428" t="s">
        <v>45</v>
      </c>
      <c r="F428" t="s">
        <v>32</v>
      </c>
      <c r="G428" t="s">
        <v>26</v>
      </c>
      <c r="H428" t="s">
        <v>38</v>
      </c>
      <c r="I428" t="s">
        <v>39</v>
      </c>
      <c r="J428" t="s">
        <v>40</v>
      </c>
      <c r="K428">
        <v>405</v>
      </c>
      <c r="L428">
        <v>17</v>
      </c>
      <c r="M428" s="2">
        <v>131</v>
      </c>
      <c r="N428" s="2">
        <v>52</v>
      </c>
      <c r="O428" s="2">
        <v>45</v>
      </c>
      <c r="P428" s="2">
        <v>39</v>
      </c>
      <c r="Q428" s="3">
        <v>0.29770000000000002</v>
      </c>
      <c r="R428" s="2">
        <v>110</v>
      </c>
      <c r="S428" s="2">
        <v>30</v>
      </c>
      <c r="T428" s="2">
        <v>70</v>
      </c>
      <c r="U428" s="3">
        <v>0.63639999999999997</v>
      </c>
      <c r="V428" s="2">
        <v>-31</v>
      </c>
    </row>
    <row r="429" spans="1:22" x14ac:dyDescent="0.25">
      <c r="A429" t="s">
        <v>497</v>
      </c>
      <c r="B429" s="1">
        <v>45436</v>
      </c>
      <c r="C429">
        <v>608</v>
      </c>
      <c r="D429" t="s">
        <v>23</v>
      </c>
      <c r="E429" t="s">
        <v>24</v>
      </c>
      <c r="F429" t="s">
        <v>25</v>
      </c>
      <c r="G429" t="s">
        <v>33</v>
      </c>
      <c r="H429" t="s">
        <v>34</v>
      </c>
      <c r="I429" t="s">
        <v>50</v>
      </c>
      <c r="J429" t="s">
        <v>29</v>
      </c>
      <c r="K429">
        <v>694</v>
      </c>
      <c r="L429">
        <v>85</v>
      </c>
      <c r="M429" s="2">
        <v>239</v>
      </c>
      <c r="N429" s="2">
        <v>94</v>
      </c>
      <c r="O429" s="2">
        <v>114</v>
      </c>
      <c r="P429" s="2">
        <v>24</v>
      </c>
      <c r="Q429" s="3">
        <v>0.1004</v>
      </c>
      <c r="R429" s="2">
        <v>220</v>
      </c>
      <c r="S429" s="2">
        <v>90</v>
      </c>
      <c r="T429" s="2">
        <v>30</v>
      </c>
      <c r="U429" s="3">
        <v>0.13639999999999999</v>
      </c>
      <c r="V429" s="2">
        <v>-6</v>
      </c>
    </row>
    <row r="430" spans="1:22" x14ac:dyDescent="0.25">
      <c r="A430" t="s">
        <v>498</v>
      </c>
      <c r="B430" s="1">
        <v>45437</v>
      </c>
      <c r="C430">
        <v>801</v>
      </c>
      <c r="D430" t="s">
        <v>95</v>
      </c>
      <c r="E430" t="s">
        <v>53</v>
      </c>
      <c r="F430" t="s">
        <v>25</v>
      </c>
      <c r="G430" t="s">
        <v>26</v>
      </c>
      <c r="H430" t="s">
        <v>38</v>
      </c>
      <c r="I430" t="s">
        <v>39</v>
      </c>
      <c r="J430" t="s">
        <v>40</v>
      </c>
      <c r="K430">
        <v>310</v>
      </c>
      <c r="L430">
        <v>15</v>
      </c>
      <c r="M430" s="2">
        <v>120</v>
      </c>
      <c r="N430" s="2">
        <v>49</v>
      </c>
      <c r="O430" s="2">
        <v>38</v>
      </c>
      <c r="P430" s="2">
        <v>33</v>
      </c>
      <c r="Q430" s="3">
        <v>0.27500000000000002</v>
      </c>
      <c r="R430" s="2">
        <v>90</v>
      </c>
      <c r="S430" s="2">
        <v>30</v>
      </c>
      <c r="T430" s="2">
        <v>60</v>
      </c>
      <c r="U430" s="3">
        <v>0.66669999999999996</v>
      </c>
      <c r="V430" s="2">
        <v>-27</v>
      </c>
    </row>
    <row r="431" spans="1:22" x14ac:dyDescent="0.25">
      <c r="A431" t="s">
        <v>499</v>
      </c>
      <c r="B431" s="1">
        <v>45437</v>
      </c>
      <c r="C431">
        <v>636</v>
      </c>
      <c r="D431" t="s">
        <v>58</v>
      </c>
      <c r="E431" t="s">
        <v>24</v>
      </c>
      <c r="F431" t="s">
        <v>25</v>
      </c>
      <c r="G431" t="s">
        <v>26</v>
      </c>
      <c r="H431" t="s">
        <v>27</v>
      </c>
      <c r="I431" t="s">
        <v>42</v>
      </c>
      <c r="J431" t="s">
        <v>29</v>
      </c>
      <c r="K431">
        <v>211</v>
      </c>
      <c r="L431">
        <v>12</v>
      </c>
      <c r="M431" s="2">
        <v>76</v>
      </c>
      <c r="N431" s="2">
        <v>34</v>
      </c>
      <c r="O431" s="2">
        <v>45</v>
      </c>
      <c r="P431" s="2">
        <v>-3</v>
      </c>
      <c r="Q431" s="3">
        <v>-3.95E-2</v>
      </c>
      <c r="R431" s="2">
        <v>60</v>
      </c>
      <c r="S431" s="2">
        <v>20</v>
      </c>
      <c r="T431" s="2">
        <v>0</v>
      </c>
      <c r="U431" s="3">
        <v>0</v>
      </c>
      <c r="V431" s="2">
        <v>-3</v>
      </c>
    </row>
    <row r="432" spans="1:22" x14ac:dyDescent="0.25">
      <c r="A432" t="s">
        <v>500</v>
      </c>
      <c r="B432" s="1">
        <v>45437</v>
      </c>
      <c r="C432">
        <v>630</v>
      </c>
      <c r="D432" t="s">
        <v>37</v>
      </c>
      <c r="E432" t="s">
        <v>24</v>
      </c>
      <c r="F432" t="s">
        <v>32</v>
      </c>
      <c r="G432" t="s">
        <v>26</v>
      </c>
      <c r="H432" t="s">
        <v>27</v>
      </c>
      <c r="I432" t="s">
        <v>42</v>
      </c>
      <c r="J432" t="s">
        <v>29</v>
      </c>
      <c r="K432">
        <v>677</v>
      </c>
      <c r="L432">
        <v>22</v>
      </c>
      <c r="M432" s="2">
        <v>168</v>
      </c>
      <c r="N432" s="2">
        <v>67</v>
      </c>
      <c r="O432" s="2">
        <v>54</v>
      </c>
      <c r="P432" s="2">
        <v>47</v>
      </c>
      <c r="Q432" s="3">
        <v>0.27979999999999999</v>
      </c>
      <c r="R432" s="2">
        <v>130</v>
      </c>
      <c r="S432" s="2">
        <v>50</v>
      </c>
      <c r="T432" s="2">
        <v>40</v>
      </c>
      <c r="U432" s="3">
        <v>0.30769999999999997</v>
      </c>
      <c r="V432" s="2">
        <v>7</v>
      </c>
    </row>
    <row r="433" spans="1:22" x14ac:dyDescent="0.25">
      <c r="A433" t="s">
        <v>501</v>
      </c>
      <c r="B433" s="1">
        <v>45437</v>
      </c>
      <c r="C433">
        <v>813</v>
      </c>
      <c r="D433" t="s">
        <v>117</v>
      </c>
      <c r="E433" t="s">
        <v>79</v>
      </c>
      <c r="F433" t="s">
        <v>32</v>
      </c>
      <c r="G433" t="s">
        <v>33</v>
      </c>
      <c r="H433" t="s">
        <v>54</v>
      </c>
      <c r="I433" t="s">
        <v>68</v>
      </c>
      <c r="J433" t="s">
        <v>29</v>
      </c>
      <c r="K433">
        <v>694</v>
      </c>
      <c r="L433">
        <v>85</v>
      </c>
      <c r="M433" s="2">
        <v>239</v>
      </c>
      <c r="N433" s="2">
        <v>94</v>
      </c>
      <c r="O433" s="2">
        <v>115</v>
      </c>
      <c r="P433" s="2">
        <v>22</v>
      </c>
      <c r="Q433" s="3">
        <v>9.2100000000000001E-2</v>
      </c>
      <c r="R433" s="2">
        <v>210</v>
      </c>
      <c r="S433" s="2">
        <v>90</v>
      </c>
      <c r="T433" s="2">
        <v>20</v>
      </c>
      <c r="U433" s="3">
        <v>9.5200000000000007E-2</v>
      </c>
      <c r="V433" s="2">
        <v>2</v>
      </c>
    </row>
    <row r="434" spans="1:22" x14ac:dyDescent="0.25">
      <c r="A434" t="s">
        <v>502</v>
      </c>
      <c r="B434" s="1">
        <v>45438</v>
      </c>
      <c r="C434">
        <v>405</v>
      </c>
      <c r="D434" t="s">
        <v>148</v>
      </c>
      <c r="E434" t="s">
        <v>45</v>
      </c>
      <c r="F434" t="s">
        <v>25</v>
      </c>
      <c r="G434" t="s">
        <v>33</v>
      </c>
      <c r="H434" t="s">
        <v>34</v>
      </c>
      <c r="I434" t="s">
        <v>83</v>
      </c>
      <c r="J434" t="s">
        <v>40</v>
      </c>
      <c r="K434">
        <v>859</v>
      </c>
      <c r="L434">
        <v>7</v>
      </c>
      <c r="M434" s="2">
        <v>70</v>
      </c>
      <c r="N434" s="2">
        <v>27</v>
      </c>
      <c r="O434" s="2">
        <v>18</v>
      </c>
      <c r="P434" s="2">
        <v>31</v>
      </c>
      <c r="Q434" s="3">
        <v>0.44290000000000002</v>
      </c>
      <c r="R434" s="2">
        <v>90</v>
      </c>
      <c r="S434" s="2">
        <v>30</v>
      </c>
      <c r="T434" s="2">
        <v>60</v>
      </c>
      <c r="U434" s="3">
        <v>0.66669999999999996</v>
      </c>
      <c r="V434" s="2">
        <v>-29</v>
      </c>
    </row>
    <row r="435" spans="1:22" x14ac:dyDescent="0.25">
      <c r="A435" t="s">
        <v>503</v>
      </c>
      <c r="B435" s="1">
        <v>45438</v>
      </c>
      <c r="C435">
        <v>225</v>
      </c>
      <c r="D435" t="s">
        <v>49</v>
      </c>
      <c r="E435" t="s">
        <v>45</v>
      </c>
      <c r="F435" t="s">
        <v>25</v>
      </c>
      <c r="G435" t="s">
        <v>26</v>
      </c>
      <c r="H435" t="s">
        <v>38</v>
      </c>
      <c r="I435" t="s">
        <v>39</v>
      </c>
      <c r="J435" t="s">
        <v>40</v>
      </c>
      <c r="K435">
        <v>564</v>
      </c>
      <c r="L435">
        <v>33</v>
      </c>
      <c r="M435" s="2">
        <v>236</v>
      </c>
      <c r="N435" s="2">
        <v>103</v>
      </c>
      <c r="O435" s="2">
        <v>46</v>
      </c>
      <c r="P435" s="2">
        <v>87</v>
      </c>
      <c r="Q435" s="3">
        <v>0.36859999999999998</v>
      </c>
      <c r="R435" s="2">
        <v>210</v>
      </c>
      <c r="S435" s="2">
        <v>80</v>
      </c>
      <c r="T435" s="2">
        <v>110</v>
      </c>
      <c r="U435" s="3">
        <v>0.52380000000000004</v>
      </c>
      <c r="V435" s="2">
        <v>-23</v>
      </c>
    </row>
    <row r="436" spans="1:22" x14ac:dyDescent="0.25">
      <c r="A436" t="s">
        <v>504</v>
      </c>
      <c r="B436" s="1">
        <v>45438</v>
      </c>
      <c r="C436">
        <v>585</v>
      </c>
      <c r="D436" t="s">
        <v>99</v>
      </c>
      <c r="E436" t="s">
        <v>79</v>
      </c>
      <c r="F436" t="s">
        <v>32</v>
      </c>
      <c r="G436" t="s">
        <v>26</v>
      </c>
      <c r="H436" t="s">
        <v>38</v>
      </c>
      <c r="I436" t="s">
        <v>46</v>
      </c>
      <c r="J436" t="s">
        <v>40</v>
      </c>
      <c r="K436">
        <v>1704</v>
      </c>
      <c r="L436">
        <v>93</v>
      </c>
      <c r="M436" s="2">
        <v>614</v>
      </c>
      <c r="N436" s="2">
        <v>245</v>
      </c>
      <c r="O436" s="2">
        <v>127</v>
      </c>
      <c r="P436" s="2">
        <v>303</v>
      </c>
      <c r="Q436" s="3">
        <v>0.49349999999999999</v>
      </c>
      <c r="R436" s="2">
        <v>420</v>
      </c>
      <c r="S436" s="2">
        <v>180</v>
      </c>
      <c r="T436" s="2">
        <v>140</v>
      </c>
      <c r="U436" s="3">
        <v>0.33329999999999999</v>
      </c>
      <c r="V436" s="2">
        <v>163</v>
      </c>
    </row>
    <row r="437" spans="1:22" x14ac:dyDescent="0.25">
      <c r="A437" t="s">
        <v>505</v>
      </c>
      <c r="B437" s="1">
        <v>45438</v>
      </c>
      <c r="C437">
        <v>303</v>
      </c>
      <c r="D437" t="s">
        <v>31</v>
      </c>
      <c r="E437" t="s">
        <v>24</v>
      </c>
      <c r="F437" t="s">
        <v>32</v>
      </c>
      <c r="G437" t="s">
        <v>33</v>
      </c>
      <c r="H437" t="s">
        <v>54</v>
      </c>
      <c r="I437" t="s">
        <v>68</v>
      </c>
      <c r="J437" t="s">
        <v>29</v>
      </c>
      <c r="K437">
        <v>580</v>
      </c>
      <c r="L437">
        <v>21</v>
      </c>
      <c r="M437" s="2">
        <v>187</v>
      </c>
      <c r="N437" s="2">
        <v>76</v>
      </c>
      <c r="O437" s="2">
        <v>32</v>
      </c>
      <c r="P437" s="2">
        <v>79</v>
      </c>
      <c r="Q437" s="3">
        <v>0.42249999999999999</v>
      </c>
      <c r="R437" s="2">
        <v>280</v>
      </c>
      <c r="S437" s="2">
        <v>100</v>
      </c>
      <c r="T437" s="2">
        <v>170</v>
      </c>
      <c r="U437" s="3">
        <v>0.60709999999999997</v>
      </c>
      <c r="V437" s="2">
        <v>-91</v>
      </c>
    </row>
    <row r="438" spans="1:22" x14ac:dyDescent="0.25">
      <c r="A438" t="s">
        <v>506</v>
      </c>
      <c r="B438" s="1">
        <v>45438</v>
      </c>
      <c r="C438">
        <v>641</v>
      </c>
      <c r="D438" t="s">
        <v>124</v>
      </c>
      <c r="E438" t="s">
        <v>24</v>
      </c>
      <c r="F438" t="s">
        <v>25</v>
      </c>
      <c r="G438" t="s">
        <v>26</v>
      </c>
      <c r="H438" t="s">
        <v>27</v>
      </c>
      <c r="I438" t="s">
        <v>28</v>
      </c>
      <c r="J438" t="s">
        <v>29</v>
      </c>
      <c r="K438">
        <v>1820</v>
      </c>
      <c r="L438">
        <v>70</v>
      </c>
      <c r="M438" s="2">
        <v>534</v>
      </c>
      <c r="N438" s="2">
        <v>250</v>
      </c>
      <c r="O438" s="2">
        <v>95</v>
      </c>
      <c r="P438" s="2">
        <v>232</v>
      </c>
      <c r="Q438" s="3">
        <v>0.4345</v>
      </c>
      <c r="R438" s="2">
        <v>410</v>
      </c>
      <c r="S438" s="2">
        <v>210</v>
      </c>
      <c r="T438" s="2">
        <v>120</v>
      </c>
      <c r="U438" s="3">
        <v>0.29270000000000002</v>
      </c>
      <c r="V438" s="2">
        <v>112</v>
      </c>
    </row>
    <row r="439" spans="1:22" x14ac:dyDescent="0.25">
      <c r="A439" t="s">
        <v>507</v>
      </c>
      <c r="B439" s="1">
        <v>45438</v>
      </c>
      <c r="C439">
        <v>951</v>
      </c>
      <c r="D439" t="s">
        <v>62</v>
      </c>
      <c r="E439" t="s">
        <v>53</v>
      </c>
      <c r="F439" t="s">
        <v>32</v>
      </c>
      <c r="G439" t="s">
        <v>33</v>
      </c>
      <c r="H439" t="s">
        <v>34</v>
      </c>
      <c r="I439" t="s">
        <v>83</v>
      </c>
      <c r="J439" t="s">
        <v>40</v>
      </c>
      <c r="K439">
        <v>3654</v>
      </c>
      <c r="L439">
        <v>50</v>
      </c>
      <c r="M439" s="2">
        <v>130</v>
      </c>
      <c r="N439" s="2">
        <v>154</v>
      </c>
      <c r="O439" s="2">
        <v>93</v>
      </c>
      <c r="P439" s="2">
        <v>-117</v>
      </c>
      <c r="Q439" s="3">
        <v>-0.9</v>
      </c>
      <c r="R439" s="2">
        <v>190</v>
      </c>
      <c r="S439" s="2">
        <v>220</v>
      </c>
      <c r="T439" s="2">
        <v>-100</v>
      </c>
      <c r="U439" s="3">
        <v>-0.52629999999999999</v>
      </c>
      <c r="V439" s="2">
        <v>-17</v>
      </c>
    </row>
    <row r="440" spans="1:22" x14ac:dyDescent="0.25">
      <c r="A440" t="s">
        <v>508</v>
      </c>
      <c r="B440" s="1">
        <v>45438</v>
      </c>
      <c r="C440">
        <v>702</v>
      </c>
      <c r="D440" t="s">
        <v>65</v>
      </c>
      <c r="E440" t="s">
        <v>53</v>
      </c>
      <c r="F440" t="s">
        <v>25</v>
      </c>
      <c r="G440" t="s">
        <v>26</v>
      </c>
      <c r="H440" t="s">
        <v>27</v>
      </c>
      <c r="I440" t="s">
        <v>28</v>
      </c>
      <c r="J440" t="s">
        <v>29</v>
      </c>
      <c r="K440">
        <v>1662</v>
      </c>
      <c r="L440">
        <v>84</v>
      </c>
      <c r="M440" s="2">
        <v>598</v>
      </c>
      <c r="N440" s="2">
        <v>257</v>
      </c>
      <c r="O440" s="2">
        <v>117</v>
      </c>
      <c r="P440" s="2">
        <v>224</v>
      </c>
      <c r="Q440" s="3">
        <v>0.37459999999999999</v>
      </c>
      <c r="R440" s="2">
        <v>290</v>
      </c>
      <c r="S440" s="2">
        <v>110</v>
      </c>
      <c r="T440" s="2">
        <v>130</v>
      </c>
      <c r="U440" s="3">
        <v>0.44829999999999998</v>
      </c>
      <c r="V440" s="2">
        <v>94</v>
      </c>
    </row>
    <row r="441" spans="1:22" x14ac:dyDescent="0.25">
      <c r="A441" t="s">
        <v>509</v>
      </c>
      <c r="B441" s="1">
        <v>45439</v>
      </c>
      <c r="C441">
        <v>206</v>
      </c>
      <c r="D441" t="s">
        <v>52</v>
      </c>
      <c r="E441" t="s">
        <v>53</v>
      </c>
      <c r="F441" t="s">
        <v>25</v>
      </c>
      <c r="G441" t="s">
        <v>26</v>
      </c>
      <c r="H441" t="s">
        <v>27</v>
      </c>
      <c r="I441" t="s">
        <v>59</v>
      </c>
      <c r="J441" t="s">
        <v>29</v>
      </c>
      <c r="K441">
        <v>613</v>
      </c>
      <c r="L441">
        <v>55</v>
      </c>
      <c r="M441" s="2">
        <v>147</v>
      </c>
      <c r="N441" s="2">
        <v>61</v>
      </c>
      <c r="O441" s="2">
        <v>85</v>
      </c>
      <c r="P441" s="2">
        <v>1</v>
      </c>
      <c r="Q441" s="3">
        <v>6.7999999999999996E-3</v>
      </c>
      <c r="R441" s="2">
        <v>100</v>
      </c>
      <c r="S441" s="2">
        <v>40</v>
      </c>
      <c r="T441" s="2">
        <v>0</v>
      </c>
      <c r="U441" s="3">
        <v>0</v>
      </c>
      <c r="V441" s="2">
        <v>1</v>
      </c>
    </row>
    <row r="442" spans="1:22" x14ac:dyDescent="0.25">
      <c r="A442" t="s">
        <v>510</v>
      </c>
      <c r="B442" s="1">
        <v>45439</v>
      </c>
      <c r="C442">
        <v>805</v>
      </c>
      <c r="D442" t="s">
        <v>62</v>
      </c>
      <c r="E442" t="s">
        <v>53</v>
      </c>
      <c r="F442" t="s">
        <v>32</v>
      </c>
      <c r="G442" t="s">
        <v>26</v>
      </c>
      <c r="H442" t="s">
        <v>38</v>
      </c>
      <c r="I442" t="s">
        <v>66</v>
      </c>
      <c r="J442" t="s">
        <v>40</v>
      </c>
      <c r="K442">
        <v>531</v>
      </c>
      <c r="L442">
        <v>14</v>
      </c>
      <c r="M442" s="2">
        <v>99</v>
      </c>
      <c r="N442" s="2">
        <v>43</v>
      </c>
      <c r="O442" s="2">
        <v>27</v>
      </c>
      <c r="P442" s="2">
        <v>29</v>
      </c>
      <c r="Q442" s="3">
        <v>0.29289999999999999</v>
      </c>
      <c r="R442" s="2">
        <v>90</v>
      </c>
      <c r="S442" s="2">
        <v>40</v>
      </c>
      <c r="T442" s="2">
        <v>30</v>
      </c>
      <c r="U442" s="3">
        <v>0.33329999999999999</v>
      </c>
      <c r="V442" s="2">
        <v>-1</v>
      </c>
    </row>
    <row r="443" spans="1:22" x14ac:dyDescent="0.25">
      <c r="A443" t="s">
        <v>511</v>
      </c>
      <c r="B443" s="1">
        <v>45439</v>
      </c>
      <c r="C443">
        <v>225</v>
      </c>
      <c r="D443" t="s">
        <v>49</v>
      </c>
      <c r="E443" t="s">
        <v>45</v>
      </c>
      <c r="F443" t="s">
        <v>25</v>
      </c>
      <c r="G443" t="s">
        <v>26</v>
      </c>
      <c r="H443" t="s">
        <v>38</v>
      </c>
      <c r="I443" t="s">
        <v>39</v>
      </c>
      <c r="J443" t="s">
        <v>40</v>
      </c>
      <c r="K443">
        <v>540</v>
      </c>
      <c r="L443">
        <v>31</v>
      </c>
      <c r="M443" s="2">
        <v>214</v>
      </c>
      <c r="N443" s="2">
        <v>94</v>
      </c>
      <c r="O443" s="2">
        <v>43</v>
      </c>
      <c r="P443" s="2">
        <v>77</v>
      </c>
      <c r="Q443" s="3">
        <v>0.35980000000000001</v>
      </c>
      <c r="R443" s="2">
        <v>190</v>
      </c>
      <c r="S443" s="2">
        <v>80</v>
      </c>
      <c r="T443" s="2">
        <v>70</v>
      </c>
      <c r="U443" s="3">
        <v>0.36840000000000001</v>
      </c>
      <c r="V443" s="2">
        <v>7</v>
      </c>
    </row>
    <row r="444" spans="1:22" x14ac:dyDescent="0.25">
      <c r="A444" t="s">
        <v>512</v>
      </c>
      <c r="B444" s="1">
        <v>45439</v>
      </c>
      <c r="C444">
        <v>845</v>
      </c>
      <c r="D444" t="s">
        <v>99</v>
      </c>
      <c r="E444" t="s">
        <v>79</v>
      </c>
      <c r="F444" t="s">
        <v>32</v>
      </c>
      <c r="G444" t="s">
        <v>33</v>
      </c>
      <c r="H444" t="s">
        <v>54</v>
      </c>
      <c r="I444" t="s">
        <v>68</v>
      </c>
      <c r="J444" t="s">
        <v>29</v>
      </c>
      <c r="K444">
        <v>3142</v>
      </c>
      <c r="L444">
        <v>113</v>
      </c>
      <c r="M444" s="2">
        <v>69</v>
      </c>
      <c r="N444" s="2">
        <v>125</v>
      </c>
      <c r="O444" s="2">
        <v>146</v>
      </c>
      <c r="P444" s="2">
        <v>-202</v>
      </c>
      <c r="Q444" s="3">
        <v>-2.9275000000000002</v>
      </c>
      <c r="R444" s="2">
        <v>50</v>
      </c>
      <c r="S444" s="2">
        <v>110</v>
      </c>
      <c r="T444" s="2">
        <v>-170</v>
      </c>
      <c r="U444" s="3">
        <v>-3.4</v>
      </c>
      <c r="V444" s="2">
        <v>-32</v>
      </c>
    </row>
    <row r="445" spans="1:22" x14ac:dyDescent="0.25">
      <c r="A445" t="s">
        <v>513</v>
      </c>
      <c r="B445" s="1">
        <v>45439</v>
      </c>
      <c r="C445">
        <v>641</v>
      </c>
      <c r="D445" t="s">
        <v>124</v>
      </c>
      <c r="E445" t="s">
        <v>24</v>
      </c>
      <c r="F445" t="s">
        <v>25</v>
      </c>
      <c r="G445" t="s">
        <v>26</v>
      </c>
      <c r="H445" t="s">
        <v>27</v>
      </c>
      <c r="I445" t="s">
        <v>42</v>
      </c>
      <c r="J445" t="s">
        <v>29</v>
      </c>
      <c r="K445">
        <v>1784</v>
      </c>
      <c r="L445">
        <v>93</v>
      </c>
      <c r="M445" s="2">
        <v>581</v>
      </c>
      <c r="N445" s="2">
        <v>245</v>
      </c>
      <c r="O445" s="2">
        <v>127</v>
      </c>
      <c r="P445" s="2">
        <v>257</v>
      </c>
      <c r="Q445" s="3">
        <v>0.44230000000000003</v>
      </c>
      <c r="R445" s="2">
        <v>450</v>
      </c>
      <c r="S445" s="2">
        <v>200</v>
      </c>
      <c r="T445" s="2">
        <v>130</v>
      </c>
      <c r="U445" s="3">
        <v>0.28889999999999999</v>
      </c>
      <c r="V445" s="2">
        <v>127</v>
      </c>
    </row>
    <row r="446" spans="1:22" x14ac:dyDescent="0.25">
      <c r="A446" t="s">
        <v>514</v>
      </c>
      <c r="B446" s="1">
        <v>45439</v>
      </c>
      <c r="C446">
        <v>775</v>
      </c>
      <c r="D446" t="s">
        <v>65</v>
      </c>
      <c r="E446" t="s">
        <v>53</v>
      </c>
      <c r="F446" t="s">
        <v>25</v>
      </c>
      <c r="G446" t="s">
        <v>26</v>
      </c>
      <c r="H446" t="s">
        <v>38</v>
      </c>
      <c r="I446" t="s">
        <v>66</v>
      </c>
      <c r="J446" t="s">
        <v>40</v>
      </c>
      <c r="K446">
        <v>789</v>
      </c>
      <c r="L446">
        <v>39</v>
      </c>
      <c r="M446" s="2">
        <v>318</v>
      </c>
      <c r="N446" s="2">
        <v>122</v>
      </c>
      <c r="O446" s="2">
        <v>62</v>
      </c>
      <c r="P446" s="2">
        <v>169</v>
      </c>
      <c r="Q446" s="3">
        <v>0.53139999999999998</v>
      </c>
      <c r="R446" s="2">
        <v>240</v>
      </c>
      <c r="S446" s="2">
        <v>90</v>
      </c>
      <c r="T446" s="2">
        <v>130</v>
      </c>
      <c r="U446" s="3">
        <v>0.54169999999999996</v>
      </c>
      <c r="V446" s="2">
        <v>39</v>
      </c>
    </row>
    <row r="447" spans="1:22" x14ac:dyDescent="0.25">
      <c r="A447" t="s">
        <v>515</v>
      </c>
      <c r="B447" s="1">
        <v>45440</v>
      </c>
      <c r="C447">
        <v>319</v>
      </c>
      <c r="D447" t="s">
        <v>124</v>
      </c>
      <c r="E447" t="s">
        <v>24</v>
      </c>
      <c r="F447" t="s">
        <v>25</v>
      </c>
      <c r="G447" t="s">
        <v>26</v>
      </c>
      <c r="H447" t="s">
        <v>38</v>
      </c>
      <c r="I447" t="s">
        <v>39</v>
      </c>
      <c r="J447" t="s">
        <v>40</v>
      </c>
      <c r="K447">
        <v>1662</v>
      </c>
      <c r="L447">
        <v>84</v>
      </c>
      <c r="M447" s="2">
        <v>637</v>
      </c>
      <c r="N447" s="2">
        <v>257</v>
      </c>
      <c r="O447" s="2">
        <v>117</v>
      </c>
      <c r="P447" s="2">
        <v>332</v>
      </c>
      <c r="Q447" s="3">
        <v>0.5212</v>
      </c>
      <c r="R447" s="2">
        <v>480</v>
      </c>
      <c r="S447" s="2">
        <v>200</v>
      </c>
      <c r="T447" s="2">
        <v>210</v>
      </c>
      <c r="U447" s="3">
        <v>0.4375</v>
      </c>
      <c r="V447" s="2">
        <v>122</v>
      </c>
    </row>
    <row r="448" spans="1:22" x14ac:dyDescent="0.25">
      <c r="A448" t="s">
        <v>516</v>
      </c>
      <c r="B448" s="1">
        <v>45440</v>
      </c>
      <c r="C448">
        <v>530</v>
      </c>
      <c r="D448" t="s">
        <v>62</v>
      </c>
      <c r="E448" t="s">
        <v>53</v>
      </c>
      <c r="F448" t="s">
        <v>32</v>
      </c>
      <c r="G448" t="s">
        <v>33</v>
      </c>
      <c r="H448" t="s">
        <v>54</v>
      </c>
      <c r="I448" t="s">
        <v>68</v>
      </c>
      <c r="J448" t="s">
        <v>29</v>
      </c>
      <c r="K448">
        <v>940</v>
      </c>
      <c r="L448">
        <v>122</v>
      </c>
      <c r="M448" s="2">
        <v>343</v>
      </c>
      <c r="N448" s="2">
        <v>135</v>
      </c>
      <c r="O448" s="2">
        <v>156</v>
      </c>
      <c r="P448" s="2">
        <v>46</v>
      </c>
      <c r="Q448" s="3">
        <v>0.1341</v>
      </c>
      <c r="R448" s="2">
        <v>310</v>
      </c>
      <c r="S448" s="2">
        <v>130</v>
      </c>
      <c r="T448" s="2">
        <v>40</v>
      </c>
      <c r="U448" s="3">
        <v>0.129</v>
      </c>
      <c r="V448" s="2">
        <v>6</v>
      </c>
    </row>
    <row r="449" spans="1:22" x14ac:dyDescent="0.25">
      <c r="A449" t="s">
        <v>517</v>
      </c>
      <c r="B449" s="1">
        <v>45444</v>
      </c>
      <c r="C449">
        <v>430</v>
      </c>
      <c r="D449" t="s">
        <v>76</v>
      </c>
      <c r="E449" t="s">
        <v>45</v>
      </c>
      <c r="F449" t="s">
        <v>32</v>
      </c>
      <c r="G449" t="s">
        <v>26</v>
      </c>
      <c r="H449" t="s">
        <v>38</v>
      </c>
      <c r="I449" t="s">
        <v>46</v>
      </c>
      <c r="J449" t="s">
        <v>40</v>
      </c>
      <c r="K449">
        <v>435</v>
      </c>
      <c r="L449">
        <v>13</v>
      </c>
      <c r="M449" s="2">
        <v>108</v>
      </c>
      <c r="N449" s="2">
        <v>41</v>
      </c>
      <c r="O449" s="2">
        <v>36</v>
      </c>
      <c r="P449" s="2">
        <v>36</v>
      </c>
      <c r="Q449" s="3">
        <v>0.33329999999999999</v>
      </c>
      <c r="R449" s="2">
        <v>90</v>
      </c>
      <c r="S449" s="2">
        <v>30</v>
      </c>
      <c r="T449" s="2">
        <v>30</v>
      </c>
      <c r="U449" s="3">
        <v>0.33329999999999999</v>
      </c>
      <c r="V449" s="2">
        <v>6</v>
      </c>
    </row>
    <row r="450" spans="1:22" x14ac:dyDescent="0.25">
      <c r="A450" t="s">
        <v>518</v>
      </c>
      <c r="B450" s="1">
        <v>45444</v>
      </c>
      <c r="C450">
        <v>234</v>
      </c>
      <c r="D450" t="s">
        <v>85</v>
      </c>
      <c r="E450" t="s">
        <v>24</v>
      </c>
      <c r="F450" t="s">
        <v>32</v>
      </c>
      <c r="G450" t="s">
        <v>33</v>
      </c>
      <c r="H450" t="s">
        <v>34</v>
      </c>
      <c r="I450" t="s">
        <v>83</v>
      </c>
      <c r="J450" t="s">
        <v>40</v>
      </c>
      <c r="K450">
        <v>503</v>
      </c>
      <c r="L450">
        <v>46</v>
      </c>
      <c r="M450" s="2">
        <v>130</v>
      </c>
      <c r="N450" s="2">
        <v>51</v>
      </c>
      <c r="O450" s="2">
        <v>76</v>
      </c>
      <c r="P450" s="2">
        <v>-7</v>
      </c>
      <c r="Q450" s="3">
        <v>-5.3800000000000001E-2</v>
      </c>
      <c r="R450" s="2">
        <v>110</v>
      </c>
      <c r="S450" s="2">
        <v>40</v>
      </c>
      <c r="T450" s="2">
        <v>30</v>
      </c>
      <c r="U450" s="3">
        <v>0.2727</v>
      </c>
      <c r="V450" s="2">
        <v>-37</v>
      </c>
    </row>
    <row r="451" spans="1:22" x14ac:dyDescent="0.25">
      <c r="A451" t="s">
        <v>519</v>
      </c>
      <c r="B451" s="1">
        <v>45445</v>
      </c>
      <c r="C451">
        <v>213</v>
      </c>
      <c r="D451" t="s">
        <v>62</v>
      </c>
      <c r="E451" t="s">
        <v>53</v>
      </c>
      <c r="F451" t="s">
        <v>32</v>
      </c>
      <c r="G451" t="s">
        <v>26</v>
      </c>
      <c r="H451" t="s">
        <v>38</v>
      </c>
      <c r="I451" t="s">
        <v>46</v>
      </c>
      <c r="J451" t="s">
        <v>40</v>
      </c>
      <c r="K451">
        <v>1272</v>
      </c>
      <c r="L451">
        <v>69</v>
      </c>
      <c r="M451" s="2">
        <v>490</v>
      </c>
      <c r="N451" s="2">
        <v>225</v>
      </c>
      <c r="O451" s="2">
        <v>91</v>
      </c>
      <c r="P451" s="2">
        <v>174</v>
      </c>
      <c r="Q451" s="3">
        <v>0.35510000000000003</v>
      </c>
      <c r="R451" s="2">
        <v>450</v>
      </c>
      <c r="S451" s="2">
        <v>210</v>
      </c>
      <c r="T451" s="2">
        <v>160</v>
      </c>
      <c r="U451" s="3">
        <v>0.35560000000000003</v>
      </c>
      <c r="V451" s="2">
        <v>14</v>
      </c>
    </row>
    <row r="452" spans="1:22" x14ac:dyDescent="0.25">
      <c r="A452" t="s">
        <v>520</v>
      </c>
      <c r="B452" s="1">
        <v>45446</v>
      </c>
      <c r="C452">
        <v>505</v>
      </c>
      <c r="D452" t="s">
        <v>44</v>
      </c>
      <c r="E452" t="s">
        <v>45</v>
      </c>
      <c r="F452" t="s">
        <v>25</v>
      </c>
      <c r="G452" t="s">
        <v>33</v>
      </c>
      <c r="H452" t="s">
        <v>34</v>
      </c>
      <c r="I452" t="s">
        <v>83</v>
      </c>
      <c r="J452" t="s">
        <v>40</v>
      </c>
      <c r="K452">
        <v>1804</v>
      </c>
      <c r="L452">
        <v>25</v>
      </c>
      <c r="M452" s="2">
        <v>122</v>
      </c>
      <c r="N452" s="2">
        <v>82</v>
      </c>
      <c r="O452" s="2">
        <v>48</v>
      </c>
      <c r="P452" s="2">
        <v>-8</v>
      </c>
      <c r="Q452" s="3">
        <v>-6.5600000000000006E-2</v>
      </c>
      <c r="R452" s="2">
        <v>140</v>
      </c>
      <c r="S452" s="2">
        <v>90</v>
      </c>
      <c r="T452" s="2">
        <v>10</v>
      </c>
      <c r="U452" s="3">
        <v>7.1400000000000005E-2</v>
      </c>
      <c r="V452" s="2">
        <v>-18</v>
      </c>
    </row>
    <row r="453" spans="1:22" x14ac:dyDescent="0.25">
      <c r="A453" t="s">
        <v>521</v>
      </c>
      <c r="B453" s="1">
        <v>45446</v>
      </c>
      <c r="C453">
        <v>505</v>
      </c>
      <c r="D453" t="s">
        <v>44</v>
      </c>
      <c r="E453" t="s">
        <v>45</v>
      </c>
      <c r="F453" t="s">
        <v>25</v>
      </c>
      <c r="G453" t="s">
        <v>33</v>
      </c>
      <c r="H453" t="s">
        <v>54</v>
      </c>
      <c r="I453" t="s">
        <v>68</v>
      </c>
      <c r="J453" t="s">
        <v>29</v>
      </c>
      <c r="K453">
        <v>325</v>
      </c>
      <c r="L453">
        <v>40</v>
      </c>
      <c r="M453" s="2">
        <v>113</v>
      </c>
      <c r="N453" s="2">
        <v>44</v>
      </c>
      <c r="O453" s="2">
        <v>69</v>
      </c>
      <c r="P453" s="2">
        <v>-10</v>
      </c>
      <c r="Q453" s="3">
        <v>-8.8499999999999995E-2</v>
      </c>
      <c r="R453" s="2">
        <v>80</v>
      </c>
      <c r="S453" s="2">
        <v>30</v>
      </c>
      <c r="T453" s="2">
        <v>0</v>
      </c>
      <c r="U453" s="3">
        <v>0</v>
      </c>
      <c r="V453" s="2">
        <v>-10</v>
      </c>
    </row>
    <row r="454" spans="1:22" x14ac:dyDescent="0.25">
      <c r="A454" t="s">
        <v>522</v>
      </c>
      <c r="B454" s="1">
        <v>45446</v>
      </c>
      <c r="C454">
        <v>281</v>
      </c>
      <c r="D454" t="s">
        <v>76</v>
      </c>
      <c r="E454" t="s">
        <v>45</v>
      </c>
      <c r="F454" t="s">
        <v>32</v>
      </c>
      <c r="G454" t="s">
        <v>33</v>
      </c>
      <c r="H454" t="s">
        <v>34</v>
      </c>
      <c r="I454" t="s">
        <v>83</v>
      </c>
      <c r="J454" t="s">
        <v>40</v>
      </c>
      <c r="K454">
        <v>541</v>
      </c>
      <c r="L454">
        <v>12</v>
      </c>
      <c r="M454" s="2">
        <v>96</v>
      </c>
      <c r="N454" s="2">
        <v>39</v>
      </c>
      <c r="O454" s="2">
        <v>25</v>
      </c>
      <c r="P454" s="2">
        <v>39</v>
      </c>
      <c r="Q454" s="3">
        <v>0.40629999999999999</v>
      </c>
      <c r="R454" s="2">
        <v>130</v>
      </c>
      <c r="S454" s="2">
        <v>40</v>
      </c>
      <c r="T454" s="2">
        <v>80</v>
      </c>
      <c r="U454" s="3">
        <v>0.61539999999999995</v>
      </c>
      <c r="V454" s="2">
        <v>-41</v>
      </c>
    </row>
    <row r="455" spans="1:22" x14ac:dyDescent="0.25">
      <c r="A455" t="s">
        <v>523</v>
      </c>
      <c r="B455" s="1">
        <v>45446</v>
      </c>
      <c r="C455">
        <v>909</v>
      </c>
      <c r="D455" t="s">
        <v>62</v>
      </c>
      <c r="E455" t="s">
        <v>53</v>
      </c>
      <c r="F455" t="s">
        <v>32</v>
      </c>
      <c r="G455" t="s">
        <v>33</v>
      </c>
      <c r="H455" t="s">
        <v>34</v>
      </c>
      <c r="I455" t="s">
        <v>35</v>
      </c>
      <c r="J455" t="s">
        <v>29</v>
      </c>
      <c r="K455">
        <v>2555</v>
      </c>
      <c r="L455">
        <v>39</v>
      </c>
      <c r="M455" s="2">
        <v>116</v>
      </c>
      <c r="N455" s="2">
        <v>122</v>
      </c>
      <c r="O455" s="2">
        <v>61</v>
      </c>
      <c r="P455" s="2">
        <v>-110</v>
      </c>
      <c r="Q455" s="3">
        <v>-0.94830000000000003</v>
      </c>
      <c r="R455" s="2">
        <v>150</v>
      </c>
      <c r="S455" s="2">
        <v>170</v>
      </c>
      <c r="T455" s="2">
        <v>-60</v>
      </c>
      <c r="U455" s="3">
        <v>-0.4</v>
      </c>
      <c r="V455" s="2">
        <v>-50</v>
      </c>
    </row>
    <row r="456" spans="1:22" x14ac:dyDescent="0.25">
      <c r="A456" t="s">
        <v>524</v>
      </c>
      <c r="B456" s="1">
        <v>45446</v>
      </c>
      <c r="C456">
        <v>702</v>
      </c>
      <c r="D456" t="s">
        <v>65</v>
      </c>
      <c r="E456" t="s">
        <v>53</v>
      </c>
      <c r="F456" t="s">
        <v>25</v>
      </c>
      <c r="G456" t="s">
        <v>26</v>
      </c>
      <c r="H456" t="s">
        <v>38</v>
      </c>
      <c r="I456" t="s">
        <v>39</v>
      </c>
      <c r="J456" t="s">
        <v>40</v>
      </c>
      <c r="K456">
        <v>940</v>
      </c>
      <c r="L456">
        <v>122</v>
      </c>
      <c r="M456" s="2">
        <v>343</v>
      </c>
      <c r="N456" s="2">
        <v>135</v>
      </c>
      <c r="O456" s="2">
        <v>155</v>
      </c>
      <c r="P456" s="2">
        <v>47</v>
      </c>
      <c r="Q456" s="3">
        <v>0.13700000000000001</v>
      </c>
      <c r="R456" s="2">
        <v>290</v>
      </c>
      <c r="S456" s="2">
        <v>120</v>
      </c>
      <c r="T456" s="2">
        <v>30</v>
      </c>
      <c r="U456" s="3">
        <v>0.10340000000000001</v>
      </c>
      <c r="V456" s="2">
        <v>17</v>
      </c>
    </row>
    <row r="457" spans="1:22" x14ac:dyDescent="0.25">
      <c r="A457" t="s">
        <v>525</v>
      </c>
      <c r="B457" s="1">
        <v>45447</v>
      </c>
      <c r="C457">
        <v>603</v>
      </c>
      <c r="D457" t="s">
        <v>109</v>
      </c>
      <c r="E457" t="s">
        <v>79</v>
      </c>
      <c r="F457" t="s">
        <v>25</v>
      </c>
      <c r="G457" t="s">
        <v>26</v>
      </c>
      <c r="H457" t="s">
        <v>27</v>
      </c>
      <c r="I457" t="s">
        <v>59</v>
      </c>
      <c r="J457" t="s">
        <v>29</v>
      </c>
      <c r="K457">
        <v>430</v>
      </c>
      <c r="L457">
        <v>0</v>
      </c>
      <c r="M457" s="2">
        <v>46</v>
      </c>
      <c r="N457" s="2">
        <v>0</v>
      </c>
      <c r="O457" s="2">
        <v>11</v>
      </c>
      <c r="P457" s="2">
        <v>47</v>
      </c>
      <c r="Q457" s="3">
        <v>1.0217000000000001</v>
      </c>
      <c r="R457" s="2">
        <v>40</v>
      </c>
      <c r="S457" s="2">
        <v>0</v>
      </c>
      <c r="T457" s="2">
        <v>40</v>
      </c>
      <c r="U457" s="3">
        <v>1</v>
      </c>
      <c r="V457" s="2">
        <v>7</v>
      </c>
    </row>
    <row r="458" spans="1:22" x14ac:dyDescent="0.25">
      <c r="A458" t="s">
        <v>526</v>
      </c>
      <c r="B458" s="1">
        <v>45447</v>
      </c>
      <c r="C458">
        <v>405</v>
      </c>
      <c r="D458" t="s">
        <v>148</v>
      </c>
      <c r="E458" t="s">
        <v>45</v>
      </c>
      <c r="F458" t="s">
        <v>25</v>
      </c>
      <c r="G458" t="s">
        <v>33</v>
      </c>
      <c r="H458" t="s">
        <v>54</v>
      </c>
      <c r="I458" t="s">
        <v>72</v>
      </c>
      <c r="J458" t="s">
        <v>29</v>
      </c>
      <c r="K458">
        <v>-2003</v>
      </c>
      <c r="L458">
        <v>31</v>
      </c>
      <c r="M458" s="2">
        <v>261</v>
      </c>
      <c r="N458" s="2">
        <v>102</v>
      </c>
      <c r="O458" s="2">
        <v>54</v>
      </c>
      <c r="P458" s="2">
        <v>132</v>
      </c>
      <c r="Q458" s="3">
        <v>0.50570000000000004</v>
      </c>
      <c r="R458" s="2">
        <v>180</v>
      </c>
      <c r="S458" s="2">
        <v>80</v>
      </c>
      <c r="T458" s="2">
        <v>60</v>
      </c>
      <c r="U458" s="3">
        <v>0.33329999999999999</v>
      </c>
      <c r="V458" s="2">
        <v>72</v>
      </c>
    </row>
    <row r="459" spans="1:22" x14ac:dyDescent="0.25">
      <c r="A459" t="s">
        <v>527</v>
      </c>
      <c r="B459" s="1">
        <v>45448</v>
      </c>
      <c r="C459">
        <v>970</v>
      </c>
      <c r="D459" t="s">
        <v>31</v>
      </c>
      <c r="E459" t="s">
        <v>24</v>
      </c>
      <c r="F459" t="s">
        <v>32</v>
      </c>
      <c r="G459" t="s">
        <v>26</v>
      </c>
      <c r="H459" t="s">
        <v>38</v>
      </c>
      <c r="I459" t="s">
        <v>46</v>
      </c>
      <c r="J459" t="s">
        <v>40</v>
      </c>
      <c r="K459">
        <v>509</v>
      </c>
      <c r="L459">
        <v>47</v>
      </c>
      <c r="M459" s="2">
        <v>133</v>
      </c>
      <c r="N459" s="2">
        <v>52</v>
      </c>
      <c r="O459" s="2">
        <v>77</v>
      </c>
      <c r="P459" s="2">
        <v>-6</v>
      </c>
      <c r="Q459" s="3">
        <v>-4.5100000000000001E-2</v>
      </c>
      <c r="R459" s="2">
        <v>110</v>
      </c>
      <c r="S459" s="2">
        <v>40</v>
      </c>
      <c r="T459" s="2">
        <v>10</v>
      </c>
      <c r="U459" s="3">
        <v>9.0899999999999995E-2</v>
      </c>
      <c r="V459" s="2">
        <v>-16</v>
      </c>
    </row>
    <row r="460" spans="1:22" x14ac:dyDescent="0.25">
      <c r="A460" t="s">
        <v>528</v>
      </c>
      <c r="B460" s="1">
        <v>45448</v>
      </c>
      <c r="C460">
        <v>505</v>
      </c>
      <c r="D460" t="s">
        <v>44</v>
      </c>
      <c r="E460" t="s">
        <v>45</v>
      </c>
      <c r="F460" t="s">
        <v>25</v>
      </c>
      <c r="G460" t="s">
        <v>33</v>
      </c>
      <c r="H460" t="s">
        <v>34</v>
      </c>
      <c r="I460" t="s">
        <v>50</v>
      </c>
      <c r="J460" t="s">
        <v>29</v>
      </c>
      <c r="K460">
        <v>462</v>
      </c>
      <c r="L460">
        <v>15</v>
      </c>
      <c r="M460" s="2">
        <v>130</v>
      </c>
      <c r="N460" s="2">
        <v>48</v>
      </c>
      <c r="O460" s="2">
        <v>47</v>
      </c>
      <c r="P460" s="2">
        <v>40</v>
      </c>
      <c r="Q460" s="3">
        <v>0.30769999999999997</v>
      </c>
      <c r="R460" s="2">
        <v>140</v>
      </c>
      <c r="S460" s="2">
        <v>50</v>
      </c>
      <c r="T460" s="2">
        <v>50</v>
      </c>
      <c r="U460" s="3">
        <v>0.35709999999999997</v>
      </c>
      <c r="V460" s="2">
        <v>-10</v>
      </c>
    </row>
    <row r="461" spans="1:22" x14ac:dyDescent="0.25">
      <c r="A461" t="s">
        <v>529</v>
      </c>
      <c r="B461" s="1">
        <v>45449</v>
      </c>
      <c r="C461">
        <v>319</v>
      </c>
      <c r="D461" t="s">
        <v>124</v>
      </c>
      <c r="E461" t="s">
        <v>24</v>
      </c>
      <c r="F461" t="s">
        <v>25</v>
      </c>
      <c r="G461" t="s">
        <v>33</v>
      </c>
      <c r="H461" t="s">
        <v>54</v>
      </c>
      <c r="I461" t="s">
        <v>68</v>
      </c>
      <c r="J461" t="s">
        <v>29</v>
      </c>
      <c r="K461">
        <v>800</v>
      </c>
      <c r="L461">
        <v>6</v>
      </c>
      <c r="M461" s="2">
        <v>58</v>
      </c>
      <c r="N461" s="2">
        <v>23</v>
      </c>
      <c r="O461" s="2">
        <v>17</v>
      </c>
      <c r="P461" s="2">
        <v>18</v>
      </c>
      <c r="Q461" s="3">
        <v>0.31030000000000002</v>
      </c>
      <c r="R461" s="2">
        <v>70</v>
      </c>
      <c r="S461" s="2">
        <v>20</v>
      </c>
      <c r="T461" s="2">
        <v>50</v>
      </c>
      <c r="U461" s="3">
        <v>0.71430000000000005</v>
      </c>
      <c r="V461" s="2">
        <v>-32</v>
      </c>
    </row>
    <row r="462" spans="1:22" x14ac:dyDescent="0.25">
      <c r="A462" t="s">
        <v>530</v>
      </c>
      <c r="B462" s="1">
        <v>45449</v>
      </c>
      <c r="C462">
        <v>603</v>
      </c>
      <c r="D462" t="s">
        <v>109</v>
      </c>
      <c r="E462" t="s">
        <v>79</v>
      </c>
      <c r="F462" t="s">
        <v>25</v>
      </c>
      <c r="G462" t="s">
        <v>33</v>
      </c>
      <c r="H462" t="s">
        <v>54</v>
      </c>
      <c r="I462" t="s">
        <v>101</v>
      </c>
      <c r="J462" t="s">
        <v>29</v>
      </c>
      <c r="K462">
        <v>209</v>
      </c>
      <c r="L462">
        <v>9</v>
      </c>
      <c r="M462" s="2">
        <v>56</v>
      </c>
      <c r="N462" s="2">
        <v>25</v>
      </c>
      <c r="O462" s="2">
        <v>43</v>
      </c>
      <c r="P462" s="2">
        <v>-12</v>
      </c>
      <c r="Q462" s="3">
        <v>-0.21429999999999999</v>
      </c>
      <c r="R462" s="2">
        <v>40</v>
      </c>
      <c r="S462" s="2">
        <v>10</v>
      </c>
      <c r="T462" s="2">
        <v>10</v>
      </c>
      <c r="U462" s="3">
        <v>0.25</v>
      </c>
      <c r="V462" s="2">
        <v>-22</v>
      </c>
    </row>
    <row r="463" spans="1:22" x14ac:dyDescent="0.25">
      <c r="A463" t="s">
        <v>531</v>
      </c>
      <c r="B463" s="1">
        <v>45449</v>
      </c>
      <c r="C463">
        <v>405</v>
      </c>
      <c r="D463" t="s">
        <v>148</v>
      </c>
      <c r="E463" t="s">
        <v>45</v>
      </c>
      <c r="F463" t="s">
        <v>25</v>
      </c>
      <c r="G463" t="s">
        <v>33</v>
      </c>
      <c r="H463" t="s">
        <v>54</v>
      </c>
      <c r="I463" t="s">
        <v>68</v>
      </c>
      <c r="J463" t="s">
        <v>29</v>
      </c>
      <c r="K463">
        <v>480</v>
      </c>
      <c r="L463">
        <v>5</v>
      </c>
      <c r="M463" s="2">
        <v>53</v>
      </c>
      <c r="N463" s="2">
        <v>21</v>
      </c>
      <c r="O463" s="2">
        <v>17</v>
      </c>
      <c r="P463" s="2">
        <v>15</v>
      </c>
      <c r="Q463" s="3">
        <v>0.28299999999999997</v>
      </c>
      <c r="R463" s="2">
        <v>30</v>
      </c>
      <c r="S463" s="2">
        <v>0</v>
      </c>
      <c r="T463" s="2">
        <v>30</v>
      </c>
      <c r="U463" s="3">
        <v>1</v>
      </c>
      <c r="V463" s="2">
        <v>-15</v>
      </c>
    </row>
    <row r="464" spans="1:22" x14ac:dyDescent="0.25">
      <c r="A464" t="s">
        <v>532</v>
      </c>
      <c r="B464" s="1">
        <v>45449</v>
      </c>
      <c r="C464">
        <v>573</v>
      </c>
      <c r="D464" t="s">
        <v>58</v>
      </c>
      <c r="E464" t="s">
        <v>24</v>
      </c>
      <c r="F464" t="s">
        <v>25</v>
      </c>
      <c r="G464" t="s">
        <v>33</v>
      </c>
      <c r="H464" t="s">
        <v>34</v>
      </c>
      <c r="I464" t="s">
        <v>50</v>
      </c>
      <c r="J464" t="s">
        <v>29</v>
      </c>
      <c r="K464">
        <v>601</v>
      </c>
      <c r="L464">
        <v>31</v>
      </c>
      <c r="M464" s="2">
        <v>184</v>
      </c>
      <c r="N464" s="2">
        <v>82</v>
      </c>
      <c r="O464" s="2">
        <v>64</v>
      </c>
      <c r="P464" s="2">
        <v>38</v>
      </c>
      <c r="Q464" s="3">
        <v>0.20649999999999999</v>
      </c>
      <c r="R464" s="2">
        <v>180</v>
      </c>
      <c r="S464" s="2">
        <v>80</v>
      </c>
      <c r="T464" s="2">
        <v>40</v>
      </c>
      <c r="U464" s="3">
        <v>0.22220000000000001</v>
      </c>
      <c r="V464" s="2">
        <v>-2</v>
      </c>
    </row>
    <row r="465" spans="1:22" x14ac:dyDescent="0.25">
      <c r="A465" t="s">
        <v>533</v>
      </c>
      <c r="B465" s="1">
        <v>45450</v>
      </c>
      <c r="C465">
        <v>475</v>
      </c>
      <c r="D465" t="s">
        <v>135</v>
      </c>
      <c r="E465" t="s">
        <v>79</v>
      </c>
      <c r="F465" t="s">
        <v>25</v>
      </c>
      <c r="G465" t="s">
        <v>33</v>
      </c>
      <c r="H465" t="s">
        <v>54</v>
      </c>
      <c r="I465" t="s">
        <v>68</v>
      </c>
      <c r="J465" t="s">
        <v>29</v>
      </c>
      <c r="K465">
        <v>627</v>
      </c>
      <c r="L465">
        <v>49</v>
      </c>
      <c r="M465" s="2">
        <v>131</v>
      </c>
      <c r="N465" s="2">
        <v>55</v>
      </c>
      <c r="O465" s="2">
        <v>78</v>
      </c>
      <c r="P465" s="2">
        <v>-2</v>
      </c>
      <c r="Q465" s="3">
        <v>-1.5299999999999999E-2</v>
      </c>
      <c r="R465" s="2">
        <v>120</v>
      </c>
      <c r="S465" s="2">
        <v>50</v>
      </c>
      <c r="T465" s="2">
        <v>10</v>
      </c>
      <c r="U465" s="3">
        <v>8.3299999999999999E-2</v>
      </c>
      <c r="V465" s="2">
        <v>-12</v>
      </c>
    </row>
    <row r="466" spans="1:22" x14ac:dyDescent="0.25">
      <c r="A466" t="s">
        <v>534</v>
      </c>
      <c r="B466" s="1">
        <v>45450</v>
      </c>
      <c r="C466">
        <v>435</v>
      </c>
      <c r="D466" t="s">
        <v>95</v>
      </c>
      <c r="E466" t="s">
        <v>53</v>
      </c>
      <c r="F466" t="s">
        <v>25</v>
      </c>
      <c r="G466" t="s">
        <v>26</v>
      </c>
      <c r="H466" t="s">
        <v>38</v>
      </c>
      <c r="I466" t="s">
        <v>39</v>
      </c>
      <c r="J466" t="s">
        <v>40</v>
      </c>
      <c r="K466">
        <v>327</v>
      </c>
      <c r="L466">
        <v>16</v>
      </c>
      <c r="M466" s="2">
        <v>127</v>
      </c>
      <c r="N466" s="2">
        <v>52</v>
      </c>
      <c r="O466" s="2">
        <v>39</v>
      </c>
      <c r="P466" s="2">
        <v>36</v>
      </c>
      <c r="Q466" s="3">
        <v>0.28349999999999997</v>
      </c>
      <c r="R466" s="2">
        <v>110</v>
      </c>
      <c r="S466" s="2">
        <v>40</v>
      </c>
      <c r="T466" s="2">
        <v>40</v>
      </c>
      <c r="U466" s="3">
        <v>0.36359999999999998</v>
      </c>
      <c r="V466" s="2">
        <v>-4</v>
      </c>
    </row>
    <row r="467" spans="1:22" x14ac:dyDescent="0.25">
      <c r="A467" t="s">
        <v>535</v>
      </c>
      <c r="B467" s="1">
        <v>45450</v>
      </c>
      <c r="C467">
        <v>775</v>
      </c>
      <c r="D467" t="s">
        <v>65</v>
      </c>
      <c r="E467" t="s">
        <v>53</v>
      </c>
      <c r="F467" t="s">
        <v>25</v>
      </c>
      <c r="G467" t="s">
        <v>33</v>
      </c>
      <c r="H467" t="s">
        <v>54</v>
      </c>
      <c r="I467" t="s">
        <v>55</v>
      </c>
      <c r="J467" t="s">
        <v>40</v>
      </c>
      <c r="K467">
        <v>802</v>
      </c>
      <c r="L467">
        <v>6</v>
      </c>
      <c r="M467" s="2">
        <v>56</v>
      </c>
      <c r="N467" s="2">
        <v>22</v>
      </c>
      <c r="O467" s="2">
        <v>17</v>
      </c>
      <c r="P467" s="2">
        <v>17</v>
      </c>
      <c r="Q467" s="3">
        <v>0.30359999999999998</v>
      </c>
      <c r="R467" s="2">
        <v>50</v>
      </c>
      <c r="S467" s="2">
        <v>20</v>
      </c>
      <c r="T467" s="2">
        <v>20</v>
      </c>
      <c r="U467" s="3">
        <v>0.4</v>
      </c>
      <c r="V467" s="2">
        <v>-3</v>
      </c>
    </row>
    <row r="468" spans="1:22" x14ac:dyDescent="0.25">
      <c r="A468" t="s">
        <v>536</v>
      </c>
      <c r="B468" s="1">
        <v>45450</v>
      </c>
      <c r="C468">
        <v>702</v>
      </c>
      <c r="D468" t="s">
        <v>65</v>
      </c>
      <c r="E468" t="s">
        <v>53</v>
      </c>
      <c r="F468" t="s">
        <v>25</v>
      </c>
      <c r="G468" t="s">
        <v>26</v>
      </c>
      <c r="H468" t="s">
        <v>38</v>
      </c>
      <c r="I468" t="s">
        <v>39</v>
      </c>
      <c r="J468" t="s">
        <v>40</v>
      </c>
      <c r="K468">
        <v>912</v>
      </c>
      <c r="L468">
        <v>109</v>
      </c>
      <c r="M468" s="2">
        <v>308</v>
      </c>
      <c r="N468" s="2">
        <v>121</v>
      </c>
      <c r="O468" s="2">
        <v>142</v>
      </c>
      <c r="P468" s="2">
        <v>39</v>
      </c>
      <c r="Q468" s="3">
        <v>0.12659999999999999</v>
      </c>
      <c r="R468" s="2">
        <v>260</v>
      </c>
      <c r="S468" s="2">
        <v>110</v>
      </c>
      <c r="T468" s="2">
        <v>20</v>
      </c>
      <c r="U468" s="3">
        <v>7.6899999999999996E-2</v>
      </c>
      <c r="V468" s="2">
        <v>19</v>
      </c>
    </row>
    <row r="469" spans="1:22" x14ac:dyDescent="0.25">
      <c r="A469" t="s">
        <v>537</v>
      </c>
      <c r="B469" s="1">
        <v>45452</v>
      </c>
      <c r="C469">
        <v>314</v>
      </c>
      <c r="D469" t="s">
        <v>58</v>
      </c>
      <c r="E469" t="s">
        <v>24</v>
      </c>
      <c r="F469" t="s">
        <v>25</v>
      </c>
      <c r="G469" t="s">
        <v>26</v>
      </c>
      <c r="H469" t="s">
        <v>27</v>
      </c>
      <c r="I469" t="s">
        <v>59</v>
      </c>
      <c r="J469" t="s">
        <v>29</v>
      </c>
      <c r="K469">
        <v>243</v>
      </c>
      <c r="L469">
        <v>12</v>
      </c>
      <c r="M469" s="2">
        <v>79</v>
      </c>
      <c r="N469" s="2">
        <v>33</v>
      </c>
      <c r="O469" s="2">
        <v>45</v>
      </c>
      <c r="P469" s="2">
        <v>-6</v>
      </c>
      <c r="Q469" s="3">
        <v>-7.5899999999999995E-2</v>
      </c>
      <c r="R469" s="2">
        <v>60</v>
      </c>
      <c r="S469" s="2">
        <v>20</v>
      </c>
      <c r="T469" s="2">
        <v>0</v>
      </c>
      <c r="U469" s="3">
        <v>0</v>
      </c>
      <c r="V469" s="2">
        <v>-6</v>
      </c>
    </row>
    <row r="470" spans="1:22" x14ac:dyDescent="0.25">
      <c r="A470" t="s">
        <v>538</v>
      </c>
      <c r="B470" s="1">
        <v>45452</v>
      </c>
      <c r="C470">
        <v>435</v>
      </c>
      <c r="D470" t="s">
        <v>95</v>
      </c>
      <c r="E470" t="s">
        <v>53</v>
      </c>
      <c r="F470" t="s">
        <v>25</v>
      </c>
      <c r="G470" t="s">
        <v>26</v>
      </c>
      <c r="H470" t="s">
        <v>38</v>
      </c>
      <c r="I470" t="s">
        <v>46</v>
      </c>
      <c r="J470" t="s">
        <v>40</v>
      </c>
      <c r="K470">
        <v>462</v>
      </c>
      <c r="L470">
        <v>15</v>
      </c>
      <c r="M470" s="2">
        <v>130</v>
      </c>
      <c r="N470" s="2">
        <v>48</v>
      </c>
      <c r="O470" s="2">
        <v>46</v>
      </c>
      <c r="P470" s="2">
        <v>42</v>
      </c>
      <c r="Q470" s="3">
        <v>0.3231</v>
      </c>
      <c r="R470" s="2">
        <v>110</v>
      </c>
      <c r="S470" s="2">
        <v>40</v>
      </c>
      <c r="T470" s="2">
        <v>40</v>
      </c>
      <c r="U470" s="3">
        <v>0.36359999999999998</v>
      </c>
      <c r="V470" s="2">
        <v>2</v>
      </c>
    </row>
    <row r="471" spans="1:22" x14ac:dyDescent="0.25">
      <c r="A471" t="s">
        <v>539</v>
      </c>
      <c r="B471" s="1">
        <v>45453</v>
      </c>
      <c r="C471">
        <v>203</v>
      </c>
      <c r="D471" t="s">
        <v>135</v>
      </c>
      <c r="E471" t="s">
        <v>79</v>
      </c>
      <c r="F471" t="s">
        <v>25</v>
      </c>
      <c r="G471" t="s">
        <v>26</v>
      </c>
      <c r="H471" t="s">
        <v>27</v>
      </c>
      <c r="I471" t="s">
        <v>59</v>
      </c>
      <c r="J471" t="s">
        <v>29</v>
      </c>
      <c r="K471">
        <v>809</v>
      </c>
      <c r="L471">
        <v>10</v>
      </c>
      <c r="M471" s="2">
        <v>90</v>
      </c>
      <c r="N471" s="2">
        <v>36</v>
      </c>
      <c r="O471" s="2">
        <v>21</v>
      </c>
      <c r="P471" s="2">
        <v>33</v>
      </c>
      <c r="Q471" s="3">
        <v>0.36670000000000003</v>
      </c>
      <c r="R471" s="2">
        <v>90</v>
      </c>
      <c r="S471" s="2">
        <v>30</v>
      </c>
      <c r="T471" s="2">
        <v>40</v>
      </c>
      <c r="U471" s="3">
        <v>0.44440000000000002</v>
      </c>
      <c r="V471" s="2">
        <v>-7</v>
      </c>
    </row>
    <row r="472" spans="1:22" x14ac:dyDescent="0.25">
      <c r="A472" t="s">
        <v>540</v>
      </c>
      <c r="B472" s="1">
        <v>45453</v>
      </c>
      <c r="C472">
        <v>970</v>
      </c>
      <c r="D472" t="s">
        <v>31</v>
      </c>
      <c r="E472" t="s">
        <v>24</v>
      </c>
      <c r="F472" t="s">
        <v>32</v>
      </c>
      <c r="G472" t="s">
        <v>26</v>
      </c>
      <c r="H472" t="s">
        <v>38</v>
      </c>
      <c r="I472" t="s">
        <v>66</v>
      </c>
      <c r="J472" t="s">
        <v>40</v>
      </c>
      <c r="K472">
        <v>405</v>
      </c>
      <c r="L472">
        <v>17</v>
      </c>
      <c r="M472" s="2">
        <v>131</v>
      </c>
      <c r="N472" s="2">
        <v>52</v>
      </c>
      <c r="O472" s="2">
        <v>45</v>
      </c>
      <c r="P472" s="2">
        <v>39</v>
      </c>
      <c r="Q472" s="3">
        <v>0.29770000000000002</v>
      </c>
      <c r="R472" s="2">
        <v>90</v>
      </c>
      <c r="S472" s="2">
        <v>30</v>
      </c>
      <c r="T472" s="2">
        <v>50</v>
      </c>
      <c r="U472" s="3">
        <v>0.55559999999999998</v>
      </c>
      <c r="V472" s="2">
        <v>-11</v>
      </c>
    </row>
    <row r="473" spans="1:22" x14ac:dyDescent="0.25">
      <c r="A473" t="s">
        <v>541</v>
      </c>
      <c r="B473" s="1">
        <v>45453</v>
      </c>
      <c r="C473">
        <v>775</v>
      </c>
      <c r="D473" t="s">
        <v>65</v>
      </c>
      <c r="E473" t="s">
        <v>53</v>
      </c>
      <c r="F473" t="s">
        <v>25</v>
      </c>
      <c r="G473" t="s">
        <v>33</v>
      </c>
      <c r="H473" t="s">
        <v>34</v>
      </c>
      <c r="I473" t="s">
        <v>83</v>
      </c>
      <c r="J473" t="s">
        <v>40</v>
      </c>
      <c r="K473">
        <v>1000</v>
      </c>
      <c r="L473">
        <v>9</v>
      </c>
      <c r="M473" s="2">
        <v>72</v>
      </c>
      <c r="N473" s="2">
        <v>31</v>
      </c>
      <c r="O473" s="2">
        <v>30</v>
      </c>
      <c r="P473" s="2">
        <v>10</v>
      </c>
      <c r="Q473" s="3">
        <v>0.1389</v>
      </c>
      <c r="R473" s="2">
        <v>90</v>
      </c>
      <c r="S473" s="2">
        <v>30</v>
      </c>
      <c r="T473" s="2">
        <v>50</v>
      </c>
      <c r="U473" s="3">
        <v>0.55559999999999998</v>
      </c>
      <c r="V473" s="2">
        <v>-40</v>
      </c>
    </row>
    <row r="474" spans="1:22" x14ac:dyDescent="0.25">
      <c r="A474" t="s">
        <v>542</v>
      </c>
      <c r="B474" s="1">
        <v>45453</v>
      </c>
      <c r="C474">
        <v>641</v>
      </c>
      <c r="D474" t="s">
        <v>124</v>
      </c>
      <c r="E474" t="s">
        <v>24</v>
      </c>
      <c r="F474" t="s">
        <v>25</v>
      </c>
      <c r="G474" t="s">
        <v>33</v>
      </c>
      <c r="H474" t="s">
        <v>34</v>
      </c>
      <c r="I474" t="s">
        <v>50</v>
      </c>
      <c r="J474" t="s">
        <v>29</v>
      </c>
      <c r="K474">
        <v>1009</v>
      </c>
      <c r="L474">
        <v>9</v>
      </c>
      <c r="M474" s="2">
        <v>74</v>
      </c>
      <c r="N474" s="2">
        <v>31</v>
      </c>
      <c r="O474" s="2">
        <v>30</v>
      </c>
      <c r="P474" s="2">
        <v>12</v>
      </c>
      <c r="Q474" s="3">
        <v>0.16220000000000001</v>
      </c>
      <c r="R474" s="2">
        <v>60</v>
      </c>
      <c r="S474" s="2">
        <v>30</v>
      </c>
      <c r="T474" s="2">
        <v>10</v>
      </c>
      <c r="U474" s="3">
        <v>0.16669999999999999</v>
      </c>
      <c r="V474" s="2">
        <v>2</v>
      </c>
    </row>
    <row r="475" spans="1:22" x14ac:dyDescent="0.25">
      <c r="A475" t="s">
        <v>543</v>
      </c>
      <c r="B475" s="1">
        <v>45453</v>
      </c>
      <c r="C475">
        <v>580</v>
      </c>
      <c r="D475" t="s">
        <v>148</v>
      </c>
      <c r="E475" t="s">
        <v>45</v>
      </c>
      <c r="F475" t="s">
        <v>25</v>
      </c>
      <c r="G475" t="s">
        <v>33</v>
      </c>
      <c r="H475" t="s">
        <v>34</v>
      </c>
      <c r="I475" t="s">
        <v>50</v>
      </c>
      <c r="J475" t="s">
        <v>29</v>
      </c>
      <c r="K475">
        <v>551</v>
      </c>
      <c r="L475">
        <v>26</v>
      </c>
      <c r="M475" s="2">
        <v>197</v>
      </c>
      <c r="N475" s="2">
        <v>81</v>
      </c>
      <c r="O475" s="2">
        <v>38</v>
      </c>
      <c r="P475" s="2">
        <v>98</v>
      </c>
      <c r="Q475" s="3">
        <v>0.4975</v>
      </c>
      <c r="R475" s="2">
        <v>220</v>
      </c>
      <c r="S475" s="2">
        <v>90</v>
      </c>
      <c r="T475" s="2">
        <v>100</v>
      </c>
      <c r="U475" s="3">
        <v>0.45450000000000002</v>
      </c>
      <c r="V475" s="2">
        <v>-2</v>
      </c>
    </row>
    <row r="476" spans="1:22" x14ac:dyDescent="0.25">
      <c r="A476" t="s">
        <v>544</v>
      </c>
      <c r="B476" s="1">
        <v>45454</v>
      </c>
      <c r="C476">
        <v>617</v>
      </c>
      <c r="D476" t="s">
        <v>78</v>
      </c>
      <c r="E476" t="s">
        <v>79</v>
      </c>
      <c r="F476" t="s">
        <v>32</v>
      </c>
      <c r="G476" t="s">
        <v>26</v>
      </c>
      <c r="H476" t="s">
        <v>27</v>
      </c>
      <c r="I476" t="s">
        <v>28</v>
      </c>
      <c r="J476" t="s">
        <v>29</v>
      </c>
      <c r="K476">
        <v>870</v>
      </c>
      <c r="L476">
        <v>9</v>
      </c>
      <c r="M476" s="2">
        <v>82</v>
      </c>
      <c r="N476" s="2">
        <v>33</v>
      </c>
      <c r="O476" s="2">
        <v>20</v>
      </c>
      <c r="P476" s="2">
        <v>29</v>
      </c>
      <c r="Q476" s="3">
        <v>0.35370000000000001</v>
      </c>
      <c r="R476" s="2">
        <v>80</v>
      </c>
      <c r="S476" s="2">
        <v>30</v>
      </c>
      <c r="T476" s="2">
        <v>40</v>
      </c>
      <c r="U476" s="3">
        <v>0.5</v>
      </c>
      <c r="V476" s="2">
        <v>-11</v>
      </c>
    </row>
    <row r="477" spans="1:22" x14ac:dyDescent="0.25">
      <c r="A477" t="s">
        <v>545</v>
      </c>
      <c r="B477" s="1">
        <v>45454</v>
      </c>
      <c r="C477">
        <v>614</v>
      </c>
      <c r="D477" t="s">
        <v>85</v>
      </c>
      <c r="E477" t="s">
        <v>24</v>
      </c>
      <c r="F477" t="s">
        <v>32</v>
      </c>
      <c r="G477" t="s">
        <v>33</v>
      </c>
      <c r="H477" t="s">
        <v>34</v>
      </c>
      <c r="I477" t="s">
        <v>50</v>
      </c>
      <c r="J477" t="s">
        <v>29</v>
      </c>
      <c r="K477">
        <v>424</v>
      </c>
      <c r="L477">
        <v>14</v>
      </c>
      <c r="M477" s="2">
        <v>114</v>
      </c>
      <c r="N477" s="2">
        <v>46</v>
      </c>
      <c r="O477" s="2">
        <v>36</v>
      </c>
      <c r="P477" s="2">
        <v>32</v>
      </c>
      <c r="Q477" s="3">
        <v>0.28070000000000001</v>
      </c>
      <c r="R477" s="2">
        <v>110</v>
      </c>
      <c r="S477" s="2">
        <v>40</v>
      </c>
      <c r="T477" s="2">
        <v>40</v>
      </c>
      <c r="U477" s="3">
        <v>0.36359999999999998</v>
      </c>
      <c r="V477" s="2">
        <v>-8</v>
      </c>
    </row>
    <row r="478" spans="1:22" x14ac:dyDescent="0.25">
      <c r="A478" t="s">
        <v>546</v>
      </c>
      <c r="B478" s="1">
        <v>45454</v>
      </c>
      <c r="C478">
        <v>503</v>
      </c>
      <c r="D478" t="s">
        <v>71</v>
      </c>
      <c r="E478" t="s">
        <v>53</v>
      </c>
      <c r="F478" t="s">
        <v>25</v>
      </c>
      <c r="G478" t="s">
        <v>33</v>
      </c>
      <c r="H478" t="s">
        <v>34</v>
      </c>
      <c r="I478" t="s">
        <v>35</v>
      </c>
      <c r="J478" t="s">
        <v>29</v>
      </c>
      <c r="K478">
        <v>521</v>
      </c>
      <c r="L478">
        <v>42</v>
      </c>
      <c r="M478" s="2">
        <v>112</v>
      </c>
      <c r="N478" s="2">
        <v>47</v>
      </c>
      <c r="O478" s="2">
        <v>72</v>
      </c>
      <c r="P478" s="2">
        <v>-7</v>
      </c>
      <c r="Q478" s="3">
        <v>-6.25E-2</v>
      </c>
      <c r="R478" s="2">
        <v>130</v>
      </c>
      <c r="S478" s="2">
        <v>50</v>
      </c>
      <c r="T478" s="2">
        <v>20</v>
      </c>
      <c r="U478" s="3">
        <v>0.15379999999999999</v>
      </c>
      <c r="V478" s="2">
        <v>-27</v>
      </c>
    </row>
    <row r="479" spans="1:22" x14ac:dyDescent="0.25">
      <c r="A479" t="s">
        <v>547</v>
      </c>
      <c r="B479" s="1">
        <v>45454</v>
      </c>
      <c r="C479">
        <v>815</v>
      </c>
      <c r="D479" t="s">
        <v>37</v>
      </c>
      <c r="E479" t="s">
        <v>24</v>
      </c>
      <c r="F479" t="s">
        <v>32</v>
      </c>
      <c r="G479" t="s">
        <v>26</v>
      </c>
      <c r="H479" t="s">
        <v>27</v>
      </c>
      <c r="I479" t="s">
        <v>42</v>
      </c>
      <c r="J479" t="s">
        <v>29</v>
      </c>
      <c r="K479">
        <v>650</v>
      </c>
      <c r="L479">
        <v>23</v>
      </c>
      <c r="M479" s="2">
        <v>194</v>
      </c>
      <c r="N479" s="2">
        <v>72</v>
      </c>
      <c r="O479" s="2">
        <v>55</v>
      </c>
      <c r="P479" s="2">
        <v>82</v>
      </c>
      <c r="Q479" s="3">
        <v>0.42270000000000002</v>
      </c>
      <c r="R479" s="2">
        <v>130</v>
      </c>
      <c r="S479" s="2">
        <v>50</v>
      </c>
      <c r="T479" s="2">
        <v>50</v>
      </c>
      <c r="U479" s="3">
        <v>0.3846</v>
      </c>
      <c r="V479" s="2">
        <v>32</v>
      </c>
    </row>
    <row r="480" spans="1:22" x14ac:dyDescent="0.25">
      <c r="A480" t="s">
        <v>548</v>
      </c>
      <c r="B480" s="1">
        <v>45454</v>
      </c>
      <c r="C480">
        <v>716</v>
      </c>
      <c r="D480" t="s">
        <v>99</v>
      </c>
      <c r="E480" t="s">
        <v>79</v>
      </c>
      <c r="F480" t="s">
        <v>32</v>
      </c>
      <c r="G480" t="s">
        <v>26</v>
      </c>
      <c r="H480" t="s">
        <v>38</v>
      </c>
      <c r="I480" t="s">
        <v>66</v>
      </c>
      <c r="J480" t="s">
        <v>40</v>
      </c>
      <c r="K480">
        <v>5121</v>
      </c>
      <c r="L480">
        <v>74</v>
      </c>
      <c r="M480" s="2">
        <v>148</v>
      </c>
      <c r="N480" s="2">
        <v>241</v>
      </c>
      <c r="O480" s="2">
        <v>96</v>
      </c>
      <c r="P480" s="2">
        <v>-189</v>
      </c>
      <c r="Q480" s="3">
        <v>-1.2769999999999999</v>
      </c>
      <c r="R480" s="2">
        <v>100</v>
      </c>
      <c r="S480" s="2">
        <v>180</v>
      </c>
      <c r="T480" s="2">
        <v>-150</v>
      </c>
      <c r="U480" s="3">
        <v>-1.5</v>
      </c>
      <c r="V480" s="2">
        <v>-39</v>
      </c>
    </row>
    <row r="481" spans="1:22" x14ac:dyDescent="0.25">
      <c r="A481" t="s">
        <v>549</v>
      </c>
      <c r="B481" s="1">
        <v>45454</v>
      </c>
      <c r="C481">
        <v>209</v>
      </c>
      <c r="D481" t="s">
        <v>62</v>
      </c>
      <c r="E481" t="s">
        <v>53</v>
      </c>
      <c r="F481" t="s">
        <v>32</v>
      </c>
      <c r="G481" t="s">
        <v>33</v>
      </c>
      <c r="H481" t="s">
        <v>54</v>
      </c>
      <c r="I481" t="s">
        <v>55</v>
      </c>
      <c r="J481" t="s">
        <v>40</v>
      </c>
      <c r="K481">
        <v>1744</v>
      </c>
      <c r="L481">
        <v>81</v>
      </c>
      <c r="M481" s="2">
        <v>576</v>
      </c>
      <c r="N481" s="2">
        <v>247</v>
      </c>
      <c r="O481" s="2">
        <v>113</v>
      </c>
      <c r="P481" s="2">
        <v>216</v>
      </c>
      <c r="Q481" s="3">
        <v>0.375</v>
      </c>
      <c r="R481" s="2">
        <v>550</v>
      </c>
      <c r="S481" s="2">
        <v>240</v>
      </c>
      <c r="T481" s="2">
        <v>210</v>
      </c>
      <c r="U481" s="3">
        <v>0.38179999999999997</v>
      </c>
      <c r="V481" s="2">
        <v>6</v>
      </c>
    </row>
    <row r="482" spans="1:22" x14ac:dyDescent="0.25">
      <c r="A482" t="s">
        <v>550</v>
      </c>
      <c r="B482" s="1">
        <v>45454</v>
      </c>
      <c r="C482">
        <v>541</v>
      </c>
      <c r="D482" t="s">
        <v>71</v>
      </c>
      <c r="E482" t="s">
        <v>53</v>
      </c>
      <c r="F482" t="s">
        <v>25</v>
      </c>
      <c r="G482" t="s">
        <v>26</v>
      </c>
      <c r="H482" t="s">
        <v>38</v>
      </c>
      <c r="I482" t="s">
        <v>46</v>
      </c>
      <c r="J482" t="s">
        <v>40</v>
      </c>
      <c r="K482">
        <v>551</v>
      </c>
      <c r="L482">
        <v>26</v>
      </c>
      <c r="M482" s="2">
        <v>185</v>
      </c>
      <c r="N482" s="2">
        <v>81</v>
      </c>
      <c r="O482" s="2">
        <v>38</v>
      </c>
      <c r="P482" s="2">
        <v>66</v>
      </c>
      <c r="Q482" s="3">
        <v>0.35680000000000001</v>
      </c>
      <c r="R482" s="2">
        <v>170</v>
      </c>
      <c r="S482" s="2">
        <v>70</v>
      </c>
      <c r="T482" s="2">
        <v>70</v>
      </c>
      <c r="U482" s="3">
        <v>0.4118</v>
      </c>
      <c r="V482" s="2">
        <v>-4</v>
      </c>
    </row>
    <row r="483" spans="1:22" x14ac:dyDescent="0.25">
      <c r="A483" t="s">
        <v>551</v>
      </c>
      <c r="B483" s="1">
        <v>45455</v>
      </c>
      <c r="C483">
        <v>360</v>
      </c>
      <c r="D483" t="s">
        <v>52</v>
      </c>
      <c r="E483" t="s">
        <v>53</v>
      </c>
      <c r="F483" t="s">
        <v>25</v>
      </c>
      <c r="G483" t="s">
        <v>26</v>
      </c>
      <c r="H483" t="s">
        <v>27</v>
      </c>
      <c r="I483" t="s">
        <v>59</v>
      </c>
      <c r="J483" t="s">
        <v>29</v>
      </c>
      <c r="K483">
        <v>627</v>
      </c>
      <c r="L483">
        <v>49</v>
      </c>
      <c r="M483" s="2">
        <v>131</v>
      </c>
      <c r="N483" s="2">
        <v>55</v>
      </c>
      <c r="O483" s="2">
        <v>79</v>
      </c>
      <c r="P483" s="2">
        <v>-3</v>
      </c>
      <c r="Q483" s="3">
        <v>-2.29E-2</v>
      </c>
      <c r="R483" s="2">
        <v>90</v>
      </c>
      <c r="S483" s="2">
        <v>40</v>
      </c>
      <c r="T483" s="2">
        <v>-10</v>
      </c>
      <c r="U483" s="3">
        <v>-0.1111</v>
      </c>
      <c r="V483" s="2">
        <v>7</v>
      </c>
    </row>
    <row r="484" spans="1:22" x14ac:dyDescent="0.25">
      <c r="A484" t="s">
        <v>552</v>
      </c>
      <c r="B484" s="1">
        <v>45455</v>
      </c>
      <c r="C484">
        <v>832</v>
      </c>
      <c r="D484" t="s">
        <v>76</v>
      </c>
      <c r="E484" t="s">
        <v>45</v>
      </c>
      <c r="F484" t="s">
        <v>32</v>
      </c>
      <c r="G484" t="s">
        <v>33</v>
      </c>
      <c r="H484" t="s">
        <v>54</v>
      </c>
      <c r="I484" t="s">
        <v>72</v>
      </c>
      <c r="J484" t="s">
        <v>29</v>
      </c>
      <c r="K484">
        <v>-868</v>
      </c>
      <c r="L484">
        <v>23</v>
      </c>
      <c r="M484" s="2">
        <v>182</v>
      </c>
      <c r="N484" s="2">
        <v>72</v>
      </c>
      <c r="O484" s="2">
        <v>55</v>
      </c>
      <c r="P484" s="2">
        <v>55</v>
      </c>
      <c r="Q484" s="3">
        <v>0.30220000000000002</v>
      </c>
      <c r="R484" s="2">
        <v>110</v>
      </c>
      <c r="S484" s="2">
        <v>40</v>
      </c>
      <c r="T484" s="2">
        <v>50</v>
      </c>
      <c r="U484" s="3">
        <v>0.45450000000000002</v>
      </c>
      <c r="V484" s="2">
        <v>5</v>
      </c>
    </row>
    <row r="485" spans="1:22" x14ac:dyDescent="0.25">
      <c r="A485" t="s">
        <v>553</v>
      </c>
      <c r="B485" s="1">
        <v>45455</v>
      </c>
      <c r="C485">
        <v>203</v>
      </c>
      <c r="D485" t="s">
        <v>135</v>
      </c>
      <c r="E485" t="s">
        <v>79</v>
      </c>
      <c r="F485" t="s">
        <v>25</v>
      </c>
      <c r="G485" t="s">
        <v>33</v>
      </c>
      <c r="H485" t="s">
        <v>54</v>
      </c>
      <c r="I485" t="s">
        <v>68</v>
      </c>
      <c r="J485" t="s">
        <v>29</v>
      </c>
      <c r="K485">
        <v>627</v>
      </c>
      <c r="L485">
        <v>49</v>
      </c>
      <c r="M485" s="2">
        <v>140</v>
      </c>
      <c r="N485" s="2">
        <v>55</v>
      </c>
      <c r="O485" s="2">
        <v>78</v>
      </c>
      <c r="P485" s="2">
        <v>-3</v>
      </c>
      <c r="Q485" s="3">
        <v>-2.1399999999999999E-2</v>
      </c>
      <c r="R485" s="2">
        <v>120</v>
      </c>
      <c r="S485" s="2">
        <v>50</v>
      </c>
      <c r="T485" s="2">
        <v>10</v>
      </c>
      <c r="U485" s="3">
        <v>8.3299999999999999E-2</v>
      </c>
      <c r="V485" s="2">
        <v>-13</v>
      </c>
    </row>
    <row r="486" spans="1:22" x14ac:dyDescent="0.25">
      <c r="A486" t="s">
        <v>554</v>
      </c>
      <c r="B486" s="1">
        <v>45457</v>
      </c>
      <c r="C486">
        <v>435</v>
      </c>
      <c r="D486" t="s">
        <v>95</v>
      </c>
      <c r="E486" t="s">
        <v>53</v>
      </c>
      <c r="F486" t="s">
        <v>25</v>
      </c>
      <c r="G486" t="s">
        <v>26</v>
      </c>
      <c r="H486" t="s">
        <v>38</v>
      </c>
      <c r="I486" t="s">
        <v>66</v>
      </c>
      <c r="J486" t="s">
        <v>40</v>
      </c>
      <c r="K486">
        <v>1898</v>
      </c>
      <c r="L486">
        <v>28</v>
      </c>
      <c r="M486" s="2">
        <v>171</v>
      </c>
      <c r="N486" s="2">
        <v>92</v>
      </c>
      <c r="O486" s="2">
        <v>51</v>
      </c>
      <c r="P486" s="2">
        <v>25</v>
      </c>
      <c r="Q486" s="3">
        <v>0.1462</v>
      </c>
      <c r="R486" s="2">
        <v>140</v>
      </c>
      <c r="S486" s="2">
        <v>80</v>
      </c>
      <c r="T486" s="2">
        <v>20</v>
      </c>
      <c r="U486" s="3">
        <v>0.1429</v>
      </c>
      <c r="V486" s="2">
        <v>5</v>
      </c>
    </row>
    <row r="487" spans="1:22" x14ac:dyDescent="0.25">
      <c r="A487" t="s">
        <v>555</v>
      </c>
      <c r="B487" s="1">
        <v>45457</v>
      </c>
      <c r="C487">
        <v>573</v>
      </c>
      <c r="D487" t="s">
        <v>58</v>
      </c>
      <c r="E487" t="s">
        <v>24</v>
      </c>
      <c r="F487" t="s">
        <v>25</v>
      </c>
      <c r="G487" t="s">
        <v>33</v>
      </c>
      <c r="H487" t="s">
        <v>54</v>
      </c>
      <c r="I487" t="s">
        <v>68</v>
      </c>
      <c r="J487" t="s">
        <v>29</v>
      </c>
      <c r="K487">
        <v>881</v>
      </c>
      <c r="L487">
        <v>11</v>
      </c>
      <c r="M487" s="2">
        <v>106</v>
      </c>
      <c r="N487" s="2">
        <v>40</v>
      </c>
      <c r="O487" s="2">
        <v>23</v>
      </c>
      <c r="P487" s="2">
        <v>53</v>
      </c>
      <c r="Q487" s="3">
        <v>0.5</v>
      </c>
      <c r="R487" s="2">
        <v>140</v>
      </c>
      <c r="S487" s="2">
        <v>50</v>
      </c>
      <c r="T487" s="2">
        <v>90</v>
      </c>
      <c r="U487" s="3">
        <v>0.64290000000000003</v>
      </c>
      <c r="V487" s="2">
        <v>-37</v>
      </c>
    </row>
    <row r="488" spans="1:22" x14ac:dyDescent="0.25">
      <c r="A488" t="s">
        <v>556</v>
      </c>
      <c r="B488" s="1">
        <v>45457</v>
      </c>
      <c r="C488">
        <v>714</v>
      </c>
      <c r="D488" t="s">
        <v>62</v>
      </c>
      <c r="E488" t="s">
        <v>53</v>
      </c>
      <c r="F488" t="s">
        <v>32</v>
      </c>
      <c r="G488" t="s">
        <v>33</v>
      </c>
      <c r="H488" t="s">
        <v>54</v>
      </c>
      <c r="I488" t="s">
        <v>55</v>
      </c>
      <c r="J488" t="s">
        <v>40</v>
      </c>
      <c r="K488">
        <v>1662</v>
      </c>
      <c r="L488">
        <v>84</v>
      </c>
      <c r="M488" s="2">
        <v>598</v>
      </c>
      <c r="N488" s="2">
        <v>257</v>
      </c>
      <c r="O488" s="2">
        <v>116</v>
      </c>
      <c r="P488" s="2">
        <v>225</v>
      </c>
      <c r="Q488" s="3">
        <v>0.37630000000000002</v>
      </c>
      <c r="R488" s="2">
        <v>550</v>
      </c>
      <c r="S488" s="2">
        <v>230</v>
      </c>
      <c r="T488" s="2">
        <v>240</v>
      </c>
      <c r="U488" s="3">
        <v>0.43640000000000001</v>
      </c>
      <c r="V488" s="2">
        <v>-15</v>
      </c>
    </row>
    <row r="489" spans="1:22" x14ac:dyDescent="0.25">
      <c r="A489" t="s">
        <v>557</v>
      </c>
      <c r="B489" s="1">
        <v>45458</v>
      </c>
      <c r="C489">
        <v>339</v>
      </c>
      <c r="D489" t="s">
        <v>78</v>
      </c>
      <c r="E489" t="s">
        <v>79</v>
      </c>
      <c r="F489" t="s">
        <v>32</v>
      </c>
      <c r="G489" t="s">
        <v>33</v>
      </c>
      <c r="H489" t="s">
        <v>54</v>
      </c>
      <c r="I489" t="s">
        <v>68</v>
      </c>
      <c r="J489" t="s">
        <v>29</v>
      </c>
      <c r="K489">
        <v>554</v>
      </c>
      <c r="L489">
        <v>47</v>
      </c>
      <c r="M489" s="2">
        <v>128</v>
      </c>
      <c r="N489" s="2">
        <v>52</v>
      </c>
      <c r="O489" s="2">
        <v>76</v>
      </c>
      <c r="P489" s="2">
        <v>-12</v>
      </c>
      <c r="Q489" s="3">
        <v>-9.3799999999999994E-2</v>
      </c>
      <c r="R489" s="2">
        <v>110</v>
      </c>
      <c r="S489" s="2">
        <v>50</v>
      </c>
      <c r="T489" s="2">
        <v>0</v>
      </c>
      <c r="U489" s="3">
        <v>0</v>
      </c>
      <c r="V489" s="2">
        <v>-12</v>
      </c>
    </row>
    <row r="490" spans="1:22" x14ac:dyDescent="0.25">
      <c r="A490" t="s">
        <v>558</v>
      </c>
      <c r="B490" s="1">
        <v>45458</v>
      </c>
      <c r="C490">
        <v>262</v>
      </c>
      <c r="D490" t="s">
        <v>23</v>
      </c>
      <c r="E490" t="s">
        <v>24</v>
      </c>
      <c r="F490" t="s">
        <v>25</v>
      </c>
      <c r="G490" t="s">
        <v>26</v>
      </c>
      <c r="H490" t="s">
        <v>38</v>
      </c>
      <c r="I490" t="s">
        <v>39</v>
      </c>
      <c r="J490" t="s">
        <v>40</v>
      </c>
      <c r="K490">
        <v>321</v>
      </c>
      <c r="L490">
        <v>16</v>
      </c>
      <c r="M490" s="2">
        <v>150</v>
      </c>
      <c r="N490" s="2">
        <v>53</v>
      </c>
      <c r="O490" s="2">
        <v>40</v>
      </c>
      <c r="P490" s="2">
        <v>71</v>
      </c>
      <c r="Q490" s="3">
        <v>0.4733</v>
      </c>
      <c r="R490" s="2">
        <v>130</v>
      </c>
      <c r="S490" s="2">
        <v>50</v>
      </c>
      <c r="T490" s="2">
        <v>50</v>
      </c>
      <c r="U490" s="3">
        <v>0.3846</v>
      </c>
      <c r="V490" s="2">
        <v>21</v>
      </c>
    </row>
    <row r="491" spans="1:22" x14ac:dyDescent="0.25">
      <c r="A491" t="s">
        <v>559</v>
      </c>
      <c r="B491" s="1">
        <v>45459</v>
      </c>
      <c r="C491">
        <v>541</v>
      </c>
      <c r="D491" t="s">
        <v>71</v>
      </c>
      <c r="E491" t="s">
        <v>53</v>
      </c>
      <c r="F491" t="s">
        <v>25</v>
      </c>
      <c r="G491" t="s">
        <v>26</v>
      </c>
      <c r="H491" t="s">
        <v>27</v>
      </c>
      <c r="I491" t="s">
        <v>28</v>
      </c>
      <c r="J491" t="s">
        <v>29</v>
      </c>
      <c r="K491">
        <v>482</v>
      </c>
      <c r="L491">
        <v>8</v>
      </c>
      <c r="M491" s="2">
        <v>80</v>
      </c>
      <c r="N491" s="2">
        <v>32</v>
      </c>
      <c r="O491" s="2">
        <v>20</v>
      </c>
      <c r="P491" s="2">
        <v>28</v>
      </c>
      <c r="Q491" s="3">
        <v>0.35</v>
      </c>
      <c r="R491" s="2">
        <v>50</v>
      </c>
      <c r="S491" s="2">
        <v>20</v>
      </c>
      <c r="T491" s="2">
        <v>30</v>
      </c>
      <c r="U491" s="3">
        <v>0.6</v>
      </c>
      <c r="V491" s="2">
        <v>-2</v>
      </c>
    </row>
    <row r="492" spans="1:22" x14ac:dyDescent="0.25">
      <c r="A492" t="s">
        <v>560</v>
      </c>
      <c r="B492" s="1">
        <v>45459</v>
      </c>
      <c r="C492">
        <v>405</v>
      </c>
      <c r="D492" t="s">
        <v>148</v>
      </c>
      <c r="E492" t="s">
        <v>45</v>
      </c>
      <c r="F492" t="s">
        <v>25</v>
      </c>
      <c r="G492" t="s">
        <v>33</v>
      </c>
      <c r="H492" t="s">
        <v>54</v>
      </c>
      <c r="I492" t="s">
        <v>55</v>
      </c>
      <c r="J492" t="s">
        <v>40</v>
      </c>
      <c r="K492">
        <v>788</v>
      </c>
      <c r="L492">
        <v>27</v>
      </c>
      <c r="M492" s="2">
        <v>218</v>
      </c>
      <c r="N492" s="2">
        <v>82</v>
      </c>
      <c r="O492" s="2">
        <v>58</v>
      </c>
      <c r="P492" s="2">
        <v>96</v>
      </c>
      <c r="Q492" s="3">
        <v>0.44040000000000001</v>
      </c>
      <c r="R492" s="2">
        <v>130</v>
      </c>
      <c r="S492" s="2">
        <v>50</v>
      </c>
      <c r="T492" s="2">
        <v>60</v>
      </c>
      <c r="U492" s="3">
        <v>0.46150000000000002</v>
      </c>
      <c r="V492" s="2">
        <v>36</v>
      </c>
    </row>
    <row r="493" spans="1:22" x14ac:dyDescent="0.25">
      <c r="A493" t="s">
        <v>561</v>
      </c>
      <c r="B493" s="1">
        <v>45460</v>
      </c>
      <c r="C493">
        <v>603</v>
      </c>
      <c r="D493" t="s">
        <v>109</v>
      </c>
      <c r="E493" t="s">
        <v>79</v>
      </c>
      <c r="F493" t="s">
        <v>25</v>
      </c>
      <c r="G493" t="s">
        <v>33</v>
      </c>
      <c r="H493" t="s">
        <v>54</v>
      </c>
      <c r="I493" t="s">
        <v>101</v>
      </c>
      <c r="J493" t="s">
        <v>29</v>
      </c>
      <c r="K493">
        <v>211</v>
      </c>
      <c r="L493">
        <v>12</v>
      </c>
      <c r="M493" s="2">
        <v>76</v>
      </c>
      <c r="N493" s="2">
        <v>34</v>
      </c>
      <c r="O493" s="2">
        <v>45</v>
      </c>
      <c r="P493" s="2">
        <v>-3</v>
      </c>
      <c r="Q493" s="3">
        <v>-3.95E-2</v>
      </c>
      <c r="R493" s="2">
        <v>70</v>
      </c>
      <c r="S493" s="2">
        <v>30</v>
      </c>
      <c r="T493" s="2">
        <v>0</v>
      </c>
      <c r="U493" s="3">
        <v>0</v>
      </c>
      <c r="V493" s="2">
        <v>-3</v>
      </c>
    </row>
    <row r="494" spans="1:22" x14ac:dyDescent="0.25">
      <c r="A494" t="s">
        <v>562</v>
      </c>
      <c r="B494" s="1">
        <v>45461</v>
      </c>
      <c r="C494">
        <v>254</v>
      </c>
      <c r="D494" t="s">
        <v>76</v>
      </c>
      <c r="E494" t="s">
        <v>45</v>
      </c>
      <c r="F494" t="s">
        <v>32</v>
      </c>
      <c r="G494" t="s">
        <v>33</v>
      </c>
      <c r="H494" t="s">
        <v>54</v>
      </c>
      <c r="I494" t="s">
        <v>68</v>
      </c>
      <c r="J494" t="s">
        <v>29</v>
      </c>
      <c r="K494">
        <v>959</v>
      </c>
      <c r="L494">
        <v>34</v>
      </c>
      <c r="M494" s="2">
        <v>322</v>
      </c>
      <c r="N494" s="2">
        <v>123</v>
      </c>
      <c r="O494" s="2">
        <v>46</v>
      </c>
      <c r="P494" s="2">
        <v>197</v>
      </c>
      <c r="Q494" s="3">
        <v>0.61180000000000001</v>
      </c>
      <c r="R494" s="2">
        <v>230</v>
      </c>
      <c r="S494" s="2">
        <v>90</v>
      </c>
      <c r="T494" s="2">
        <v>110</v>
      </c>
      <c r="U494" s="3">
        <v>0.4783</v>
      </c>
      <c r="V494" s="2">
        <v>87</v>
      </c>
    </row>
    <row r="495" spans="1:22" x14ac:dyDescent="0.25">
      <c r="A495" t="s">
        <v>563</v>
      </c>
      <c r="B495" s="1">
        <v>45461</v>
      </c>
      <c r="C495">
        <v>716</v>
      </c>
      <c r="D495" t="s">
        <v>99</v>
      </c>
      <c r="E495" t="s">
        <v>79</v>
      </c>
      <c r="F495" t="s">
        <v>32</v>
      </c>
      <c r="G495" t="s">
        <v>33</v>
      </c>
      <c r="H495" t="s">
        <v>34</v>
      </c>
      <c r="I495" t="s">
        <v>50</v>
      </c>
      <c r="J495" t="s">
        <v>29</v>
      </c>
      <c r="K495">
        <v>2548</v>
      </c>
      <c r="L495">
        <v>91</v>
      </c>
      <c r="M495" s="2">
        <v>693</v>
      </c>
      <c r="N495" s="2">
        <v>260</v>
      </c>
      <c r="O495" s="2">
        <v>143</v>
      </c>
      <c r="P495" s="2">
        <v>367</v>
      </c>
      <c r="Q495" s="3">
        <v>0.52959999999999996</v>
      </c>
      <c r="R495" s="2">
        <v>540</v>
      </c>
      <c r="S495" s="2">
        <v>210</v>
      </c>
      <c r="T495" s="2">
        <v>230</v>
      </c>
      <c r="U495" s="3">
        <v>0.4259</v>
      </c>
      <c r="V495" s="2">
        <v>137</v>
      </c>
    </row>
    <row r="496" spans="1:22" x14ac:dyDescent="0.25">
      <c r="A496" t="s">
        <v>564</v>
      </c>
      <c r="B496" s="1">
        <v>45461</v>
      </c>
      <c r="C496">
        <v>573</v>
      </c>
      <c r="D496" t="s">
        <v>58</v>
      </c>
      <c r="E496" t="s">
        <v>24</v>
      </c>
      <c r="F496" t="s">
        <v>25</v>
      </c>
      <c r="G496" t="s">
        <v>33</v>
      </c>
      <c r="H496" t="s">
        <v>34</v>
      </c>
      <c r="I496" t="s">
        <v>50</v>
      </c>
      <c r="J496" t="s">
        <v>29</v>
      </c>
      <c r="K496">
        <v>601</v>
      </c>
      <c r="L496">
        <v>31</v>
      </c>
      <c r="M496" s="2">
        <v>196</v>
      </c>
      <c r="N496" s="2">
        <v>82</v>
      </c>
      <c r="O496" s="2">
        <v>64</v>
      </c>
      <c r="P496" s="2">
        <v>56</v>
      </c>
      <c r="Q496" s="3">
        <v>0.28570000000000001</v>
      </c>
      <c r="R496" s="2">
        <v>180</v>
      </c>
      <c r="S496" s="2">
        <v>80</v>
      </c>
      <c r="T496" s="2">
        <v>40</v>
      </c>
      <c r="U496" s="3">
        <v>0.22220000000000001</v>
      </c>
      <c r="V496" s="2">
        <v>16</v>
      </c>
    </row>
    <row r="497" spans="1:22" x14ac:dyDescent="0.25">
      <c r="A497" t="s">
        <v>565</v>
      </c>
      <c r="B497" s="1">
        <v>45462</v>
      </c>
      <c r="C497">
        <v>435</v>
      </c>
      <c r="D497" t="s">
        <v>95</v>
      </c>
      <c r="E497" t="s">
        <v>53</v>
      </c>
      <c r="F497" t="s">
        <v>25</v>
      </c>
      <c r="G497" t="s">
        <v>26</v>
      </c>
      <c r="H497" t="s">
        <v>27</v>
      </c>
      <c r="I497" t="s">
        <v>42</v>
      </c>
      <c r="J497" t="s">
        <v>29</v>
      </c>
      <c r="K497">
        <v>244</v>
      </c>
      <c r="L497">
        <v>12</v>
      </c>
      <c r="M497" s="2">
        <v>98</v>
      </c>
      <c r="N497" s="2">
        <v>39</v>
      </c>
      <c r="O497" s="2">
        <v>39</v>
      </c>
      <c r="P497" s="2">
        <v>21</v>
      </c>
      <c r="Q497" s="3">
        <v>0.21429999999999999</v>
      </c>
      <c r="R497" s="2">
        <v>40</v>
      </c>
      <c r="S497" s="2">
        <v>10</v>
      </c>
      <c r="T497" s="2">
        <v>20</v>
      </c>
      <c r="U497" s="3">
        <v>0.5</v>
      </c>
      <c r="V497" s="2">
        <v>1</v>
      </c>
    </row>
    <row r="498" spans="1:22" x14ac:dyDescent="0.25">
      <c r="A498" t="s">
        <v>566</v>
      </c>
      <c r="B498" s="1">
        <v>45462</v>
      </c>
      <c r="C498">
        <v>515</v>
      </c>
      <c r="D498" t="s">
        <v>124</v>
      </c>
      <c r="E498" t="s">
        <v>24</v>
      </c>
      <c r="F498" t="s">
        <v>25</v>
      </c>
      <c r="G498" t="s">
        <v>26</v>
      </c>
      <c r="H498" t="s">
        <v>38</v>
      </c>
      <c r="I498" t="s">
        <v>46</v>
      </c>
      <c r="J498" t="s">
        <v>40</v>
      </c>
      <c r="K498">
        <v>830</v>
      </c>
      <c r="L498">
        <v>40</v>
      </c>
      <c r="M498" s="2">
        <v>332</v>
      </c>
      <c r="N498" s="2">
        <v>127</v>
      </c>
      <c r="O498" s="2">
        <v>62</v>
      </c>
      <c r="P498" s="2">
        <v>183</v>
      </c>
      <c r="Q498" s="3">
        <v>0.55120000000000002</v>
      </c>
      <c r="R498" s="2">
        <v>290</v>
      </c>
      <c r="S498" s="2">
        <v>120</v>
      </c>
      <c r="T498" s="2">
        <v>120</v>
      </c>
      <c r="U498" s="3">
        <v>0.4138</v>
      </c>
      <c r="V498" s="2">
        <v>63</v>
      </c>
    </row>
    <row r="499" spans="1:22" x14ac:dyDescent="0.25">
      <c r="A499" t="s">
        <v>567</v>
      </c>
      <c r="B499" s="1">
        <v>45463</v>
      </c>
      <c r="C499">
        <v>860</v>
      </c>
      <c r="D499" t="s">
        <v>135</v>
      </c>
      <c r="E499" t="s">
        <v>79</v>
      </c>
      <c r="F499" t="s">
        <v>25</v>
      </c>
      <c r="G499" t="s">
        <v>33</v>
      </c>
      <c r="H499" t="s">
        <v>54</v>
      </c>
      <c r="I499" t="s">
        <v>55</v>
      </c>
      <c r="J499" t="s">
        <v>40</v>
      </c>
      <c r="K499">
        <v>375</v>
      </c>
      <c r="L499">
        <v>15</v>
      </c>
      <c r="M499" s="2">
        <v>111</v>
      </c>
      <c r="N499" s="2">
        <v>47</v>
      </c>
      <c r="O499" s="2">
        <v>43</v>
      </c>
      <c r="P499" s="2">
        <v>21</v>
      </c>
      <c r="Q499" s="3">
        <v>0.18920000000000001</v>
      </c>
      <c r="R499" s="2">
        <v>90</v>
      </c>
      <c r="S499" s="2">
        <v>30</v>
      </c>
      <c r="T499" s="2">
        <v>50</v>
      </c>
      <c r="U499" s="3">
        <v>0.55559999999999998</v>
      </c>
      <c r="V499" s="2">
        <v>-29</v>
      </c>
    </row>
    <row r="500" spans="1:22" x14ac:dyDescent="0.25">
      <c r="A500" t="s">
        <v>568</v>
      </c>
      <c r="B500" s="1">
        <v>45463</v>
      </c>
      <c r="C500">
        <v>860</v>
      </c>
      <c r="D500" t="s">
        <v>135</v>
      </c>
      <c r="E500" t="s">
        <v>79</v>
      </c>
      <c r="F500" t="s">
        <v>25</v>
      </c>
      <c r="G500" t="s">
        <v>26</v>
      </c>
      <c r="H500" t="s">
        <v>38</v>
      </c>
      <c r="I500" t="s">
        <v>46</v>
      </c>
      <c r="J500" t="s">
        <v>40</v>
      </c>
      <c r="K500">
        <v>601</v>
      </c>
      <c r="L500">
        <v>31</v>
      </c>
      <c r="M500" s="2">
        <v>184</v>
      </c>
      <c r="N500" s="2">
        <v>82</v>
      </c>
      <c r="O500" s="2">
        <v>64</v>
      </c>
      <c r="P500" s="2">
        <v>38</v>
      </c>
      <c r="Q500" s="3">
        <v>0.20649999999999999</v>
      </c>
      <c r="R500" s="2">
        <v>130</v>
      </c>
      <c r="S500" s="2">
        <v>60</v>
      </c>
      <c r="T500" s="2">
        <v>30</v>
      </c>
      <c r="U500" s="3">
        <v>0.23080000000000001</v>
      </c>
      <c r="V500" s="2">
        <v>8</v>
      </c>
    </row>
    <row r="501" spans="1:22" x14ac:dyDescent="0.25">
      <c r="A501" t="s">
        <v>569</v>
      </c>
      <c r="B501" s="1">
        <v>45463</v>
      </c>
      <c r="C501">
        <v>702</v>
      </c>
      <c r="D501" t="s">
        <v>65</v>
      </c>
      <c r="E501" t="s">
        <v>53</v>
      </c>
      <c r="F501" t="s">
        <v>25</v>
      </c>
      <c r="G501" t="s">
        <v>26</v>
      </c>
      <c r="H501" t="s">
        <v>38</v>
      </c>
      <c r="I501" t="s">
        <v>46</v>
      </c>
      <c r="J501" t="s">
        <v>40</v>
      </c>
      <c r="K501">
        <v>1150</v>
      </c>
      <c r="L501">
        <v>57</v>
      </c>
      <c r="M501" s="2">
        <v>412</v>
      </c>
      <c r="N501" s="2">
        <v>173</v>
      </c>
      <c r="O501" s="2">
        <v>101</v>
      </c>
      <c r="P501" s="2">
        <v>138</v>
      </c>
      <c r="Q501" s="3">
        <v>0.33500000000000002</v>
      </c>
      <c r="R501" s="2">
        <v>380</v>
      </c>
      <c r="S501" s="2">
        <v>160</v>
      </c>
      <c r="T501" s="2">
        <v>130</v>
      </c>
      <c r="U501" s="3">
        <v>0.34210000000000002</v>
      </c>
      <c r="V501" s="2">
        <v>8</v>
      </c>
    </row>
    <row r="502" spans="1:22" x14ac:dyDescent="0.25">
      <c r="A502" t="s">
        <v>570</v>
      </c>
      <c r="B502" s="1">
        <v>45463</v>
      </c>
      <c r="C502">
        <v>971</v>
      </c>
      <c r="D502" t="s">
        <v>71</v>
      </c>
      <c r="E502" t="s">
        <v>53</v>
      </c>
      <c r="F502" t="s">
        <v>25</v>
      </c>
      <c r="G502" t="s">
        <v>33</v>
      </c>
      <c r="H502" t="s">
        <v>54</v>
      </c>
      <c r="I502" t="s">
        <v>55</v>
      </c>
      <c r="J502" t="s">
        <v>40</v>
      </c>
      <c r="K502">
        <v>1319</v>
      </c>
      <c r="L502">
        <v>42</v>
      </c>
      <c r="M502" s="2">
        <v>326</v>
      </c>
      <c r="N502" s="2">
        <v>153</v>
      </c>
      <c r="O502" s="2">
        <v>66</v>
      </c>
      <c r="P502" s="2">
        <v>129</v>
      </c>
      <c r="Q502" s="3">
        <v>0.3957</v>
      </c>
      <c r="R502" s="2">
        <v>290</v>
      </c>
      <c r="S502" s="2">
        <v>150</v>
      </c>
      <c r="T502" s="2">
        <v>80</v>
      </c>
      <c r="U502" s="3">
        <v>0.27589999999999998</v>
      </c>
      <c r="V502" s="2">
        <v>49</v>
      </c>
    </row>
    <row r="503" spans="1:22" x14ac:dyDescent="0.25">
      <c r="A503" t="s">
        <v>571</v>
      </c>
      <c r="B503" s="1">
        <v>45464</v>
      </c>
      <c r="C503">
        <v>210</v>
      </c>
      <c r="D503" t="s">
        <v>76</v>
      </c>
      <c r="E503" t="s">
        <v>45</v>
      </c>
      <c r="F503" t="s">
        <v>32</v>
      </c>
      <c r="G503" t="s">
        <v>33</v>
      </c>
      <c r="H503" t="s">
        <v>54</v>
      </c>
      <c r="I503" t="s">
        <v>55</v>
      </c>
      <c r="J503" t="s">
        <v>40</v>
      </c>
      <c r="K503">
        <v>589</v>
      </c>
      <c r="L503">
        <v>14</v>
      </c>
      <c r="M503" s="2">
        <v>123</v>
      </c>
      <c r="N503" s="2">
        <v>50</v>
      </c>
      <c r="O503" s="2">
        <v>25</v>
      </c>
      <c r="P503" s="2">
        <v>48</v>
      </c>
      <c r="Q503" s="3">
        <v>0.39019999999999999</v>
      </c>
      <c r="R503" s="2">
        <v>90</v>
      </c>
      <c r="S503" s="2">
        <v>30</v>
      </c>
      <c r="T503" s="2">
        <v>40</v>
      </c>
      <c r="U503" s="3">
        <v>0.44440000000000002</v>
      </c>
      <c r="V503" s="2">
        <v>8</v>
      </c>
    </row>
    <row r="504" spans="1:22" x14ac:dyDescent="0.25">
      <c r="A504" t="s">
        <v>572</v>
      </c>
      <c r="B504" s="1">
        <v>45464</v>
      </c>
      <c r="C504">
        <v>303</v>
      </c>
      <c r="D504" t="s">
        <v>31</v>
      </c>
      <c r="E504" t="s">
        <v>24</v>
      </c>
      <c r="F504" t="s">
        <v>32</v>
      </c>
      <c r="G504" t="s">
        <v>26</v>
      </c>
      <c r="H504" t="s">
        <v>27</v>
      </c>
      <c r="I504" t="s">
        <v>28</v>
      </c>
      <c r="J504" t="s">
        <v>29</v>
      </c>
      <c r="K504">
        <v>422</v>
      </c>
      <c r="L504">
        <v>17</v>
      </c>
      <c r="M504" s="2">
        <v>103</v>
      </c>
      <c r="N504" s="2">
        <v>46</v>
      </c>
      <c r="O504" s="2">
        <v>51</v>
      </c>
      <c r="P504" s="2">
        <v>6</v>
      </c>
      <c r="Q504" s="3">
        <v>5.8299999999999998E-2</v>
      </c>
      <c r="R504" s="2">
        <v>80</v>
      </c>
      <c r="S504" s="2">
        <v>30</v>
      </c>
      <c r="T504" s="2">
        <v>10</v>
      </c>
      <c r="U504" s="3">
        <v>0.125</v>
      </c>
      <c r="V504" s="2">
        <v>-4</v>
      </c>
    </row>
    <row r="505" spans="1:22" x14ac:dyDescent="0.25">
      <c r="A505" t="s">
        <v>573</v>
      </c>
      <c r="B505" s="1">
        <v>45465</v>
      </c>
      <c r="C505">
        <v>660</v>
      </c>
      <c r="D505" t="s">
        <v>58</v>
      </c>
      <c r="E505" t="s">
        <v>24</v>
      </c>
      <c r="F505" t="s">
        <v>25</v>
      </c>
      <c r="G505" t="s">
        <v>33</v>
      </c>
      <c r="H505" t="s">
        <v>34</v>
      </c>
      <c r="I505" t="s">
        <v>83</v>
      </c>
      <c r="J505" t="s">
        <v>40</v>
      </c>
      <c r="K505">
        <v>1053</v>
      </c>
      <c r="L505">
        <v>20</v>
      </c>
      <c r="M505" s="2">
        <v>142</v>
      </c>
      <c r="N505" s="2">
        <v>65</v>
      </c>
      <c r="O505" s="2">
        <v>42</v>
      </c>
      <c r="P505" s="2">
        <v>35</v>
      </c>
      <c r="Q505" s="3">
        <v>0.2465</v>
      </c>
      <c r="R505" s="2">
        <v>130</v>
      </c>
      <c r="S505" s="2">
        <v>50</v>
      </c>
      <c r="T505" s="2">
        <v>70</v>
      </c>
      <c r="U505" s="3">
        <v>0.53849999999999998</v>
      </c>
      <c r="V505" s="2">
        <v>-35</v>
      </c>
    </row>
    <row r="506" spans="1:22" x14ac:dyDescent="0.25">
      <c r="A506" t="s">
        <v>574</v>
      </c>
      <c r="B506" s="1">
        <v>45465</v>
      </c>
      <c r="C506">
        <v>712</v>
      </c>
      <c r="D506" t="s">
        <v>124</v>
      </c>
      <c r="E506" t="s">
        <v>24</v>
      </c>
      <c r="F506" t="s">
        <v>25</v>
      </c>
      <c r="G506" t="s">
        <v>26</v>
      </c>
      <c r="H506" t="s">
        <v>38</v>
      </c>
      <c r="I506" t="s">
        <v>39</v>
      </c>
      <c r="J506" t="s">
        <v>40</v>
      </c>
      <c r="K506">
        <v>1691</v>
      </c>
      <c r="L506">
        <v>75</v>
      </c>
      <c r="M506" s="2">
        <v>532</v>
      </c>
      <c r="N506" s="2">
        <v>228</v>
      </c>
      <c r="O506" s="2">
        <v>108</v>
      </c>
      <c r="P506" s="2">
        <v>196</v>
      </c>
      <c r="Q506" s="3">
        <v>0.36840000000000001</v>
      </c>
      <c r="R506" s="2">
        <v>490</v>
      </c>
      <c r="S506" s="2">
        <v>210</v>
      </c>
      <c r="T506" s="2">
        <v>180</v>
      </c>
      <c r="U506" s="3">
        <v>0.36730000000000002</v>
      </c>
      <c r="V506" s="2">
        <v>16</v>
      </c>
    </row>
    <row r="507" spans="1:22" x14ac:dyDescent="0.25">
      <c r="A507" t="s">
        <v>575</v>
      </c>
      <c r="B507" s="1">
        <v>45466</v>
      </c>
      <c r="C507">
        <v>435</v>
      </c>
      <c r="D507" t="s">
        <v>95</v>
      </c>
      <c r="E507" t="s">
        <v>53</v>
      </c>
      <c r="F507" t="s">
        <v>25</v>
      </c>
      <c r="G507" t="s">
        <v>33</v>
      </c>
      <c r="H507" t="s">
        <v>54</v>
      </c>
      <c r="I507" t="s">
        <v>72</v>
      </c>
      <c r="J507" t="s">
        <v>29</v>
      </c>
      <c r="K507">
        <v>833</v>
      </c>
      <c r="L507">
        <v>8</v>
      </c>
      <c r="M507" s="2">
        <v>84</v>
      </c>
      <c r="N507" s="2">
        <v>32</v>
      </c>
      <c r="O507" s="2">
        <v>19</v>
      </c>
      <c r="P507" s="2">
        <v>42</v>
      </c>
      <c r="Q507" s="3">
        <v>0.5</v>
      </c>
      <c r="R507" s="2">
        <v>60</v>
      </c>
      <c r="S507" s="2">
        <v>20</v>
      </c>
      <c r="T507" s="2">
        <v>40</v>
      </c>
      <c r="U507" s="3">
        <v>0.66669999999999996</v>
      </c>
      <c r="V507" s="2">
        <v>2</v>
      </c>
    </row>
    <row r="508" spans="1:22" x14ac:dyDescent="0.25">
      <c r="A508" t="s">
        <v>576</v>
      </c>
      <c r="B508" s="1">
        <v>45466</v>
      </c>
      <c r="C508">
        <v>914</v>
      </c>
      <c r="D508" t="s">
        <v>99</v>
      </c>
      <c r="E508" t="s">
        <v>79</v>
      </c>
      <c r="F508" t="s">
        <v>32</v>
      </c>
      <c r="G508" t="s">
        <v>33</v>
      </c>
      <c r="H508" t="s">
        <v>54</v>
      </c>
      <c r="I508" t="s">
        <v>68</v>
      </c>
      <c r="J508" t="s">
        <v>29</v>
      </c>
      <c r="K508">
        <v>3142</v>
      </c>
      <c r="L508">
        <v>113</v>
      </c>
      <c r="M508" s="2">
        <v>74</v>
      </c>
      <c r="N508" s="2">
        <v>125</v>
      </c>
      <c r="O508" s="2">
        <v>146</v>
      </c>
      <c r="P508" s="2">
        <v>-300</v>
      </c>
      <c r="Q508" s="3">
        <v>-4.0541</v>
      </c>
      <c r="R508" s="2">
        <v>50</v>
      </c>
      <c r="S508" s="2">
        <v>110</v>
      </c>
      <c r="T508" s="2">
        <v>-170</v>
      </c>
      <c r="U508" s="3">
        <v>-3.4</v>
      </c>
      <c r="V508" s="2">
        <v>-130</v>
      </c>
    </row>
    <row r="509" spans="1:22" x14ac:dyDescent="0.25">
      <c r="A509" t="s">
        <v>577</v>
      </c>
      <c r="B509" s="1">
        <v>45466</v>
      </c>
      <c r="C509">
        <v>530</v>
      </c>
      <c r="D509" t="s">
        <v>62</v>
      </c>
      <c r="E509" t="s">
        <v>53</v>
      </c>
      <c r="F509" t="s">
        <v>32</v>
      </c>
      <c r="G509" t="s">
        <v>33</v>
      </c>
      <c r="H509" t="s">
        <v>54</v>
      </c>
      <c r="I509" t="s">
        <v>68</v>
      </c>
      <c r="J509" t="s">
        <v>29</v>
      </c>
      <c r="K509">
        <v>940</v>
      </c>
      <c r="L509">
        <v>122</v>
      </c>
      <c r="M509" s="2">
        <v>322</v>
      </c>
      <c r="N509" s="2">
        <v>135</v>
      </c>
      <c r="O509" s="2">
        <v>156</v>
      </c>
      <c r="P509" s="2">
        <v>31</v>
      </c>
      <c r="Q509" s="3">
        <v>9.6299999999999997E-2</v>
      </c>
      <c r="R509" s="2">
        <v>310</v>
      </c>
      <c r="S509" s="2">
        <v>130</v>
      </c>
      <c r="T509" s="2">
        <v>40</v>
      </c>
      <c r="U509" s="3">
        <v>0.129</v>
      </c>
      <c r="V509" s="2">
        <v>-9</v>
      </c>
    </row>
    <row r="510" spans="1:22" x14ac:dyDescent="0.25">
      <c r="A510" t="s">
        <v>578</v>
      </c>
      <c r="B510" s="1">
        <v>45466</v>
      </c>
      <c r="C510">
        <v>503</v>
      </c>
      <c r="D510" t="s">
        <v>71</v>
      </c>
      <c r="E510" t="s">
        <v>53</v>
      </c>
      <c r="F510" t="s">
        <v>25</v>
      </c>
      <c r="G510" t="s">
        <v>33</v>
      </c>
      <c r="H510" t="s">
        <v>54</v>
      </c>
      <c r="I510" t="s">
        <v>55</v>
      </c>
      <c r="J510" t="s">
        <v>40</v>
      </c>
      <c r="K510">
        <v>1267</v>
      </c>
      <c r="L510">
        <v>45</v>
      </c>
      <c r="M510" s="2">
        <v>343</v>
      </c>
      <c r="N510" s="2">
        <v>161</v>
      </c>
      <c r="O510" s="2">
        <v>70</v>
      </c>
      <c r="P510" s="2">
        <v>135</v>
      </c>
      <c r="Q510" s="3">
        <v>0.39360000000000001</v>
      </c>
      <c r="R510" s="2">
        <v>290</v>
      </c>
      <c r="S510" s="2">
        <v>140</v>
      </c>
      <c r="T510" s="2">
        <v>110</v>
      </c>
      <c r="U510" s="3">
        <v>0.37930000000000003</v>
      </c>
      <c r="V510" s="2">
        <v>25</v>
      </c>
    </row>
    <row r="511" spans="1:22" x14ac:dyDescent="0.25">
      <c r="A511" t="s">
        <v>579</v>
      </c>
      <c r="B511" s="1">
        <v>45467</v>
      </c>
      <c r="C511">
        <v>712</v>
      </c>
      <c r="D511" t="s">
        <v>124</v>
      </c>
      <c r="E511" t="s">
        <v>24</v>
      </c>
      <c r="F511" t="s">
        <v>25</v>
      </c>
      <c r="G511" t="s">
        <v>26</v>
      </c>
      <c r="H511" t="s">
        <v>38</v>
      </c>
      <c r="I511" t="s">
        <v>39</v>
      </c>
      <c r="J511" t="s">
        <v>40</v>
      </c>
      <c r="K511">
        <v>1662</v>
      </c>
      <c r="L511">
        <v>84</v>
      </c>
      <c r="M511" s="2">
        <v>598</v>
      </c>
      <c r="N511" s="2">
        <v>257</v>
      </c>
      <c r="O511" s="2">
        <v>117</v>
      </c>
      <c r="P511" s="2">
        <v>224</v>
      </c>
      <c r="Q511" s="3">
        <v>0.37459999999999999</v>
      </c>
      <c r="R511" s="2">
        <v>480</v>
      </c>
      <c r="S511" s="2">
        <v>200</v>
      </c>
      <c r="T511" s="2">
        <v>210</v>
      </c>
      <c r="U511" s="3">
        <v>0.4375</v>
      </c>
      <c r="V511" s="2">
        <v>14</v>
      </c>
    </row>
    <row r="512" spans="1:22" x14ac:dyDescent="0.25">
      <c r="A512" t="s">
        <v>580</v>
      </c>
      <c r="B512" s="1">
        <v>45467</v>
      </c>
      <c r="C512">
        <v>775</v>
      </c>
      <c r="D512" t="s">
        <v>65</v>
      </c>
      <c r="E512" t="s">
        <v>53</v>
      </c>
      <c r="F512" t="s">
        <v>25</v>
      </c>
      <c r="G512" t="s">
        <v>26</v>
      </c>
      <c r="H512" t="s">
        <v>27</v>
      </c>
      <c r="I512" t="s">
        <v>28</v>
      </c>
      <c r="J512" t="s">
        <v>29</v>
      </c>
      <c r="K512">
        <v>1662</v>
      </c>
      <c r="L512">
        <v>84</v>
      </c>
      <c r="M512" s="2">
        <v>637</v>
      </c>
      <c r="N512" s="2">
        <v>257</v>
      </c>
      <c r="O512" s="2">
        <v>117</v>
      </c>
      <c r="P512" s="2">
        <v>332</v>
      </c>
      <c r="Q512" s="3">
        <v>0.5212</v>
      </c>
      <c r="R512" s="2">
        <v>290</v>
      </c>
      <c r="S512" s="2">
        <v>110</v>
      </c>
      <c r="T512" s="2">
        <v>130</v>
      </c>
      <c r="U512" s="3">
        <v>0.44829999999999998</v>
      </c>
      <c r="V512" s="2">
        <v>202</v>
      </c>
    </row>
    <row r="513" spans="1:22" x14ac:dyDescent="0.25">
      <c r="A513" t="s">
        <v>581</v>
      </c>
      <c r="B513" s="1">
        <v>45468</v>
      </c>
      <c r="C513">
        <v>816</v>
      </c>
      <c r="D513" t="s">
        <v>58</v>
      </c>
      <c r="E513" t="s">
        <v>24</v>
      </c>
      <c r="F513" t="s">
        <v>25</v>
      </c>
      <c r="G513" t="s">
        <v>33</v>
      </c>
      <c r="H513" t="s">
        <v>34</v>
      </c>
      <c r="I513" t="s">
        <v>50</v>
      </c>
      <c r="J513" t="s">
        <v>29</v>
      </c>
      <c r="K513">
        <v>593</v>
      </c>
      <c r="L513">
        <v>30</v>
      </c>
      <c r="M513" s="2">
        <v>177</v>
      </c>
      <c r="N513" s="2">
        <v>79</v>
      </c>
      <c r="O513" s="2">
        <v>63</v>
      </c>
      <c r="P513" s="2">
        <v>35</v>
      </c>
      <c r="Q513" s="3">
        <v>0.19769999999999999</v>
      </c>
      <c r="R513" s="2">
        <v>170</v>
      </c>
      <c r="S513" s="2">
        <v>70</v>
      </c>
      <c r="T513" s="2">
        <v>70</v>
      </c>
      <c r="U513" s="3">
        <v>0.4118</v>
      </c>
      <c r="V513" s="2">
        <v>-35</v>
      </c>
    </row>
    <row r="514" spans="1:22" x14ac:dyDescent="0.25">
      <c r="A514" t="s">
        <v>582</v>
      </c>
      <c r="B514" s="1">
        <v>45469</v>
      </c>
      <c r="C514">
        <v>708</v>
      </c>
      <c r="D514" t="s">
        <v>37</v>
      </c>
      <c r="E514" t="s">
        <v>24</v>
      </c>
      <c r="F514" t="s">
        <v>32</v>
      </c>
      <c r="G514" t="s">
        <v>26</v>
      </c>
      <c r="H514" t="s">
        <v>38</v>
      </c>
      <c r="I514" t="s">
        <v>39</v>
      </c>
      <c r="J514" t="s">
        <v>40</v>
      </c>
      <c r="K514">
        <v>915</v>
      </c>
      <c r="L514">
        <v>34</v>
      </c>
      <c r="M514" s="2">
        <v>322</v>
      </c>
      <c r="N514" s="2">
        <v>123</v>
      </c>
      <c r="O514" s="2">
        <v>46</v>
      </c>
      <c r="P514" s="2">
        <v>197</v>
      </c>
      <c r="Q514" s="3">
        <v>0.61180000000000001</v>
      </c>
      <c r="R514" s="2">
        <v>240</v>
      </c>
      <c r="S514" s="2">
        <v>90</v>
      </c>
      <c r="T514" s="2">
        <v>140</v>
      </c>
      <c r="U514" s="3">
        <v>0.58330000000000004</v>
      </c>
      <c r="V514" s="2">
        <v>57</v>
      </c>
    </row>
    <row r="515" spans="1:22" x14ac:dyDescent="0.25">
      <c r="A515" t="s">
        <v>583</v>
      </c>
      <c r="B515" s="1">
        <v>45469</v>
      </c>
      <c r="C515">
        <v>213</v>
      </c>
      <c r="D515" t="s">
        <v>62</v>
      </c>
      <c r="E515" t="s">
        <v>53</v>
      </c>
      <c r="F515" t="s">
        <v>32</v>
      </c>
      <c r="G515" t="s">
        <v>33</v>
      </c>
      <c r="H515" t="s">
        <v>54</v>
      </c>
      <c r="I515" t="s">
        <v>55</v>
      </c>
      <c r="J515" t="s">
        <v>40</v>
      </c>
      <c r="K515">
        <v>1691</v>
      </c>
      <c r="L515">
        <v>75</v>
      </c>
      <c r="M515" s="2">
        <v>567</v>
      </c>
      <c r="N515" s="2">
        <v>228</v>
      </c>
      <c r="O515" s="2">
        <v>107</v>
      </c>
      <c r="P515" s="2">
        <v>292</v>
      </c>
      <c r="Q515" s="3">
        <v>0.51500000000000001</v>
      </c>
      <c r="R515" s="2">
        <v>510</v>
      </c>
      <c r="S515" s="2">
        <v>220</v>
      </c>
      <c r="T515" s="2">
        <v>190</v>
      </c>
      <c r="U515" s="3">
        <v>0.3725</v>
      </c>
      <c r="V515" s="2">
        <v>102</v>
      </c>
    </row>
    <row r="516" spans="1:22" x14ac:dyDescent="0.25">
      <c r="A516" t="s">
        <v>584</v>
      </c>
      <c r="B516" s="1">
        <v>45469</v>
      </c>
      <c r="C516">
        <v>801</v>
      </c>
      <c r="D516" t="s">
        <v>95</v>
      </c>
      <c r="E516" t="s">
        <v>53</v>
      </c>
      <c r="F516" t="s">
        <v>25</v>
      </c>
      <c r="G516" t="s">
        <v>33</v>
      </c>
      <c r="H516" t="s">
        <v>54</v>
      </c>
      <c r="I516" t="s">
        <v>68</v>
      </c>
      <c r="J516" t="s">
        <v>29</v>
      </c>
      <c r="K516">
        <v>552</v>
      </c>
      <c r="L516">
        <v>33</v>
      </c>
      <c r="M516" s="2">
        <v>246</v>
      </c>
      <c r="N516" s="2">
        <v>101</v>
      </c>
      <c r="O516" s="2">
        <v>45</v>
      </c>
      <c r="P516" s="2">
        <v>126</v>
      </c>
      <c r="Q516" s="3">
        <v>0.51219999999999999</v>
      </c>
      <c r="R516" s="2">
        <v>220</v>
      </c>
      <c r="S516" s="2">
        <v>90</v>
      </c>
      <c r="T516" s="2">
        <v>90</v>
      </c>
      <c r="U516" s="3">
        <v>0.40910000000000002</v>
      </c>
      <c r="V516" s="2">
        <v>36</v>
      </c>
    </row>
    <row r="517" spans="1:22" x14ac:dyDescent="0.25">
      <c r="A517" t="s">
        <v>585</v>
      </c>
      <c r="B517" s="1">
        <v>45470</v>
      </c>
      <c r="C517">
        <v>816</v>
      </c>
      <c r="D517" t="s">
        <v>58</v>
      </c>
      <c r="E517" t="s">
        <v>24</v>
      </c>
      <c r="F517" t="s">
        <v>25</v>
      </c>
      <c r="G517" t="s">
        <v>33</v>
      </c>
      <c r="H517" t="s">
        <v>54</v>
      </c>
      <c r="I517" t="s">
        <v>55</v>
      </c>
      <c r="J517" t="s">
        <v>40</v>
      </c>
      <c r="K517">
        <v>844</v>
      </c>
      <c r="L517">
        <v>8</v>
      </c>
      <c r="M517" s="2">
        <v>82</v>
      </c>
      <c r="N517" s="2">
        <v>31</v>
      </c>
      <c r="O517" s="2">
        <v>19</v>
      </c>
      <c r="P517" s="2">
        <v>40</v>
      </c>
      <c r="Q517" s="3">
        <v>0.48780000000000001</v>
      </c>
      <c r="R517" s="2">
        <v>90</v>
      </c>
      <c r="S517" s="2">
        <v>30</v>
      </c>
      <c r="T517" s="2">
        <v>50</v>
      </c>
      <c r="U517" s="3">
        <v>0.55559999999999998</v>
      </c>
      <c r="V517" s="2">
        <v>-10</v>
      </c>
    </row>
    <row r="518" spans="1:22" x14ac:dyDescent="0.25">
      <c r="A518" t="s">
        <v>586</v>
      </c>
      <c r="B518" s="1">
        <v>45470</v>
      </c>
      <c r="C518">
        <v>262</v>
      </c>
      <c r="D518" t="s">
        <v>23</v>
      </c>
      <c r="E518" t="s">
        <v>24</v>
      </c>
      <c r="F518" t="s">
        <v>25</v>
      </c>
      <c r="G518" t="s">
        <v>26</v>
      </c>
      <c r="H518" t="s">
        <v>27</v>
      </c>
      <c r="I518" t="s">
        <v>42</v>
      </c>
      <c r="J518" t="s">
        <v>29</v>
      </c>
      <c r="K518">
        <v>606</v>
      </c>
      <c r="L518">
        <v>54</v>
      </c>
      <c r="M518" s="2">
        <v>153</v>
      </c>
      <c r="N518" s="2">
        <v>60</v>
      </c>
      <c r="O518" s="2">
        <v>84</v>
      </c>
      <c r="P518" s="2">
        <v>0</v>
      </c>
      <c r="Q518" s="3">
        <v>0</v>
      </c>
      <c r="R518" s="2">
        <v>90</v>
      </c>
      <c r="S518" s="2">
        <v>40</v>
      </c>
      <c r="T518" s="2">
        <v>0</v>
      </c>
      <c r="U518" s="3">
        <v>0</v>
      </c>
      <c r="V518" s="2">
        <v>0</v>
      </c>
    </row>
    <row r="519" spans="1:22" x14ac:dyDescent="0.25">
      <c r="A519" t="s">
        <v>587</v>
      </c>
      <c r="B519" s="1">
        <v>45470</v>
      </c>
      <c r="C519">
        <v>641</v>
      </c>
      <c r="D519" t="s">
        <v>124</v>
      </c>
      <c r="E519" t="s">
        <v>24</v>
      </c>
      <c r="F519" t="s">
        <v>25</v>
      </c>
      <c r="G519" t="s">
        <v>26</v>
      </c>
      <c r="H519" t="s">
        <v>38</v>
      </c>
      <c r="I519" t="s">
        <v>39</v>
      </c>
      <c r="J519" t="s">
        <v>40</v>
      </c>
      <c r="K519">
        <v>1744</v>
      </c>
      <c r="L519">
        <v>81</v>
      </c>
      <c r="M519" s="2">
        <v>576</v>
      </c>
      <c r="N519" s="2">
        <v>247</v>
      </c>
      <c r="O519" s="2">
        <v>113</v>
      </c>
      <c r="P519" s="2">
        <v>216</v>
      </c>
      <c r="Q519" s="3">
        <v>0.375</v>
      </c>
      <c r="R519" s="2">
        <v>530</v>
      </c>
      <c r="S519" s="2">
        <v>230</v>
      </c>
      <c r="T519" s="2">
        <v>200</v>
      </c>
      <c r="U519" s="3">
        <v>0.37740000000000001</v>
      </c>
      <c r="V519" s="2">
        <v>16</v>
      </c>
    </row>
    <row r="520" spans="1:22" x14ac:dyDescent="0.25">
      <c r="A520" t="s">
        <v>588</v>
      </c>
      <c r="B520" s="1">
        <v>45470</v>
      </c>
      <c r="C520">
        <v>515</v>
      </c>
      <c r="D520" t="s">
        <v>124</v>
      </c>
      <c r="E520" t="s">
        <v>24</v>
      </c>
      <c r="F520" t="s">
        <v>25</v>
      </c>
      <c r="G520" t="s">
        <v>26</v>
      </c>
      <c r="H520" t="s">
        <v>27</v>
      </c>
      <c r="I520" t="s">
        <v>28</v>
      </c>
      <c r="J520" t="s">
        <v>29</v>
      </c>
      <c r="K520">
        <v>1755</v>
      </c>
      <c r="L520">
        <v>66</v>
      </c>
      <c r="M520" s="2">
        <v>509</v>
      </c>
      <c r="N520" s="2">
        <v>239</v>
      </c>
      <c r="O520" s="2">
        <v>90</v>
      </c>
      <c r="P520" s="2">
        <v>221</v>
      </c>
      <c r="Q520" s="3">
        <v>0.43419999999999997</v>
      </c>
      <c r="R520" s="2">
        <v>340</v>
      </c>
      <c r="S520" s="2">
        <v>170</v>
      </c>
      <c r="T520" s="2">
        <v>110</v>
      </c>
      <c r="U520" s="3">
        <v>0.32350000000000001</v>
      </c>
      <c r="V520" s="2">
        <v>111</v>
      </c>
    </row>
    <row r="521" spans="1:22" x14ac:dyDescent="0.25">
      <c r="A521" t="s">
        <v>589</v>
      </c>
      <c r="B521" s="1">
        <v>45470</v>
      </c>
      <c r="C521">
        <v>360</v>
      </c>
      <c r="D521" t="s">
        <v>52</v>
      </c>
      <c r="E521" t="s">
        <v>53</v>
      </c>
      <c r="F521" t="s">
        <v>25</v>
      </c>
      <c r="G521" t="s">
        <v>33</v>
      </c>
      <c r="H521" t="s">
        <v>54</v>
      </c>
      <c r="I521" t="s">
        <v>55</v>
      </c>
      <c r="J521" t="s">
        <v>40</v>
      </c>
      <c r="K521">
        <v>1055</v>
      </c>
      <c r="L521">
        <v>24</v>
      </c>
      <c r="M521" s="2">
        <v>185</v>
      </c>
      <c r="N521" s="2">
        <v>80</v>
      </c>
      <c r="O521" s="2">
        <v>46</v>
      </c>
      <c r="P521" s="2">
        <v>71</v>
      </c>
      <c r="Q521" s="3">
        <v>0.38379999999999997</v>
      </c>
      <c r="R521" s="2">
        <v>150</v>
      </c>
      <c r="S521" s="2">
        <v>60</v>
      </c>
      <c r="T521" s="2">
        <v>80</v>
      </c>
      <c r="U521" s="3">
        <v>0.5333</v>
      </c>
      <c r="V521" s="2">
        <v>-9</v>
      </c>
    </row>
    <row r="522" spans="1:22" x14ac:dyDescent="0.25">
      <c r="A522" t="s">
        <v>590</v>
      </c>
      <c r="B522" s="1">
        <v>45471</v>
      </c>
      <c r="C522">
        <v>918</v>
      </c>
      <c r="D522" t="s">
        <v>148</v>
      </c>
      <c r="E522" t="s">
        <v>45</v>
      </c>
      <c r="F522" t="s">
        <v>25</v>
      </c>
      <c r="G522" t="s">
        <v>33</v>
      </c>
      <c r="H522" t="s">
        <v>34</v>
      </c>
      <c r="I522" t="s">
        <v>83</v>
      </c>
      <c r="J522" t="s">
        <v>40</v>
      </c>
      <c r="K522">
        <v>859</v>
      </c>
      <c r="L522">
        <v>7</v>
      </c>
      <c r="M522" s="2">
        <v>66</v>
      </c>
      <c r="N522" s="2">
        <v>27</v>
      </c>
      <c r="O522" s="2">
        <v>18</v>
      </c>
      <c r="P522" s="2">
        <v>21</v>
      </c>
      <c r="Q522" s="3">
        <v>0.31819999999999998</v>
      </c>
      <c r="R522" s="2">
        <v>90</v>
      </c>
      <c r="S522" s="2">
        <v>30</v>
      </c>
      <c r="T522" s="2">
        <v>60</v>
      </c>
      <c r="U522" s="3">
        <v>0.66669999999999996</v>
      </c>
      <c r="V522" s="2">
        <v>-39</v>
      </c>
    </row>
    <row r="523" spans="1:22" x14ac:dyDescent="0.25">
      <c r="A523" t="s">
        <v>591</v>
      </c>
      <c r="B523" s="1">
        <v>45471</v>
      </c>
      <c r="C523">
        <v>508</v>
      </c>
      <c r="D523" t="s">
        <v>78</v>
      </c>
      <c r="E523" t="s">
        <v>79</v>
      </c>
      <c r="F523" t="s">
        <v>32</v>
      </c>
      <c r="G523" t="s">
        <v>26</v>
      </c>
      <c r="H523" t="s">
        <v>27</v>
      </c>
      <c r="I523" t="s">
        <v>28</v>
      </c>
      <c r="J523" t="s">
        <v>29</v>
      </c>
      <c r="K523">
        <v>859</v>
      </c>
      <c r="L523">
        <v>7</v>
      </c>
      <c r="M523" s="2">
        <v>66</v>
      </c>
      <c r="N523" s="2">
        <v>27</v>
      </c>
      <c r="O523" s="2">
        <v>19</v>
      </c>
      <c r="P523" s="2">
        <v>20</v>
      </c>
      <c r="Q523" s="3">
        <v>0.30299999999999999</v>
      </c>
      <c r="R523" s="2">
        <v>70</v>
      </c>
      <c r="S523" s="2">
        <v>20</v>
      </c>
      <c r="T523" s="2">
        <v>50</v>
      </c>
      <c r="U523" s="3">
        <v>0.71430000000000005</v>
      </c>
      <c r="V523" s="2">
        <v>-30</v>
      </c>
    </row>
    <row r="524" spans="1:22" x14ac:dyDescent="0.25">
      <c r="A524" t="s">
        <v>592</v>
      </c>
      <c r="B524" s="1">
        <v>45471</v>
      </c>
      <c r="C524">
        <v>352</v>
      </c>
      <c r="D524" t="s">
        <v>117</v>
      </c>
      <c r="E524" t="s">
        <v>79</v>
      </c>
      <c r="F524" t="s">
        <v>32</v>
      </c>
      <c r="G524" t="s">
        <v>26</v>
      </c>
      <c r="H524" t="s">
        <v>27</v>
      </c>
      <c r="I524" t="s">
        <v>28</v>
      </c>
      <c r="J524" t="s">
        <v>29</v>
      </c>
      <c r="K524">
        <v>875</v>
      </c>
      <c r="L524">
        <v>7</v>
      </c>
      <c r="M524" s="2">
        <v>75</v>
      </c>
      <c r="N524" s="2">
        <v>28</v>
      </c>
      <c r="O524" s="2">
        <v>19</v>
      </c>
      <c r="P524" s="2">
        <v>34</v>
      </c>
      <c r="Q524" s="3">
        <v>0.45329999999999998</v>
      </c>
      <c r="R524" s="2">
        <v>70</v>
      </c>
      <c r="S524" s="2">
        <v>20</v>
      </c>
      <c r="T524" s="2">
        <v>40</v>
      </c>
      <c r="U524" s="3">
        <v>0.57140000000000002</v>
      </c>
      <c r="V524" s="2">
        <v>-6</v>
      </c>
    </row>
    <row r="525" spans="1:22" x14ac:dyDescent="0.25">
      <c r="A525" t="s">
        <v>593</v>
      </c>
      <c r="B525" s="1">
        <v>45471</v>
      </c>
      <c r="C525">
        <v>970</v>
      </c>
      <c r="D525" t="s">
        <v>31</v>
      </c>
      <c r="E525" t="s">
        <v>24</v>
      </c>
      <c r="F525" t="s">
        <v>32</v>
      </c>
      <c r="G525" t="s">
        <v>26</v>
      </c>
      <c r="H525" t="s">
        <v>38</v>
      </c>
      <c r="I525" t="s">
        <v>39</v>
      </c>
      <c r="J525" t="s">
        <v>40</v>
      </c>
      <c r="K525">
        <v>1283</v>
      </c>
      <c r="L525">
        <v>50</v>
      </c>
      <c r="M525" s="2">
        <v>387</v>
      </c>
      <c r="N525" s="2">
        <v>181</v>
      </c>
      <c r="O525" s="2">
        <v>75</v>
      </c>
      <c r="P525" s="2">
        <v>159</v>
      </c>
      <c r="Q525" s="3">
        <v>0.41089999999999999</v>
      </c>
      <c r="R525" s="2">
        <v>330</v>
      </c>
      <c r="S525" s="2">
        <v>170</v>
      </c>
      <c r="T525" s="2">
        <v>100</v>
      </c>
      <c r="U525" s="3">
        <v>0.30299999999999999</v>
      </c>
      <c r="V525" s="2">
        <v>59</v>
      </c>
    </row>
    <row r="526" spans="1:22" x14ac:dyDescent="0.25">
      <c r="A526" t="s">
        <v>594</v>
      </c>
      <c r="B526" s="1">
        <v>45471</v>
      </c>
      <c r="C526">
        <v>206</v>
      </c>
      <c r="D526" t="s">
        <v>52</v>
      </c>
      <c r="E526" t="s">
        <v>53</v>
      </c>
      <c r="F526" t="s">
        <v>25</v>
      </c>
      <c r="G526" t="s">
        <v>26</v>
      </c>
      <c r="H526" t="s">
        <v>38</v>
      </c>
      <c r="I526" t="s">
        <v>39</v>
      </c>
      <c r="J526" t="s">
        <v>40</v>
      </c>
      <c r="K526">
        <v>1134</v>
      </c>
      <c r="L526">
        <v>42</v>
      </c>
      <c r="M526" s="2">
        <v>346</v>
      </c>
      <c r="N526" s="2">
        <v>130</v>
      </c>
      <c r="O526" s="2">
        <v>73</v>
      </c>
      <c r="P526" s="2">
        <v>181</v>
      </c>
      <c r="Q526" s="3">
        <v>0.52310000000000001</v>
      </c>
      <c r="R526" s="2">
        <v>300</v>
      </c>
      <c r="S526" s="2">
        <v>120</v>
      </c>
      <c r="T526" s="2">
        <v>120</v>
      </c>
      <c r="U526" s="3">
        <v>0.4</v>
      </c>
      <c r="V526" s="2">
        <v>61</v>
      </c>
    </row>
    <row r="527" spans="1:22" x14ac:dyDescent="0.25">
      <c r="A527" t="s">
        <v>595</v>
      </c>
      <c r="B527" s="1">
        <v>45471</v>
      </c>
      <c r="C527">
        <v>209</v>
      </c>
      <c r="D527" t="s">
        <v>62</v>
      </c>
      <c r="E527" t="s">
        <v>53</v>
      </c>
      <c r="F527" t="s">
        <v>32</v>
      </c>
      <c r="G527" t="s">
        <v>33</v>
      </c>
      <c r="H527" t="s">
        <v>34</v>
      </c>
      <c r="I527" t="s">
        <v>35</v>
      </c>
      <c r="J527" t="s">
        <v>29</v>
      </c>
      <c r="K527">
        <v>2947</v>
      </c>
      <c r="L527">
        <v>40</v>
      </c>
      <c r="M527" s="2">
        <v>109</v>
      </c>
      <c r="N527" s="2">
        <v>127</v>
      </c>
      <c r="O527" s="2">
        <v>63</v>
      </c>
      <c r="P527" s="2">
        <v>-131</v>
      </c>
      <c r="Q527" s="3">
        <v>-1.2018</v>
      </c>
      <c r="R527" s="2">
        <v>120</v>
      </c>
      <c r="S527" s="2">
        <v>150</v>
      </c>
      <c r="T527" s="2">
        <v>-90</v>
      </c>
      <c r="U527" s="3">
        <v>-0.75</v>
      </c>
      <c r="V527" s="2">
        <v>-41</v>
      </c>
    </row>
    <row r="528" spans="1:22" x14ac:dyDescent="0.25">
      <c r="A528" t="s">
        <v>596</v>
      </c>
      <c r="B528" s="1">
        <v>45474</v>
      </c>
      <c r="C528">
        <v>971</v>
      </c>
      <c r="D528" t="s">
        <v>71</v>
      </c>
      <c r="E528" t="s">
        <v>53</v>
      </c>
      <c r="F528" t="s">
        <v>25</v>
      </c>
      <c r="G528" t="s">
        <v>26</v>
      </c>
      <c r="H528" t="s">
        <v>38</v>
      </c>
      <c r="I528" t="s">
        <v>46</v>
      </c>
      <c r="J528" t="s">
        <v>40</v>
      </c>
      <c r="K528">
        <v>561</v>
      </c>
      <c r="L528">
        <v>29</v>
      </c>
      <c r="M528" s="2">
        <v>200</v>
      </c>
      <c r="N528" s="2">
        <v>88</v>
      </c>
      <c r="O528" s="2">
        <v>42</v>
      </c>
      <c r="P528" s="2">
        <v>70</v>
      </c>
      <c r="Q528" s="3">
        <v>0.35</v>
      </c>
      <c r="R528" s="2">
        <v>180</v>
      </c>
      <c r="S528" s="2">
        <v>80</v>
      </c>
      <c r="T528" s="2">
        <v>70</v>
      </c>
      <c r="U528" s="3">
        <v>0.38890000000000002</v>
      </c>
      <c r="V528" s="2">
        <v>0</v>
      </c>
    </row>
    <row r="529" spans="1:22" x14ac:dyDescent="0.25">
      <c r="A529" t="s">
        <v>597</v>
      </c>
      <c r="B529" s="1">
        <v>45475</v>
      </c>
      <c r="C529">
        <v>702</v>
      </c>
      <c r="D529" t="s">
        <v>65</v>
      </c>
      <c r="E529" t="s">
        <v>53</v>
      </c>
      <c r="F529" t="s">
        <v>25</v>
      </c>
      <c r="G529" t="s">
        <v>33</v>
      </c>
      <c r="H529" t="s">
        <v>34</v>
      </c>
      <c r="I529" t="s">
        <v>83</v>
      </c>
      <c r="J529" t="s">
        <v>40</v>
      </c>
      <c r="K529">
        <v>1009</v>
      </c>
      <c r="L529">
        <v>9</v>
      </c>
      <c r="M529" s="2">
        <v>69</v>
      </c>
      <c r="N529" s="2">
        <v>31</v>
      </c>
      <c r="O529" s="2">
        <v>30</v>
      </c>
      <c r="P529" s="2">
        <v>8</v>
      </c>
      <c r="Q529" s="3">
        <v>0.1159</v>
      </c>
      <c r="R529" s="2">
        <v>80</v>
      </c>
      <c r="S529" s="2">
        <v>30</v>
      </c>
      <c r="T529" s="2">
        <v>30</v>
      </c>
      <c r="U529" s="3">
        <v>0.375</v>
      </c>
      <c r="V529" s="2">
        <v>-22</v>
      </c>
    </row>
    <row r="530" spans="1:22" x14ac:dyDescent="0.25">
      <c r="A530" t="s">
        <v>598</v>
      </c>
      <c r="B530" s="1">
        <v>45475</v>
      </c>
      <c r="C530">
        <v>775</v>
      </c>
      <c r="D530" t="s">
        <v>65</v>
      </c>
      <c r="E530" t="s">
        <v>53</v>
      </c>
      <c r="F530" t="s">
        <v>25</v>
      </c>
      <c r="G530" t="s">
        <v>26</v>
      </c>
      <c r="H530" t="s">
        <v>38</v>
      </c>
      <c r="I530" t="s">
        <v>39</v>
      </c>
      <c r="J530" t="s">
        <v>40</v>
      </c>
      <c r="K530">
        <v>898</v>
      </c>
      <c r="L530">
        <v>113</v>
      </c>
      <c r="M530" s="2">
        <v>298</v>
      </c>
      <c r="N530" s="2">
        <v>125</v>
      </c>
      <c r="O530" s="2">
        <v>147</v>
      </c>
      <c r="P530" s="2">
        <v>26</v>
      </c>
      <c r="Q530" s="3">
        <v>8.72E-2</v>
      </c>
      <c r="R530" s="2">
        <v>240</v>
      </c>
      <c r="S530" s="2">
        <v>90</v>
      </c>
      <c r="T530" s="2">
        <v>60</v>
      </c>
      <c r="U530" s="3">
        <v>0.25</v>
      </c>
      <c r="V530" s="2">
        <v>-34</v>
      </c>
    </row>
    <row r="531" spans="1:22" x14ac:dyDescent="0.25">
      <c r="A531" t="s">
        <v>599</v>
      </c>
      <c r="B531" s="1">
        <v>45476</v>
      </c>
      <c r="C531">
        <v>918</v>
      </c>
      <c r="D531" t="s">
        <v>148</v>
      </c>
      <c r="E531" t="s">
        <v>45</v>
      </c>
      <c r="F531" t="s">
        <v>25</v>
      </c>
      <c r="G531" t="s">
        <v>33</v>
      </c>
      <c r="H531" t="s">
        <v>34</v>
      </c>
      <c r="I531" t="s">
        <v>83</v>
      </c>
      <c r="J531" t="s">
        <v>40</v>
      </c>
      <c r="K531">
        <v>870</v>
      </c>
      <c r="L531">
        <v>9</v>
      </c>
      <c r="M531" s="2">
        <v>87</v>
      </c>
      <c r="N531" s="2">
        <v>33</v>
      </c>
      <c r="O531" s="2">
        <v>21</v>
      </c>
      <c r="P531" s="2">
        <v>42</v>
      </c>
      <c r="Q531" s="3">
        <v>0.48280000000000001</v>
      </c>
      <c r="R531" s="2">
        <v>90</v>
      </c>
      <c r="S531" s="2">
        <v>30</v>
      </c>
      <c r="T531" s="2">
        <v>50</v>
      </c>
      <c r="U531" s="3">
        <v>0.55559999999999998</v>
      </c>
      <c r="V531" s="2">
        <v>-8</v>
      </c>
    </row>
    <row r="532" spans="1:22" x14ac:dyDescent="0.25">
      <c r="A532" t="s">
        <v>600</v>
      </c>
      <c r="B532" s="1">
        <v>45476</v>
      </c>
      <c r="C532">
        <v>505</v>
      </c>
      <c r="D532" t="s">
        <v>44</v>
      </c>
      <c r="E532" t="s">
        <v>45</v>
      </c>
      <c r="F532" t="s">
        <v>25</v>
      </c>
      <c r="G532" t="s">
        <v>33</v>
      </c>
      <c r="H532" t="s">
        <v>54</v>
      </c>
      <c r="I532" t="s">
        <v>55</v>
      </c>
      <c r="J532" t="s">
        <v>40</v>
      </c>
      <c r="K532">
        <v>256</v>
      </c>
      <c r="L532">
        <v>12</v>
      </c>
      <c r="M532" s="2">
        <v>95</v>
      </c>
      <c r="N532" s="2">
        <v>38</v>
      </c>
      <c r="O532" s="2">
        <v>39</v>
      </c>
      <c r="P532" s="2">
        <v>18</v>
      </c>
      <c r="Q532" s="3">
        <v>0.1895</v>
      </c>
      <c r="R532" s="2">
        <v>60</v>
      </c>
      <c r="S532" s="2">
        <v>30</v>
      </c>
      <c r="T532" s="2">
        <v>0</v>
      </c>
      <c r="U532" s="3">
        <v>0</v>
      </c>
      <c r="V532" s="2">
        <v>18</v>
      </c>
    </row>
    <row r="533" spans="1:22" x14ac:dyDescent="0.25">
      <c r="A533" t="s">
        <v>601</v>
      </c>
      <c r="B533" s="1">
        <v>45476</v>
      </c>
      <c r="C533">
        <v>801</v>
      </c>
      <c r="D533" t="s">
        <v>95</v>
      </c>
      <c r="E533" t="s">
        <v>53</v>
      </c>
      <c r="F533" t="s">
        <v>25</v>
      </c>
      <c r="G533" t="s">
        <v>33</v>
      </c>
      <c r="H533" t="s">
        <v>54</v>
      </c>
      <c r="I533" t="s">
        <v>68</v>
      </c>
      <c r="J533" t="s">
        <v>29</v>
      </c>
      <c r="K533">
        <v>564</v>
      </c>
      <c r="L533">
        <v>33</v>
      </c>
      <c r="M533" s="2">
        <v>236</v>
      </c>
      <c r="N533" s="2">
        <v>103</v>
      </c>
      <c r="O533" s="2">
        <v>46</v>
      </c>
      <c r="P533" s="2">
        <v>87</v>
      </c>
      <c r="Q533" s="3">
        <v>0.36859999999999998</v>
      </c>
      <c r="R533" s="2">
        <v>210</v>
      </c>
      <c r="S533" s="2">
        <v>80</v>
      </c>
      <c r="T533" s="2">
        <v>110</v>
      </c>
      <c r="U533" s="3">
        <v>0.52380000000000004</v>
      </c>
      <c r="V533" s="2">
        <v>-23</v>
      </c>
    </row>
    <row r="534" spans="1:22" x14ac:dyDescent="0.25">
      <c r="A534" t="s">
        <v>602</v>
      </c>
      <c r="B534" s="1">
        <v>45477</v>
      </c>
      <c r="C534">
        <v>510</v>
      </c>
      <c r="D534" t="s">
        <v>62</v>
      </c>
      <c r="E534" t="s">
        <v>53</v>
      </c>
      <c r="F534" t="s">
        <v>32</v>
      </c>
      <c r="G534" t="s">
        <v>26</v>
      </c>
      <c r="H534" t="s">
        <v>27</v>
      </c>
      <c r="I534" t="s">
        <v>59</v>
      </c>
      <c r="J534" t="s">
        <v>29</v>
      </c>
      <c r="K534">
        <v>650</v>
      </c>
      <c r="L534">
        <v>23</v>
      </c>
      <c r="M534" s="2">
        <v>194</v>
      </c>
      <c r="N534" s="2">
        <v>72</v>
      </c>
      <c r="O534" s="2">
        <v>54</v>
      </c>
      <c r="P534" s="2">
        <v>83</v>
      </c>
      <c r="Q534" s="3">
        <v>0.42780000000000001</v>
      </c>
      <c r="R534" s="2">
        <v>80</v>
      </c>
      <c r="S534" s="2">
        <v>20</v>
      </c>
      <c r="T534" s="2">
        <v>50</v>
      </c>
      <c r="U534" s="3">
        <v>0.625</v>
      </c>
      <c r="V534" s="2">
        <v>33</v>
      </c>
    </row>
    <row r="535" spans="1:22" x14ac:dyDescent="0.25">
      <c r="A535" t="s">
        <v>603</v>
      </c>
      <c r="B535" s="1">
        <v>45477</v>
      </c>
      <c r="C535">
        <v>959</v>
      </c>
      <c r="D535" t="s">
        <v>135</v>
      </c>
      <c r="E535" t="s">
        <v>79</v>
      </c>
      <c r="F535" t="s">
        <v>25</v>
      </c>
      <c r="G535" t="s">
        <v>26</v>
      </c>
      <c r="H535" t="s">
        <v>27</v>
      </c>
      <c r="I535" t="s">
        <v>28</v>
      </c>
      <c r="J535" t="s">
        <v>29</v>
      </c>
      <c r="K535">
        <v>898</v>
      </c>
      <c r="L535">
        <v>14</v>
      </c>
      <c r="M535" s="2">
        <v>131</v>
      </c>
      <c r="N535" s="2">
        <v>50</v>
      </c>
      <c r="O535" s="2">
        <v>26</v>
      </c>
      <c r="P535" s="2">
        <v>70</v>
      </c>
      <c r="Q535" s="3">
        <v>0.53439999999999999</v>
      </c>
      <c r="R535" s="2">
        <v>120</v>
      </c>
      <c r="S535" s="2">
        <v>50</v>
      </c>
      <c r="T535" s="2">
        <v>50</v>
      </c>
      <c r="U535" s="3">
        <v>0.41670000000000001</v>
      </c>
      <c r="V535" s="2">
        <v>20</v>
      </c>
    </row>
    <row r="536" spans="1:22" x14ac:dyDescent="0.25">
      <c r="A536" t="s">
        <v>604</v>
      </c>
      <c r="B536" s="1">
        <v>45477</v>
      </c>
      <c r="C536">
        <v>419</v>
      </c>
      <c r="D536" t="s">
        <v>85</v>
      </c>
      <c r="E536" t="s">
        <v>24</v>
      </c>
      <c r="F536" t="s">
        <v>32</v>
      </c>
      <c r="G536" t="s">
        <v>33</v>
      </c>
      <c r="H536" t="s">
        <v>54</v>
      </c>
      <c r="I536" t="s">
        <v>55</v>
      </c>
      <c r="J536" t="s">
        <v>40</v>
      </c>
      <c r="K536">
        <v>410</v>
      </c>
      <c r="L536">
        <v>20</v>
      </c>
      <c r="M536" s="2">
        <v>124</v>
      </c>
      <c r="N536" s="2">
        <v>55</v>
      </c>
      <c r="O536" s="2">
        <v>53</v>
      </c>
      <c r="P536" s="2">
        <v>16</v>
      </c>
      <c r="Q536" s="3">
        <v>0.129</v>
      </c>
      <c r="R536" s="2">
        <v>150</v>
      </c>
      <c r="S536" s="2">
        <v>70</v>
      </c>
      <c r="T536" s="2">
        <v>40</v>
      </c>
      <c r="U536" s="3">
        <v>0.26669999999999999</v>
      </c>
      <c r="V536" s="2">
        <v>-24</v>
      </c>
    </row>
    <row r="537" spans="1:22" x14ac:dyDescent="0.25">
      <c r="A537" t="s">
        <v>605</v>
      </c>
      <c r="B537" s="1">
        <v>45477</v>
      </c>
      <c r="C537">
        <v>303</v>
      </c>
      <c r="D537" t="s">
        <v>31</v>
      </c>
      <c r="E537" t="s">
        <v>24</v>
      </c>
      <c r="F537" t="s">
        <v>32</v>
      </c>
      <c r="G537" t="s">
        <v>33</v>
      </c>
      <c r="H537" t="s">
        <v>54</v>
      </c>
      <c r="I537" t="s">
        <v>68</v>
      </c>
      <c r="J537" t="s">
        <v>29</v>
      </c>
      <c r="K537">
        <v>589</v>
      </c>
      <c r="L537">
        <v>14</v>
      </c>
      <c r="M537" s="2">
        <v>123</v>
      </c>
      <c r="N537" s="2">
        <v>50</v>
      </c>
      <c r="O537" s="2">
        <v>25</v>
      </c>
      <c r="P537" s="2">
        <v>48</v>
      </c>
      <c r="Q537" s="3">
        <v>0.39019999999999999</v>
      </c>
      <c r="R537" s="2">
        <v>150</v>
      </c>
      <c r="S537" s="2">
        <v>60</v>
      </c>
      <c r="T537" s="2">
        <v>70</v>
      </c>
      <c r="U537" s="3">
        <v>0.4667</v>
      </c>
      <c r="V537" s="2">
        <v>-22</v>
      </c>
    </row>
    <row r="538" spans="1:22" x14ac:dyDescent="0.25">
      <c r="A538" t="s">
        <v>606</v>
      </c>
      <c r="B538" s="1">
        <v>45477</v>
      </c>
      <c r="C538">
        <v>712</v>
      </c>
      <c r="D538" t="s">
        <v>124</v>
      </c>
      <c r="E538" t="s">
        <v>24</v>
      </c>
      <c r="F538" t="s">
        <v>25</v>
      </c>
      <c r="G538" t="s">
        <v>33</v>
      </c>
      <c r="H538" t="s">
        <v>34</v>
      </c>
      <c r="I538" t="s">
        <v>83</v>
      </c>
      <c r="J538" t="s">
        <v>40</v>
      </c>
      <c r="K538">
        <v>594</v>
      </c>
      <c r="L538">
        <v>3</v>
      </c>
      <c r="M538" s="2">
        <v>26</v>
      </c>
      <c r="N538" s="2">
        <v>10</v>
      </c>
      <c r="O538" s="2">
        <v>15</v>
      </c>
      <c r="P538" s="2">
        <v>-1</v>
      </c>
      <c r="Q538" s="3">
        <v>-3.85E-2</v>
      </c>
      <c r="R538" s="2">
        <v>20</v>
      </c>
      <c r="S538" s="2">
        <v>0</v>
      </c>
      <c r="T538" s="2">
        <v>10</v>
      </c>
      <c r="U538" s="3">
        <v>0.5</v>
      </c>
      <c r="V538" s="2">
        <v>-11</v>
      </c>
    </row>
    <row r="539" spans="1:22" x14ac:dyDescent="0.25">
      <c r="A539" t="s">
        <v>607</v>
      </c>
      <c r="B539" s="1">
        <v>45478</v>
      </c>
      <c r="C539">
        <v>970</v>
      </c>
      <c r="D539" t="s">
        <v>31</v>
      </c>
      <c r="E539" t="s">
        <v>24</v>
      </c>
      <c r="F539" t="s">
        <v>32</v>
      </c>
      <c r="G539" t="s">
        <v>33</v>
      </c>
      <c r="H539" t="s">
        <v>54</v>
      </c>
      <c r="I539" t="s">
        <v>68</v>
      </c>
      <c r="J539" t="s">
        <v>29</v>
      </c>
      <c r="K539">
        <v>580</v>
      </c>
      <c r="L539">
        <v>21</v>
      </c>
      <c r="M539" s="2">
        <v>199</v>
      </c>
      <c r="N539" s="2">
        <v>76</v>
      </c>
      <c r="O539" s="2">
        <v>32</v>
      </c>
      <c r="P539" s="2">
        <v>117</v>
      </c>
      <c r="Q539" s="3">
        <v>0.58789999999999998</v>
      </c>
      <c r="R539" s="2">
        <v>280</v>
      </c>
      <c r="S539" s="2">
        <v>100</v>
      </c>
      <c r="T539" s="2">
        <v>170</v>
      </c>
      <c r="U539" s="3">
        <v>0.60709999999999997</v>
      </c>
      <c r="V539" s="2">
        <v>-53</v>
      </c>
    </row>
    <row r="540" spans="1:22" x14ac:dyDescent="0.25">
      <c r="A540" t="s">
        <v>608</v>
      </c>
      <c r="B540" s="1">
        <v>45479</v>
      </c>
      <c r="C540">
        <v>435</v>
      </c>
      <c r="D540" t="s">
        <v>95</v>
      </c>
      <c r="E540" t="s">
        <v>53</v>
      </c>
      <c r="F540" t="s">
        <v>25</v>
      </c>
      <c r="G540" t="s">
        <v>26</v>
      </c>
      <c r="H540" t="s">
        <v>38</v>
      </c>
      <c r="I540" t="s">
        <v>46</v>
      </c>
      <c r="J540" t="s">
        <v>40</v>
      </c>
      <c r="K540">
        <v>447</v>
      </c>
      <c r="L540">
        <v>14</v>
      </c>
      <c r="M540" s="2">
        <v>121</v>
      </c>
      <c r="N540" s="2">
        <v>45</v>
      </c>
      <c r="O540" s="2">
        <v>46</v>
      </c>
      <c r="P540" s="2">
        <v>34</v>
      </c>
      <c r="Q540" s="3">
        <v>0.28100000000000003</v>
      </c>
      <c r="R540" s="2">
        <v>90</v>
      </c>
      <c r="S540" s="2">
        <v>20</v>
      </c>
      <c r="T540" s="2">
        <v>60</v>
      </c>
      <c r="U540" s="3">
        <v>0.66669999999999996</v>
      </c>
      <c r="V540" s="2">
        <v>-26</v>
      </c>
    </row>
    <row r="541" spans="1:22" x14ac:dyDescent="0.25">
      <c r="A541" t="s">
        <v>609</v>
      </c>
      <c r="B541" s="1">
        <v>45479</v>
      </c>
      <c r="C541">
        <v>319</v>
      </c>
      <c r="D541" t="s">
        <v>124</v>
      </c>
      <c r="E541" t="s">
        <v>24</v>
      </c>
      <c r="F541" t="s">
        <v>25</v>
      </c>
      <c r="G541" t="s">
        <v>33</v>
      </c>
      <c r="H541" t="s">
        <v>34</v>
      </c>
      <c r="I541" t="s">
        <v>83</v>
      </c>
      <c r="J541" t="s">
        <v>40</v>
      </c>
      <c r="K541">
        <v>596</v>
      </c>
      <c r="L541">
        <v>3</v>
      </c>
      <c r="M541" s="2">
        <v>25</v>
      </c>
      <c r="N541" s="2">
        <v>10</v>
      </c>
      <c r="O541" s="2">
        <v>16</v>
      </c>
      <c r="P541" s="2">
        <v>-4</v>
      </c>
      <c r="Q541" s="3">
        <v>-0.16</v>
      </c>
      <c r="R541" s="2">
        <v>20</v>
      </c>
      <c r="S541" s="2">
        <v>0</v>
      </c>
      <c r="T541" s="2">
        <v>10</v>
      </c>
      <c r="U541" s="3">
        <v>0.5</v>
      </c>
      <c r="V541" s="2">
        <v>-14</v>
      </c>
    </row>
    <row r="542" spans="1:22" x14ac:dyDescent="0.25">
      <c r="A542" t="s">
        <v>610</v>
      </c>
      <c r="B542" s="1">
        <v>45479</v>
      </c>
      <c r="C542">
        <v>720</v>
      </c>
      <c r="D542" t="s">
        <v>31</v>
      </c>
      <c r="E542" t="s">
        <v>24</v>
      </c>
      <c r="F542" t="s">
        <v>32</v>
      </c>
      <c r="G542" t="s">
        <v>33</v>
      </c>
      <c r="H542" t="s">
        <v>54</v>
      </c>
      <c r="I542" t="s">
        <v>55</v>
      </c>
      <c r="J542" t="s">
        <v>40</v>
      </c>
      <c r="K542">
        <v>677</v>
      </c>
      <c r="L542">
        <v>22</v>
      </c>
      <c r="M542" s="2">
        <v>179</v>
      </c>
      <c r="N542" s="2">
        <v>67</v>
      </c>
      <c r="O542" s="2">
        <v>54</v>
      </c>
      <c r="P542" s="2">
        <v>70</v>
      </c>
      <c r="Q542" s="3">
        <v>0.3911</v>
      </c>
      <c r="R542" s="2">
        <v>210</v>
      </c>
      <c r="S542" s="2">
        <v>80</v>
      </c>
      <c r="T542" s="2">
        <v>80</v>
      </c>
      <c r="U542" s="3">
        <v>0.38100000000000001</v>
      </c>
      <c r="V542" s="2">
        <v>-10</v>
      </c>
    </row>
    <row r="543" spans="1:22" x14ac:dyDescent="0.25">
      <c r="A543" t="s">
        <v>611</v>
      </c>
      <c r="B543" s="1">
        <v>45480</v>
      </c>
      <c r="C543">
        <v>773</v>
      </c>
      <c r="D543" t="s">
        <v>37</v>
      </c>
      <c r="E543" t="s">
        <v>24</v>
      </c>
      <c r="F543" t="s">
        <v>32</v>
      </c>
      <c r="G543" t="s">
        <v>26</v>
      </c>
      <c r="H543" t="s">
        <v>38</v>
      </c>
      <c r="I543" t="s">
        <v>46</v>
      </c>
      <c r="J543" t="s">
        <v>40</v>
      </c>
      <c r="K543">
        <v>531</v>
      </c>
      <c r="L543">
        <v>14</v>
      </c>
      <c r="M543" s="2">
        <v>99</v>
      </c>
      <c r="N543" s="2">
        <v>43</v>
      </c>
      <c r="O543" s="2">
        <v>27</v>
      </c>
      <c r="P543" s="2">
        <v>29</v>
      </c>
      <c r="Q543" s="3">
        <v>0.29289999999999999</v>
      </c>
      <c r="R543" s="2">
        <v>90</v>
      </c>
      <c r="S543" s="2">
        <v>40</v>
      </c>
      <c r="T543" s="2">
        <v>30</v>
      </c>
      <c r="U543" s="3">
        <v>0.33329999999999999</v>
      </c>
      <c r="V543" s="2">
        <v>-1</v>
      </c>
    </row>
    <row r="544" spans="1:22" x14ac:dyDescent="0.25">
      <c r="A544" t="s">
        <v>612</v>
      </c>
      <c r="B544" s="1">
        <v>45480</v>
      </c>
      <c r="C544">
        <v>505</v>
      </c>
      <c r="D544" t="s">
        <v>44</v>
      </c>
      <c r="E544" t="s">
        <v>45</v>
      </c>
      <c r="F544" t="s">
        <v>25</v>
      </c>
      <c r="G544" t="s">
        <v>33</v>
      </c>
      <c r="H544" t="s">
        <v>34</v>
      </c>
      <c r="I544" t="s">
        <v>50</v>
      </c>
      <c r="J544" t="s">
        <v>29</v>
      </c>
      <c r="K544">
        <v>447</v>
      </c>
      <c r="L544">
        <v>14</v>
      </c>
      <c r="M544" s="2">
        <v>114</v>
      </c>
      <c r="N544" s="2">
        <v>45</v>
      </c>
      <c r="O544" s="2">
        <v>46</v>
      </c>
      <c r="P544" s="2">
        <v>23</v>
      </c>
      <c r="Q544" s="3">
        <v>0.20180000000000001</v>
      </c>
      <c r="R544" s="2">
        <v>160</v>
      </c>
      <c r="S544" s="2">
        <v>50</v>
      </c>
      <c r="T544" s="2">
        <v>80</v>
      </c>
      <c r="U544" s="3">
        <v>0.5</v>
      </c>
      <c r="V544" s="2">
        <v>-57</v>
      </c>
    </row>
    <row r="545" spans="1:22" x14ac:dyDescent="0.25">
      <c r="A545" t="s">
        <v>613</v>
      </c>
      <c r="B545" s="1">
        <v>45480</v>
      </c>
      <c r="C545">
        <v>815</v>
      </c>
      <c r="D545" t="s">
        <v>37</v>
      </c>
      <c r="E545" t="s">
        <v>24</v>
      </c>
      <c r="F545" t="s">
        <v>32</v>
      </c>
      <c r="G545" t="s">
        <v>33</v>
      </c>
      <c r="H545" t="s">
        <v>54</v>
      </c>
      <c r="I545" t="s">
        <v>68</v>
      </c>
      <c r="J545" t="s">
        <v>29</v>
      </c>
      <c r="K545">
        <v>1662</v>
      </c>
      <c r="L545">
        <v>84</v>
      </c>
      <c r="M545" s="2">
        <v>598</v>
      </c>
      <c r="N545" s="2">
        <v>257</v>
      </c>
      <c r="O545" s="2">
        <v>117</v>
      </c>
      <c r="P545" s="2">
        <v>224</v>
      </c>
      <c r="Q545" s="3">
        <v>0.37459999999999999</v>
      </c>
      <c r="R545" s="2">
        <v>890</v>
      </c>
      <c r="S545" s="2">
        <v>370</v>
      </c>
      <c r="T545" s="2">
        <v>420</v>
      </c>
      <c r="U545" s="3">
        <v>0.47189999999999999</v>
      </c>
      <c r="V545" s="2">
        <v>-196</v>
      </c>
    </row>
    <row r="546" spans="1:22" x14ac:dyDescent="0.25">
      <c r="A546" t="s">
        <v>614</v>
      </c>
      <c r="B546" s="1">
        <v>45480</v>
      </c>
      <c r="C546">
        <v>712</v>
      </c>
      <c r="D546" t="s">
        <v>124</v>
      </c>
      <c r="E546" t="s">
        <v>24</v>
      </c>
      <c r="F546" t="s">
        <v>25</v>
      </c>
      <c r="G546" t="s">
        <v>26</v>
      </c>
      <c r="H546" t="s">
        <v>27</v>
      </c>
      <c r="I546" t="s">
        <v>28</v>
      </c>
      <c r="J546" t="s">
        <v>29</v>
      </c>
      <c r="K546">
        <v>1778</v>
      </c>
      <c r="L546">
        <v>59</v>
      </c>
      <c r="M546" s="2">
        <v>423</v>
      </c>
      <c r="N546" s="2">
        <v>211</v>
      </c>
      <c r="O546" s="2">
        <v>83</v>
      </c>
      <c r="P546" s="2">
        <v>129</v>
      </c>
      <c r="Q546" s="3">
        <v>0.30499999999999999</v>
      </c>
      <c r="R546" s="2">
        <v>350</v>
      </c>
      <c r="S546" s="2">
        <v>170</v>
      </c>
      <c r="T546" s="2">
        <v>110</v>
      </c>
      <c r="U546" s="3">
        <v>0.31430000000000002</v>
      </c>
      <c r="V546" s="2">
        <v>19</v>
      </c>
    </row>
    <row r="547" spans="1:22" x14ac:dyDescent="0.25">
      <c r="A547" t="s">
        <v>615</v>
      </c>
      <c r="B547" s="1">
        <v>45480</v>
      </c>
      <c r="C547">
        <v>435</v>
      </c>
      <c r="D547" t="s">
        <v>95</v>
      </c>
      <c r="E547" t="s">
        <v>53</v>
      </c>
      <c r="F547" t="s">
        <v>25</v>
      </c>
      <c r="G547" t="s">
        <v>33</v>
      </c>
      <c r="H547" t="s">
        <v>34</v>
      </c>
      <c r="I547" t="s">
        <v>83</v>
      </c>
      <c r="J547" t="s">
        <v>40</v>
      </c>
      <c r="K547">
        <v>593</v>
      </c>
      <c r="L547">
        <v>30</v>
      </c>
      <c r="M547" s="2">
        <v>189</v>
      </c>
      <c r="N547" s="2">
        <v>79</v>
      </c>
      <c r="O547" s="2">
        <v>64</v>
      </c>
      <c r="P547" s="2">
        <v>50</v>
      </c>
      <c r="Q547" s="3">
        <v>0.2646</v>
      </c>
      <c r="R547" s="2">
        <v>260</v>
      </c>
      <c r="S547" s="2">
        <v>100</v>
      </c>
      <c r="T547" s="2">
        <v>120</v>
      </c>
      <c r="U547" s="3">
        <v>0.46150000000000002</v>
      </c>
      <c r="V547" s="2">
        <v>-70</v>
      </c>
    </row>
    <row r="548" spans="1:22" x14ac:dyDescent="0.25">
      <c r="A548" t="s">
        <v>616</v>
      </c>
      <c r="B548" s="1">
        <v>45481</v>
      </c>
      <c r="C548">
        <v>561</v>
      </c>
      <c r="D548" t="s">
        <v>117</v>
      </c>
      <c r="E548" t="s">
        <v>79</v>
      </c>
      <c r="F548" t="s">
        <v>32</v>
      </c>
      <c r="G548" t="s">
        <v>26</v>
      </c>
      <c r="H548" t="s">
        <v>27</v>
      </c>
      <c r="I548" t="s">
        <v>28</v>
      </c>
      <c r="J548" t="s">
        <v>29</v>
      </c>
      <c r="K548">
        <v>871</v>
      </c>
      <c r="L548">
        <v>10</v>
      </c>
      <c r="M548" s="2">
        <v>100</v>
      </c>
      <c r="N548" s="2">
        <v>38</v>
      </c>
      <c r="O548" s="2">
        <v>21</v>
      </c>
      <c r="P548" s="2">
        <v>52</v>
      </c>
      <c r="Q548" s="3">
        <v>0.52</v>
      </c>
      <c r="R548" s="2">
        <v>100</v>
      </c>
      <c r="S548" s="2">
        <v>40</v>
      </c>
      <c r="T548" s="2">
        <v>50</v>
      </c>
      <c r="U548" s="3">
        <v>0.5</v>
      </c>
      <c r="V548" s="2">
        <v>2</v>
      </c>
    </row>
    <row r="549" spans="1:22" x14ac:dyDescent="0.25">
      <c r="A549" t="s">
        <v>617</v>
      </c>
      <c r="B549" s="1">
        <v>45481</v>
      </c>
      <c r="C549">
        <v>330</v>
      </c>
      <c r="D549" t="s">
        <v>85</v>
      </c>
      <c r="E549" t="s">
        <v>24</v>
      </c>
      <c r="F549" t="s">
        <v>32</v>
      </c>
      <c r="G549" t="s">
        <v>26</v>
      </c>
      <c r="H549" t="s">
        <v>38</v>
      </c>
      <c r="I549" t="s">
        <v>46</v>
      </c>
      <c r="J549" t="s">
        <v>40</v>
      </c>
      <c r="K549">
        <v>870</v>
      </c>
      <c r="L549">
        <v>9</v>
      </c>
      <c r="M549" s="2">
        <v>82</v>
      </c>
      <c r="N549" s="2">
        <v>33</v>
      </c>
      <c r="O549" s="2">
        <v>20</v>
      </c>
      <c r="P549" s="2">
        <v>29</v>
      </c>
      <c r="Q549" s="3">
        <v>0.35370000000000001</v>
      </c>
      <c r="R549" s="2">
        <v>70</v>
      </c>
      <c r="S549" s="2">
        <v>30</v>
      </c>
      <c r="T549" s="2">
        <v>30</v>
      </c>
      <c r="U549" s="3">
        <v>0.42859999999999998</v>
      </c>
      <c r="V549" s="2">
        <v>-1</v>
      </c>
    </row>
    <row r="550" spans="1:22" x14ac:dyDescent="0.25">
      <c r="A550" t="s">
        <v>618</v>
      </c>
      <c r="B550" s="1">
        <v>45481</v>
      </c>
      <c r="C550">
        <v>857</v>
      </c>
      <c r="D550" t="s">
        <v>78</v>
      </c>
      <c r="E550" t="s">
        <v>79</v>
      </c>
      <c r="F550" t="s">
        <v>32</v>
      </c>
      <c r="G550" t="s">
        <v>26</v>
      </c>
      <c r="H550" t="s">
        <v>27</v>
      </c>
      <c r="I550" t="s">
        <v>59</v>
      </c>
      <c r="J550" t="s">
        <v>29</v>
      </c>
      <c r="K550">
        <v>490</v>
      </c>
      <c r="L550">
        <v>8</v>
      </c>
      <c r="M550" s="2">
        <v>73</v>
      </c>
      <c r="N550" s="2">
        <v>29</v>
      </c>
      <c r="O550" s="2">
        <v>19</v>
      </c>
      <c r="P550" s="2">
        <v>25</v>
      </c>
      <c r="Q550" s="3">
        <v>0.34250000000000003</v>
      </c>
      <c r="R550" s="2">
        <v>70</v>
      </c>
      <c r="S550" s="2">
        <v>30</v>
      </c>
      <c r="T550" s="2">
        <v>30</v>
      </c>
      <c r="U550" s="3">
        <v>0.42859999999999998</v>
      </c>
      <c r="V550" s="2">
        <v>-5</v>
      </c>
    </row>
    <row r="551" spans="1:22" x14ac:dyDescent="0.25">
      <c r="A551" t="s">
        <v>619</v>
      </c>
      <c r="B551" s="1">
        <v>45481</v>
      </c>
      <c r="C551">
        <v>505</v>
      </c>
      <c r="D551" t="s">
        <v>44</v>
      </c>
      <c r="E551" t="s">
        <v>45</v>
      </c>
      <c r="F551" t="s">
        <v>25</v>
      </c>
      <c r="G551" t="s">
        <v>26</v>
      </c>
      <c r="H551" t="s">
        <v>38</v>
      </c>
      <c r="I551" t="s">
        <v>39</v>
      </c>
      <c r="J551" t="s">
        <v>40</v>
      </c>
      <c r="K551">
        <v>846</v>
      </c>
      <c r="L551">
        <v>5</v>
      </c>
      <c r="M551" s="2">
        <v>52</v>
      </c>
      <c r="N551" s="2">
        <v>21</v>
      </c>
      <c r="O551" s="2">
        <v>17</v>
      </c>
      <c r="P551" s="2">
        <v>14</v>
      </c>
      <c r="Q551" s="3">
        <v>0.26919999999999999</v>
      </c>
      <c r="R551" s="2">
        <v>40</v>
      </c>
      <c r="S551" s="2">
        <v>10</v>
      </c>
      <c r="T551" s="2">
        <v>30</v>
      </c>
      <c r="U551" s="3">
        <v>0.75</v>
      </c>
      <c r="V551" s="2">
        <v>-16</v>
      </c>
    </row>
    <row r="552" spans="1:22" x14ac:dyDescent="0.25">
      <c r="A552" t="s">
        <v>620</v>
      </c>
      <c r="B552" s="1">
        <v>45481</v>
      </c>
      <c r="C552">
        <v>419</v>
      </c>
      <c r="D552" t="s">
        <v>85</v>
      </c>
      <c r="E552" t="s">
        <v>24</v>
      </c>
      <c r="F552" t="s">
        <v>32</v>
      </c>
      <c r="G552" t="s">
        <v>26</v>
      </c>
      <c r="H552" t="s">
        <v>27</v>
      </c>
      <c r="I552" t="s">
        <v>28</v>
      </c>
      <c r="J552" t="s">
        <v>29</v>
      </c>
      <c r="K552">
        <v>788</v>
      </c>
      <c r="L552">
        <v>27</v>
      </c>
      <c r="M552" s="2">
        <v>218</v>
      </c>
      <c r="N552" s="2">
        <v>82</v>
      </c>
      <c r="O552" s="2">
        <v>58</v>
      </c>
      <c r="P552" s="2">
        <v>96</v>
      </c>
      <c r="Q552" s="3">
        <v>0.44040000000000001</v>
      </c>
      <c r="R552" s="2">
        <v>140</v>
      </c>
      <c r="S552" s="2">
        <v>50</v>
      </c>
      <c r="T552" s="2">
        <v>60</v>
      </c>
      <c r="U552" s="3">
        <v>0.42859999999999998</v>
      </c>
      <c r="V552" s="2">
        <v>36</v>
      </c>
    </row>
    <row r="553" spans="1:22" x14ac:dyDescent="0.25">
      <c r="A553" t="s">
        <v>621</v>
      </c>
      <c r="B553" s="1">
        <v>45481</v>
      </c>
      <c r="C553">
        <v>971</v>
      </c>
      <c r="D553" t="s">
        <v>71</v>
      </c>
      <c r="E553" t="s">
        <v>53</v>
      </c>
      <c r="F553" t="s">
        <v>25</v>
      </c>
      <c r="G553" t="s">
        <v>33</v>
      </c>
      <c r="H553" t="s">
        <v>34</v>
      </c>
      <c r="I553" t="s">
        <v>35</v>
      </c>
      <c r="J553" t="s">
        <v>29</v>
      </c>
      <c r="K553">
        <v>503</v>
      </c>
      <c r="L553">
        <v>46</v>
      </c>
      <c r="M553" s="2">
        <v>122</v>
      </c>
      <c r="N553" s="2">
        <v>51</v>
      </c>
      <c r="O553" s="2">
        <v>76</v>
      </c>
      <c r="P553" s="2">
        <v>-5</v>
      </c>
      <c r="Q553" s="3">
        <v>-4.1000000000000002E-2</v>
      </c>
      <c r="R553" s="2">
        <v>170</v>
      </c>
      <c r="S553" s="2">
        <v>70</v>
      </c>
      <c r="T553" s="2">
        <v>50</v>
      </c>
      <c r="U553" s="3">
        <v>0.29409999999999997</v>
      </c>
      <c r="V553" s="2">
        <v>-55</v>
      </c>
    </row>
    <row r="554" spans="1:22" x14ac:dyDescent="0.25">
      <c r="A554" t="s">
        <v>622</v>
      </c>
      <c r="B554" s="1">
        <v>45482</v>
      </c>
      <c r="C554">
        <v>408</v>
      </c>
      <c r="D554" t="s">
        <v>62</v>
      </c>
      <c r="E554" t="s">
        <v>53</v>
      </c>
      <c r="F554" t="s">
        <v>32</v>
      </c>
      <c r="G554" t="s">
        <v>26</v>
      </c>
      <c r="H554" t="s">
        <v>27</v>
      </c>
      <c r="I554" t="s">
        <v>42</v>
      </c>
      <c r="J554" t="s">
        <v>29</v>
      </c>
      <c r="K554">
        <v>601</v>
      </c>
      <c r="L554">
        <v>15</v>
      </c>
      <c r="M554" s="2">
        <v>142</v>
      </c>
      <c r="N554" s="2">
        <v>54</v>
      </c>
      <c r="O554" s="2">
        <v>26</v>
      </c>
      <c r="P554" s="2">
        <v>79</v>
      </c>
      <c r="Q554" s="3">
        <v>0.55630000000000002</v>
      </c>
      <c r="R554" s="2">
        <v>90</v>
      </c>
      <c r="S554" s="2">
        <v>30</v>
      </c>
      <c r="T554" s="2">
        <v>50</v>
      </c>
      <c r="U554" s="3">
        <v>0.55559999999999998</v>
      </c>
      <c r="V554" s="2">
        <v>29</v>
      </c>
    </row>
    <row r="555" spans="1:22" x14ac:dyDescent="0.25">
      <c r="A555" t="s">
        <v>623</v>
      </c>
      <c r="B555" s="1">
        <v>45482</v>
      </c>
      <c r="C555">
        <v>904</v>
      </c>
      <c r="D555" t="s">
        <v>117</v>
      </c>
      <c r="E555" t="s">
        <v>79</v>
      </c>
      <c r="F555" t="s">
        <v>32</v>
      </c>
      <c r="G555" t="s">
        <v>26</v>
      </c>
      <c r="H555" t="s">
        <v>38</v>
      </c>
      <c r="I555" t="s">
        <v>39</v>
      </c>
      <c r="J555" t="s">
        <v>40</v>
      </c>
      <c r="K555">
        <v>567</v>
      </c>
      <c r="L555">
        <v>7</v>
      </c>
      <c r="M555" s="2">
        <v>60</v>
      </c>
      <c r="N555" s="2">
        <v>24</v>
      </c>
      <c r="O555" s="2">
        <v>20</v>
      </c>
      <c r="P555" s="2">
        <v>18</v>
      </c>
      <c r="Q555" s="3">
        <v>0.3</v>
      </c>
      <c r="R555" s="2">
        <v>40</v>
      </c>
      <c r="S555" s="2">
        <v>10</v>
      </c>
      <c r="T555" s="2">
        <v>20</v>
      </c>
      <c r="U555" s="3">
        <v>0.5</v>
      </c>
      <c r="V555" s="2">
        <v>-2</v>
      </c>
    </row>
    <row r="556" spans="1:22" x14ac:dyDescent="0.25">
      <c r="A556" t="s">
        <v>624</v>
      </c>
      <c r="B556" s="1">
        <v>45482</v>
      </c>
      <c r="C556">
        <v>319</v>
      </c>
      <c r="D556" t="s">
        <v>124</v>
      </c>
      <c r="E556" t="s">
        <v>24</v>
      </c>
      <c r="F556" t="s">
        <v>25</v>
      </c>
      <c r="G556" t="s">
        <v>26</v>
      </c>
      <c r="H556" t="s">
        <v>38</v>
      </c>
      <c r="I556" t="s">
        <v>46</v>
      </c>
      <c r="J556" t="s">
        <v>40</v>
      </c>
      <c r="K556">
        <v>830</v>
      </c>
      <c r="L556">
        <v>40</v>
      </c>
      <c r="M556" s="2">
        <v>312</v>
      </c>
      <c r="N556" s="2">
        <v>127</v>
      </c>
      <c r="O556" s="2">
        <v>62</v>
      </c>
      <c r="P556" s="2">
        <v>123</v>
      </c>
      <c r="Q556" s="3">
        <v>0.39419999999999999</v>
      </c>
      <c r="R556" s="2">
        <v>290</v>
      </c>
      <c r="S556" s="2">
        <v>120</v>
      </c>
      <c r="T556" s="2">
        <v>120</v>
      </c>
      <c r="U556" s="3">
        <v>0.4138</v>
      </c>
      <c r="V556" s="2">
        <v>3</v>
      </c>
    </row>
    <row r="557" spans="1:22" x14ac:dyDescent="0.25">
      <c r="A557" t="s">
        <v>625</v>
      </c>
      <c r="B557" s="1">
        <v>45483</v>
      </c>
      <c r="C557">
        <v>985</v>
      </c>
      <c r="D557" t="s">
        <v>49</v>
      </c>
      <c r="E557" t="s">
        <v>45</v>
      </c>
      <c r="F557" t="s">
        <v>25</v>
      </c>
      <c r="G557" t="s">
        <v>33</v>
      </c>
      <c r="H557" t="s">
        <v>54</v>
      </c>
      <c r="I557" t="s">
        <v>68</v>
      </c>
      <c r="J557" t="s">
        <v>29</v>
      </c>
      <c r="K557">
        <v>329</v>
      </c>
      <c r="L557">
        <v>18</v>
      </c>
      <c r="M557" s="2">
        <v>159</v>
      </c>
      <c r="N557" s="2">
        <v>60</v>
      </c>
      <c r="O557" s="2">
        <v>41</v>
      </c>
      <c r="P557" s="2">
        <v>58</v>
      </c>
      <c r="Q557" s="3">
        <v>0.36480000000000001</v>
      </c>
      <c r="R557" s="2">
        <v>100</v>
      </c>
      <c r="S557" s="2">
        <v>30</v>
      </c>
      <c r="T557" s="2">
        <v>70</v>
      </c>
      <c r="U557" s="3">
        <v>0.7</v>
      </c>
      <c r="V557" s="2">
        <v>-12</v>
      </c>
    </row>
    <row r="558" spans="1:22" x14ac:dyDescent="0.25">
      <c r="A558" t="s">
        <v>626</v>
      </c>
      <c r="B558" s="1">
        <v>45483</v>
      </c>
      <c r="C558">
        <v>505</v>
      </c>
      <c r="D558" t="s">
        <v>44</v>
      </c>
      <c r="E558" t="s">
        <v>45</v>
      </c>
      <c r="F558" t="s">
        <v>25</v>
      </c>
      <c r="G558" t="s">
        <v>33</v>
      </c>
      <c r="H558" t="s">
        <v>34</v>
      </c>
      <c r="I558" t="s">
        <v>83</v>
      </c>
      <c r="J558" t="s">
        <v>40</v>
      </c>
      <c r="K558">
        <v>1898</v>
      </c>
      <c r="L558">
        <v>28</v>
      </c>
      <c r="M558" s="2">
        <v>171</v>
      </c>
      <c r="N558" s="2">
        <v>92</v>
      </c>
      <c r="O558" s="2">
        <v>52</v>
      </c>
      <c r="P558" s="2">
        <v>24</v>
      </c>
      <c r="Q558" s="3">
        <v>0.1404</v>
      </c>
      <c r="R558" s="2">
        <v>190</v>
      </c>
      <c r="S558" s="2">
        <v>100</v>
      </c>
      <c r="T558" s="2">
        <v>40</v>
      </c>
      <c r="U558" s="3">
        <v>0.21049999999999999</v>
      </c>
      <c r="V558" s="2">
        <v>-16</v>
      </c>
    </row>
    <row r="559" spans="1:22" x14ac:dyDescent="0.25">
      <c r="A559" t="s">
        <v>627</v>
      </c>
      <c r="B559" s="1">
        <v>45483</v>
      </c>
      <c r="C559">
        <v>614</v>
      </c>
      <c r="D559" t="s">
        <v>85</v>
      </c>
      <c r="E559" t="s">
        <v>24</v>
      </c>
      <c r="F559" t="s">
        <v>32</v>
      </c>
      <c r="G559" t="s">
        <v>33</v>
      </c>
      <c r="H559" t="s">
        <v>54</v>
      </c>
      <c r="I559" t="s">
        <v>55</v>
      </c>
      <c r="J559" t="s">
        <v>40</v>
      </c>
      <c r="K559">
        <v>404</v>
      </c>
      <c r="L559">
        <v>20</v>
      </c>
      <c r="M559" s="2">
        <v>120</v>
      </c>
      <c r="N559" s="2">
        <v>54</v>
      </c>
      <c r="O559" s="2">
        <v>54</v>
      </c>
      <c r="P559" s="2">
        <v>12</v>
      </c>
      <c r="Q559" s="3">
        <v>0.1</v>
      </c>
      <c r="R559" s="2">
        <v>170</v>
      </c>
      <c r="S559" s="2">
        <v>70</v>
      </c>
      <c r="T559" s="2">
        <v>70</v>
      </c>
      <c r="U559" s="3">
        <v>0.4118</v>
      </c>
      <c r="V559" s="2">
        <v>-58</v>
      </c>
    </row>
    <row r="560" spans="1:22" x14ac:dyDescent="0.25">
      <c r="A560" t="s">
        <v>628</v>
      </c>
      <c r="B560" s="1">
        <v>45484</v>
      </c>
      <c r="C560">
        <v>603</v>
      </c>
      <c r="D560" t="s">
        <v>109</v>
      </c>
      <c r="E560" t="s">
        <v>79</v>
      </c>
      <c r="F560" t="s">
        <v>25</v>
      </c>
      <c r="G560" t="s">
        <v>33</v>
      </c>
      <c r="H560" t="s">
        <v>54</v>
      </c>
      <c r="I560" t="s">
        <v>101</v>
      </c>
      <c r="J560" t="s">
        <v>29</v>
      </c>
      <c r="K560">
        <v>218</v>
      </c>
      <c r="L560">
        <v>7</v>
      </c>
      <c r="M560" s="2">
        <v>45</v>
      </c>
      <c r="N560" s="2">
        <v>20</v>
      </c>
      <c r="O560" s="2">
        <v>41</v>
      </c>
      <c r="P560" s="2">
        <v>-16</v>
      </c>
      <c r="Q560" s="3">
        <v>-0.35560000000000003</v>
      </c>
      <c r="R560" s="2">
        <v>40</v>
      </c>
      <c r="S560" s="2">
        <v>10</v>
      </c>
      <c r="T560" s="2">
        <v>0</v>
      </c>
      <c r="U560" s="3">
        <v>0</v>
      </c>
      <c r="V560" s="2">
        <v>-16</v>
      </c>
    </row>
    <row r="561" spans="1:22" x14ac:dyDescent="0.25">
      <c r="A561" t="s">
        <v>629</v>
      </c>
      <c r="B561" s="1">
        <v>45486</v>
      </c>
      <c r="C561">
        <v>314</v>
      </c>
      <c r="D561" t="s">
        <v>58</v>
      </c>
      <c r="E561" t="s">
        <v>24</v>
      </c>
      <c r="F561" t="s">
        <v>25</v>
      </c>
      <c r="G561" t="s">
        <v>26</v>
      </c>
      <c r="H561" t="s">
        <v>27</v>
      </c>
      <c r="I561" t="s">
        <v>28</v>
      </c>
      <c r="J561" t="s">
        <v>29</v>
      </c>
      <c r="K561">
        <v>244</v>
      </c>
      <c r="L561">
        <v>12</v>
      </c>
      <c r="M561" s="2">
        <v>98</v>
      </c>
      <c r="N561" s="2">
        <v>39</v>
      </c>
      <c r="O561" s="2">
        <v>40</v>
      </c>
      <c r="P561" s="2">
        <v>19</v>
      </c>
      <c r="Q561" s="3">
        <v>0.19389999999999999</v>
      </c>
      <c r="R561" s="2">
        <v>60</v>
      </c>
      <c r="S561" s="2">
        <v>20</v>
      </c>
      <c r="T561" s="2">
        <v>30</v>
      </c>
      <c r="U561" s="3">
        <v>0.5</v>
      </c>
      <c r="V561" s="2">
        <v>-11</v>
      </c>
    </row>
    <row r="562" spans="1:22" x14ac:dyDescent="0.25">
      <c r="A562" t="s">
        <v>630</v>
      </c>
      <c r="B562" s="1">
        <v>45486</v>
      </c>
      <c r="C562">
        <v>312</v>
      </c>
      <c r="D562" t="s">
        <v>37</v>
      </c>
      <c r="E562" t="s">
        <v>24</v>
      </c>
      <c r="F562" t="s">
        <v>32</v>
      </c>
      <c r="G562" t="s">
        <v>33</v>
      </c>
      <c r="H562" t="s">
        <v>34</v>
      </c>
      <c r="I562" t="s">
        <v>83</v>
      </c>
      <c r="J562" t="s">
        <v>40</v>
      </c>
      <c r="K562">
        <v>830</v>
      </c>
      <c r="L562">
        <v>40</v>
      </c>
      <c r="M562" s="2">
        <v>332</v>
      </c>
      <c r="N562" s="2">
        <v>127</v>
      </c>
      <c r="O562" s="2">
        <v>63</v>
      </c>
      <c r="P562" s="2">
        <v>181</v>
      </c>
      <c r="Q562" s="3">
        <v>0.54520000000000002</v>
      </c>
      <c r="R562" s="2">
        <v>300</v>
      </c>
      <c r="S562" s="2">
        <v>120</v>
      </c>
      <c r="T562" s="2">
        <v>130</v>
      </c>
      <c r="U562" s="3">
        <v>0.43330000000000002</v>
      </c>
      <c r="V562" s="2">
        <v>51</v>
      </c>
    </row>
    <row r="563" spans="1:22" x14ac:dyDescent="0.25">
      <c r="A563" t="s">
        <v>631</v>
      </c>
      <c r="B563" s="1">
        <v>45486</v>
      </c>
      <c r="C563">
        <v>312</v>
      </c>
      <c r="D563" t="s">
        <v>37</v>
      </c>
      <c r="E563" t="s">
        <v>24</v>
      </c>
      <c r="F563" t="s">
        <v>32</v>
      </c>
      <c r="G563" t="s">
        <v>33</v>
      </c>
      <c r="H563" t="s">
        <v>34</v>
      </c>
      <c r="I563" t="s">
        <v>50</v>
      </c>
      <c r="J563" t="s">
        <v>29</v>
      </c>
      <c r="K563">
        <v>1191</v>
      </c>
      <c r="L563">
        <v>73</v>
      </c>
      <c r="M563" s="2">
        <v>569</v>
      </c>
      <c r="N563" s="2">
        <v>224</v>
      </c>
      <c r="O563" s="2">
        <v>116</v>
      </c>
      <c r="P563" s="2">
        <v>288</v>
      </c>
      <c r="Q563" s="3">
        <v>0.50619999999999998</v>
      </c>
      <c r="R563" s="2">
        <v>520</v>
      </c>
      <c r="S563" s="2">
        <v>220</v>
      </c>
      <c r="T563" s="2">
        <v>190</v>
      </c>
      <c r="U563" s="3">
        <v>0.3654</v>
      </c>
      <c r="V563" s="2">
        <v>98</v>
      </c>
    </row>
    <row r="564" spans="1:22" x14ac:dyDescent="0.25">
      <c r="A564" t="s">
        <v>632</v>
      </c>
      <c r="B564" s="1">
        <v>45487</v>
      </c>
      <c r="C564">
        <v>505</v>
      </c>
      <c r="D564" t="s">
        <v>44</v>
      </c>
      <c r="E564" t="s">
        <v>45</v>
      </c>
      <c r="F564" t="s">
        <v>25</v>
      </c>
      <c r="G564" t="s">
        <v>26</v>
      </c>
      <c r="H564" t="s">
        <v>38</v>
      </c>
      <c r="I564" t="s">
        <v>46</v>
      </c>
      <c r="J564" t="s">
        <v>40</v>
      </c>
      <c r="K564">
        <v>1009</v>
      </c>
      <c r="L564">
        <v>9</v>
      </c>
      <c r="M564" s="2">
        <v>69</v>
      </c>
      <c r="N564" s="2">
        <v>31</v>
      </c>
      <c r="O564" s="2">
        <v>31</v>
      </c>
      <c r="P564" s="2">
        <v>7</v>
      </c>
      <c r="Q564" s="3">
        <v>0.1014</v>
      </c>
      <c r="R564" s="2">
        <v>60</v>
      </c>
      <c r="S564" s="2">
        <v>20</v>
      </c>
      <c r="T564" s="2">
        <v>20</v>
      </c>
      <c r="U564" s="3">
        <v>0.33329999999999999</v>
      </c>
      <c r="V564" s="2">
        <v>-13</v>
      </c>
    </row>
    <row r="565" spans="1:22" x14ac:dyDescent="0.25">
      <c r="A565" t="s">
        <v>633</v>
      </c>
      <c r="B565" s="1">
        <v>45487</v>
      </c>
      <c r="C565">
        <v>435</v>
      </c>
      <c r="D565" t="s">
        <v>95</v>
      </c>
      <c r="E565" t="s">
        <v>53</v>
      </c>
      <c r="F565" t="s">
        <v>25</v>
      </c>
      <c r="G565" t="s">
        <v>26</v>
      </c>
      <c r="H565" t="s">
        <v>27</v>
      </c>
      <c r="I565" t="s">
        <v>28</v>
      </c>
      <c r="J565" t="s">
        <v>29</v>
      </c>
      <c r="K565">
        <v>320</v>
      </c>
      <c r="L565">
        <v>41</v>
      </c>
      <c r="M565" s="2">
        <v>116</v>
      </c>
      <c r="N565" s="2">
        <v>45</v>
      </c>
      <c r="O565" s="2">
        <v>70</v>
      </c>
      <c r="P565" s="2">
        <v>-9</v>
      </c>
      <c r="Q565" s="3">
        <v>-7.7600000000000002E-2</v>
      </c>
      <c r="R565" s="2">
        <v>50</v>
      </c>
      <c r="S565" s="2">
        <v>10</v>
      </c>
      <c r="T565" s="2">
        <v>20</v>
      </c>
      <c r="U565" s="3">
        <v>0.4</v>
      </c>
      <c r="V565" s="2">
        <v>-29</v>
      </c>
    </row>
    <row r="566" spans="1:22" x14ac:dyDescent="0.25">
      <c r="A566" t="s">
        <v>634</v>
      </c>
      <c r="B566" s="1">
        <v>45487</v>
      </c>
      <c r="C566">
        <v>440</v>
      </c>
      <c r="D566" t="s">
        <v>85</v>
      </c>
      <c r="E566" t="s">
        <v>24</v>
      </c>
      <c r="F566" t="s">
        <v>32</v>
      </c>
      <c r="G566" t="s">
        <v>26</v>
      </c>
      <c r="H566" t="s">
        <v>38</v>
      </c>
      <c r="I566" t="s">
        <v>46</v>
      </c>
      <c r="J566" t="s">
        <v>40</v>
      </c>
      <c r="K566">
        <v>870</v>
      </c>
      <c r="L566">
        <v>9</v>
      </c>
      <c r="M566" s="2">
        <v>87</v>
      </c>
      <c r="N566" s="2">
        <v>33</v>
      </c>
      <c r="O566" s="2">
        <v>20</v>
      </c>
      <c r="P566" s="2">
        <v>43</v>
      </c>
      <c r="Q566" s="3">
        <v>0.49430000000000002</v>
      </c>
      <c r="R566" s="2">
        <v>70</v>
      </c>
      <c r="S566" s="2">
        <v>30</v>
      </c>
      <c r="T566" s="2">
        <v>30</v>
      </c>
      <c r="U566" s="3">
        <v>0.42859999999999998</v>
      </c>
      <c r="V566" s="2">
        <v>13</v>
      </c>
    </row>
    <row r="567" spans="1:22" x14ac:dyDescent="0.25">
      <c r="A567" t="s">
        <v>635</v>
      </c>
      <c r="B567" s="1">
        <v>45487</v>
      </c>
      <c r="C567">
        <v>561</v>
      </c>
      <c r="D567" t="s">
        <v>117</v>
      </c>
      <c r="E567" t="s">
        <v>79</v>
      </c>
      <c r="F567" t="s">
        <v>32</v>
      </c>
      <c r="G567" t="s">
        <v>33</v>
      </c>
      <c r="H567" t="s">
        <v>34</v>
      </c>
      <c r="I567" t="s">
        <v>83</v>
      </c>
      <c r="J567" t="s">
        <v>40</v>
      </c>
      <c r="K567">
        <v>656</v>
      </c>
      <c r="L567">
        <v>28</v>
      </c>
      <c r="M567" s="2">
        <v>218</v>
      </c>
      <c r="N567" s="2">
        <v>91</v>
      </c>
      <c r="O567" s="2">
        <v>51</v>
      </c>
      <c r="P567" s="2">
        <v>76</v>
      </c>
      <c r="Q567" s="3">
        <v>0.34860000000000002</v>
      </c>
      <c r="R567" s="2">
        <v>180</v>
      </c>
      <c r="S567" s="2">
        <v>70</v>
      </c>
      <c r="T567" s="2">
        <v>90</v>
      </c>
      <c r="U567" s="3">
        <v>0.5</v>
      </c>
      <c r="V567" s="2">
        <v>-14</v>
      </c>
    </row>
    <row r="568" spans="1:22" x14ac:dyDescent="0.25">
      <c r="A568" t="s">
        <v>636</v>
      </c>
      <c r="B568" s="1">
        <v>45488</v>
      </c>
      <c r="C568">
        <v>435</v>
      </c>
      <c r="D568" t="s">
        <v>95</v>
      </c>
      <c r="E568" t="s">
        <v>53</v>
      </c>
      <c r="F568" t="s">
        <v>25</v>
      </c>
      <c r="G568" t="s">
        <v>33</v>
      </c>
      <c r="H568" t="s">
        <v>54</v>
      </c>
      <c r="I568" t="s">
        <v>55</v>
      </c>
      <c r="J568" t="s">
        <v>40</v>
      </c>
      <c r="K568">
        <v>881</v>
      </c>
      <c r="L568">
        <v>11</v>
      </c>
      <c r="M568" s="2">
        <v>106</v>
      </c>
      <c r="N568" s="2">
        <v>40</v>
      </c>
      <c r="O568" s="2">
        <v>22</v>
      </c>
      <c r="P568" s="2">
        <v>55</v>
      </c>
      <c r="Q568" s="3">
        <v>0.51890000000000003</v>
      </c>
      <c r="R568" s="2">
        <v>80</v>
      </c>
      <c r="S568" s="2">
        <v>20</v>
      </c>
      <c r="T568" s="2">
        <v>60</v>
      </c>
      <c r="U568" s="3">
        <v>0.75</v>
      </c>
      <c r="V568" s="2">
        <v>-5</v>
      </c>
    </row>
    <row r="569" spans="1:22" x14ac:dyDescent="0.25">
      <c r="A569" t="s">
        <v>637</v>
      </c>
      <c r="B569" s="1">
        <v>45488</v>
      </c>
      <c r="C569">
        <v>541</v>
      </c>
      <c r="D569" t="s">
        <v>71</v>
      </c>
      <c r="E569" t="s">
        <v>53</v>
      </c>
      <c r="F569" t="s">
        <v>25</v>
      </c>
      <c r="G569" t="s">
        <v>26</v>
      </c>
      <c r="H569" t="s">
        <v>27</v>
      </c>
      <c r="I569" t="s">
        <v>59</v>
      </c>
      <c r="J569" t="s">
        <v>29</v>
      </c>
      <c r="K569">
        <v>656</v>
      </c>
      <c r="L569">
        <v>28</v>
      </c>
      <c r="M569" s="2">
        <v>232</v>
      </c>
      <c r="N569" s="2">
        <v>91</v>
      </c>
      <c r="O569" s="2">
        <v>51</v>
      </c>
      <c r="P569" s="2">
        <v>113</v>
      </c>
      <c r="Q569" s="3">
        <v>0.48709999999999998</v>
      </c>
      <c r="R569" s="2">
        <v>100</v>
      </c>
      <c r="S569" s="2">
        <v>40</v>
      </c>
      <c r="T569" s="2">
        <v>50</v>
      </c>
      <c r="U569" s="3">
        <v>0.5</v>
      </c>
      <c r="V569" s="2">
        <v>63</v>
      </c>
    </row>
    <row r="570" spans="1:22" x14ac:dyDescent="0.25">
      <c r="A570" t="s">
        <v>638</v>
      </c>
      <c r="B570" s="1">
        <v>45488</v>
      </c>
      <c r="C570">
        <v>225</v>
      </c>
      <c r="D570" t="s">
        <v>49</v>
      </c>
      <c r="E570" t="s">
        <v>45</v>
      </c>
      <c r="F570" t="s">
        <v>25</v>
      </c>
      <c r="G570" t="s">
        <v>33</v>
      </c>
      <c r="H570" t="s">
        <v>34</v>
      </c>
      <c r="I570" t="s">
        <v>50</v>
      </c>
      <c r="J570" t="s">
        <v>29</v>
      </c>
      <c r="K570">
        <v>829</v>
      </c>
      <c r="L570">
        <v>13</v>
      </c>
      <c r="M570" s="2">
        <v>119</v>
      </c>
      <c r="N570" s="2">
        <v>48</v>
      </c>
      <c r="O570" s="2">
        <v>24</v>
      </c>
      <c r="P570" s="2">
        <v>47</v>
      </c>
      <c r="Q570" s="3">
        <v>0.39500000000000002</v>
      </c>
      <c r="R570" s="2">
        <v>160</v>
      </c>
      <c r="S570" s="2">
        <v>70</v>
      </c>
      <c r="T570" s="2">
        <v>80</v>
      </c>
      <c r="U570" s="3">
        <v>0.5</v>
      </c>
      <c r="V570" s="2">
        <v>-33</v>
      </c>
    </row>
    <row r="571" spans="1:22" x14ac:dyDescent="0.25">
      <c r="A571" t="s">
        <v>639</v>
      </c>
      <c r="B571" s="1">
        <v>45488</v>
      </c>
      <c r="C571">
        <v>775</v>
      </c>
      <c r="D571" t="s">
        <v>65</v>
      </c>
      <c r="E571" t="s">
        <v>53</v>
      </c>
      <c r="F571" t="s">
        <v>25</v>
      </c>
      <c r="G571" t="s">
        <v>26</v>
      </c>
      <c r="H571" t="s">
        <v>38</v>
      </c>
      <c r="I571" t="s">
        <v>39</v>
      </c>
      <c r="J571" t="s">
        <v>40</v>
      </c>
      <c r="K571">
        <v>912</v>
      </c>
      <c r="L571">
        <v>109</v>
      </c>
      <c r="M571" s="2">
        <v>289</v>
      </c>
      <c r="N571" s="2">
        <v>121</v>
      </c>
      <c r="O571" s="2">
        <v>142</v>
      </c>
      <c r="P571" s="2">
        <v>26</v>
      </c>
      <c r="Q571" s="3">
        <v>0.09</v>
      </c>
      <c r="R571" s="2">
        <v>260</v>
      </c>
      <c r="S571" s="2">
        <v>110</v>
      </c>
      <c r="T571" s="2">
        <v>20</v>
      </c>
      <c r="U571" s="3">
        <v>7.6899999999999996E-2</v>
      </c>
      <c r="V571" s="2">
        <v>6</v>
      </c>
    </row>
    <row r="572" spans="1:22" x14ac:dyDescent="0.25">
      <c r="A572" t="s">
        <v>640</v>
      </c>
      <c r="B572" s="1">
        <v>45489</v>
      </c>
      <c r="C572">
        <v>707</v>
      </c>
      <c r="D572" t="s">
        <v>62</v>
      </c>
      <c r="E572" t="s">
        <v>53</v>
      </c>
      <c r="F572" t="s">
        <v>32</v>
      </c>
      <c r="G572" t="s">
        <v>26</v>
      </c>
      <c r="H572" t="s">
        <v>38</v>
      </c>
      <c r="I572" t="s">
        <v>66</v>
      </c>
      <c r="J572" t="s">
        <v>40</v>
      </c>
      <c r="K572">
        <v>536</v>
      </c>
      <c r="L572">
        <v>13</v>
      </c>
      <c r="M572" s="2">
        <v>92</v>
      </c>
      <c r="N572" s="2">
        <v>40</v>
      </c>
      <c r="O572" s="2">
        <v>25</v>
      </c>
      <c r="P572" s="2">
        <v>27</v>
      </c>
      <c r="Q572" s="3">
        <v>0.29349999999999998</v>
      </c>
      <c r="R572" s="2">
        <v>80</v>
      </c>
      <c r="S572" s="2">
        <v>30</v>
      </c>
      <c r="T572" s="2">
        <v>30</v>
      </c>
      <c r="U572" s="3">
        <v>0.375</v>
      </c>
      <c r="V572" s="2">
        <v>-3</v>
      </c>
    </row>
    <row r="573" spans="1:22" x14ac:dyDescent="0.25">
      <c r="A573" t="s">
        <v>641</v>
      </c>
      <c r="B573" s="1">
        <v>45489</v>
      </c>
      <c r="C573">
        <v>435</v>
      </c>
      <c r="D573" t="s">
        <v>95</v>
      </c>
      <c r="E573" t="s">
        <v>53</v>
      </c>
      <c r="F573" t="s">
        <v>25</v>
      </c>
      <c r="G573" t="s">
        <v>26</v>
      </c>
      <c r="H573" t="s">
        <v>38</v>
      </c>
      <c r="I573" t="s">
        <v>46</v>
      </c>
      <c r="J573" t="s">
        <v>40</v>
      </c>
      <c r="K573">
        <v>447</v>
      </c>
      <c r="L573">
        <v>14</v>
      </c>
      <c r="M573" s="2">
        <v>114</v>
      </c>
      <c r="N573" s="2">
        <v>45</v>
      </c>
      <c r="O573" s="2">
        <v>46</v>
      </c>
      <c r="P573" s="2">
        <v>23</v>
      </c>
      <c r="Q573" s="3">
        <v>0.20180000000000001</v>
      </c>
      <c r="R573" s="2">
        <v>90</v>
      </c>
      <c r="S573" s="2">
        <v>20</v>
      </c>
      <c r="T573" s="2">
        <v>60</v>
      </c>
      <c r="U573" s="3">
        <v>0.66669999999999996</v>
      </c>
      <c r="V573" s="2">
        <v>-37</v>
      </c>
    </row>
    <row r="574" spans="1:22" x14ac:dyDescent="0.25">
      <c r="A574" t="s">
        <v>642</v>
      </c>
      <c r="B574" s="1">
        <v>45489</v>
      </c>
      <c r="C574">
        <v>503</v>
      </c>
      <c r="D574" t="s">
        <v>71</v>
      </c>
      <c r="E574" t="s">
        <v>53</v>
      </c>
      <c r="F574" t="s">
        <v>25</v>
      </c>
      <c r="G574" t="s">
        <v>33</v>
      </c>
      <c r="H574" t="s">
        <v>34</v>
      </c>
      <c r="I574" t="s">
        <v>50</v>
      </c>
      <c r="J574" t="s">
        <v>29</v>
      </c>
      <c r="K574">
        <v>482</v>
      </c>
      <c r="L574">
        <v>13</v>
      </c>
      <c r="M574" s="2">
        <v>98</v>
      </c>
      <c r="N574" s="2">
        <v>41</v>
      </c>
      <c r="O574" s="2">
        <v>56</v>
      </c>
      <c r="P574" s="2">
        <v>1</v>
      </c>
      <c r="Q574" s="3">
        <v>1.0200000000000001E-2</v>
      </c>
      <c r="R574" s="2">
        <v>110</v>
      </c>
      <c r="S574" s="2">
        <v>40</v>
      </c>
      <c r="T574" s="2">
        <v>20</v>
      </c>
      <c r="U574" s="3">
        <v>0.18179999999999999</v>
      </c>
      <c r="V574" s="2">
        <v>-19</v>
      </c>
    </row>
    <row r="575" spans="1:22" x14ac:dyDescent="0.25">
      <c r="A575" t="s">
        <v>643</v>
      </c>
      <c r="B575" s="1">
        <v>45489</v>
      </c>
      <c r="C575">
        <v>505</v>
      </c>
      <c r="D575" t="s">
        <v>44</v>
      </c>
      <c r="E575" t="s">
        <v>45</v>
      </c>
      <c r="F575" t="s">
        <v>25</v>
      </c>
      <c r="G575" t="s">
        <v>33</v>
      </c>
      <c r="H575" t="s">
        <v>54</v>
      </c>
      <c r="I575" t="s">
        <v>55</v>
      </c>
      <c r="J575" t="s">
        <v>40</v>
      </c>
      <c r="K575">
        <v>256</v>
      </c>
      <c r="L575">
        <v>12</v>
      </c>
      <c r="M575" s="2">
        <v>89</v>
      </c>
      <c r="N575" s="2">
        <v>38</v>
      </c>
      <c r="O575" s="2">
        <v>39</v>
      </c>
      <c r="P575" s="2">
        <v>12</v>
      </c>
      <c r="Q575" s="3">
        <v>0.1348</v>
      </c>
      <c r="R575" s="2">
        <v>60</v>
      </c>
      <c r="S575" s="2">
        <v>30</v>
      </c>
      <c r="T575" s="2">
        <v>0</v>
      </c>
      <c r="U575" s="3">
        <v>0</v>
      </c>
      <c r="V575" s="2">
        <v>12</v>
      </c>
    </row>
    <row r="576" spans="1:22" x14ac:dyDescent="0.25">
      <c r="A576" t="s">
        <v>644</v>
      </c>
      <c r="B576" s="1">
        <v>45490</v>
      </c>
      <c r="C576">
        <v>504</v>
      </c>
      <c r="D576" t="s">
        <v>49</v>
      </c>
      <c r="E576" t="s">
        <v>45</v>
      </c>
      <c r="F576" t="s">
        <v>25</v>
      </c>
      <c r="G576" t="s">
        <v>33</v>
      </c>
      <c r="H576" t="s">
        <v>34</v>
      </c>
      <c r="I576" t="s">
        <v>83</v>
      </c>
      <c r="J576" t="s">
        <v>40</v>
      </c>
      <c r="K576">
        <v>856</v>
      </c>
      <c r="L576">
        <v>8</v>
      </c>
      <c r="M576" s="2">
        <v>83</v>
      </c>
      <c r="N576" s="2">
        <v>31</v>
      </c>
      <c r="O576" s="2">
        <v>19</v>
      </c>
      <c r="P576" s="2">
        <v>42</v>
      </c>
      <c r="Q576" s="3">
        <v>0.50600000000000001</v>
      </c>
      <c r="R576" s="2">
        <v>90</v>
      </c>
      <c r="S576" s="2">
        <v>30</v>
      </c>
      <c r="T576" s="2">
        <v>50</v>
      </c>
      <c r="U576" s="3">
        <v>0.55559999999999998</v>
      </c>
      <c r="V576" s="2">
        <v>-8</v>
      </c>
    </row>
    <row r="577" spans="1:22" x14ac:dyDescent="0.25">
      <c r="A577" t="s">
        <v>645</v>
      </c>
      <c r="B577" s="1">
        <v>45491</v>
      </c>
      <c r="C577">
        <v>503</v>
      </c>
      <c r="D577" t="s">
        <v>71</v>
      </c>
      <c r="E577" t="s">
        <v>53</v>
      </c>
      <c r="F577" t="s">
        <v>25</v>
      </c>
      <c r="G577" t="s">
        <v>26</v>
      </c>
      <c r="H577" t="s">
        <v>27</v>
      </c>
      <c r="I577" t="s">
        <v>42</v>
      </c>
      <c r="J577" t="s">
        <v>29</v>
      </c>
      <c r="K577">
        <v>788</v>
      </c>
      <c r="L577">
        <v>27</v>
      </c>
      <c r="M577" s="2">
        <v>218</v>
      </c>
      <c r="N577" s="2">
        <v>82</v>
      </c>
      <c r="O577" s="2">
        <v>59</v>
      </c>
      <c r="P577" s="2">
        <v>95</v>
      </c>
      <c r="Q577" s="3">
        <v>0.43580000000000002</v>
      </c>
      <c r="R577" s="2">
        <v>90</v>
      </c>
      <c r="S577" s="2">
        <v>30</v>
      </c>
      <c r="T577" s="2">
        <v>50</v>
      </c>
      <c r="U577" s="3">
        <v>0.55559999999999998</v>
      </c>
      <c r="V577" s="2">
        <v>45</v>
      </c>
    </row>
    <row r="578" spans="1:22" x14ac:dyDescent="0.25">
      <c r="A578" t="s">
        <v>646</v>
      </c>
      <c r="B578" s="1">
        <v>45491</v>
      </c>
      <c r="C578">
        <v>719</v>
      </c>
      <c r="D578" t="s">
        <v>31</v>
      </c>
      <c r="E578" t="s">
        <v>24</v>
      </c>
      <c r="F578" t="s">
        <v>32</v>
      </c>
      <c r="G578" t="s">
        <v>26</v>
      </c>
      <c r="H578" t="s">
        <v>38</v>
      </c>
      <c r="I578" t="s">
        <v>46</v>
      </c>
      <c r="J578" t="s">
        <v>40</v>
      </c>
      <c r="K578">
        <v>521</v>
      </c>
      <c r="L578">
        <v>42</v>
      </c>
      <c r="M578" s="2">
        <v>119</v>
      </c>
      <c r="N578" s="2">
        <v>47</v>
      </c>
      <c r="O578" s="2">
        <v>71</v>
      </c>
      <c r="P578" s="2">
        <v>-9</v>
      </c>
      <c r="Q578" s="3">
        <v>-7.5600000000000001E-2</v>
      </c>
      <c r="R578" s="2">
        <v>100</v>
      </c>
      <c r="S578" s="2">
        <v>40</v>
      </c>
      <c r="T578" s="2">
        <v>0</v>
      </c>
      <c r="U578" s="3">
        <v>0</v>
      </c>
      <c r="V578" s="2">
        <v>-9</v>
      </c>
    </row>
    <row r="579" spans="1:22" x14ac:dyDescent="0.25">
      <c r="A579" t="s">
        <v>647</v>
      </c>
      <c r="B579" s="1">
        <v>45491</v>
      </c>
      <c r="C579">
        <v>774</v>
      </c>
      <c r="D579" t="s">
        <v>78</v>
      </c>
      <c r="E579" t="s">
        <v>79</v>
      </c>
      <c r="F579" t="s">
        <v>32</v>
      </c>
      <c r="G579" t="s">
        <v>33</v>
      </c>
      <c r="H579" t="s">
        <v>54</v>
      </c>
      <c r="I579" t="s">
        <v>68</v>
      </c>
      <c r="J579" t="s">
        <v>29</v>
      </c>
      <c r="K579">
        <v>542</v>
      </c>
      <c r="L579">
        <v>46</v>
      </c>
      <c r="M579" s="2">
        <v>116</v>
      </c>
      <c r="N579" s="2">
        <v>51</v>
      </c>
      <c r="O579" s="2">
        <v>76</v>
      </c>
      <c r="P579" s="2">
        <v>-11</v>
      </c>
      <c r="Q579" s="3">
        <v>-9.4799999999999995E-2</v>
      </c>
      <c r="R579" s="2">
        <v>100</v>
      </c>
      <c r="S579" s="2">
        <v>30</v>
      </c>
      <c r="T579" s="2">
        <v>30</v>
      </c>
      <c r="U579" s="3">
        <v>0.3</v>
      </c>
      <c r="V579" s="2">
        <v>-41</v>
      </c>
    </row>
    <row r="580" spans="1:22" x14ac:dyDescent="0.25">
      <c r="A580" t="s">
        <v>648</v>
      </c>
      <c r="B580" s="1">
        <v>45491</v>
      </c>
      <c r="C580">
        <v>772</v>
      </c>
      <c r="D580" t="s">
        <v>117</v>
      </c>
      <c r="E580" t="s">
        <v>79</v>
      </c>
      <c r="F580" t="s">
        <v>32</v>
      </c>
      <c r="G580" t="s">
        <v>26</v>
      </c>
      <c r="H580" t="s">
        <v>38</v>
      </c>
      <c r="I580" t="s">
        <v>39</v>
      </c>
      <c r="J580" t="s">
        <v>40</v>
      </c>
      <c r="K580">
        <v>567</v>
      </c>
      <c r="L580">
        <v>7</v>
      </c>
      <c r="M580" s="2">
        <v>56</v>
      </c>
      <c r="N580" s="2">
        <v>24</v>
      </c>
      <c r="O580" s="2">
        <v>20</v>
      </c>
      <c r="P580" s="2">
        <v>12</v>
      </c>
      <c r="Q580" s="3">
        <v>0.21429999999999999</v>
      </c>
      <c r="R580" s="2">
        <v>40</v>
      </c>
      <c r="S580" s="2">
        <v>10</v>
      </c>
      <c r="T580" s="2">
        <v>20</v>
      </c>
      <c r="U580" s="3">
        <v>0.5</v>
      </c>
      <c r="V580" s="2">
        <v>-8</v>
      </c>
    </row>
    <row r="581" spans="1:22" x14ac:dyDescent="0.25">
      <c r="A581" t="s">
        <v>649</v>
      </c>
      <c r="B581" s="1">
        <v>45491</v>
      </c>
      <c r="C581">
        <v>719</v>
      </c>
      <c r="D581" t="s">
        <v>31</v>
      </c>
      <c r="E581" t="s">
        <v>24</v>
      </c>
      <c r="F581" t="s">
        <v>32</v>
      </c>
      <c r="G581" t="s">
        <v>26</v>
      </c>
      <c r="H581" t="s">
        <v>38</v>
      </c>
      <c r="I581" t="s">
        <v>39</v>
      </c>
      <c r="J581" t="s">
        <v>40</v>
      </c>
      <c r="K581">
        <v>1267</v>
      </c>
      <c r="L581">
        <v>45</v>
      </c>
      <c r="M581" s="2">
        <v>322</v>
      </c>
      <c r="N581" s="2">
        <v>161</v>
      </c>
      <c r="O581" s="2">
        <v>69</v>
      </c>
      <c r="P581" s="2">
        <v>92</v>
      </c>
      <c r="Q581" s="3">
        <v>0.28570000000000001</v>
      </c>
      <c r="R581" s="2">
        <v>260</v>
      </c>
      <c r="S581" s="2">
        <v>120</v>
      </c>
      <c r="T581" s="2">
        <v>110</v>
      </c>
      <c r="U581" s="3">
        <v>0.42309999999999998</v>
      </c>
      <c r="V581" s="2">
        <v>-18</v>
      </c>
    </row>
    <row r="582" spans="1:22" x14ac:dyDescent="0.25">
      <c r="A582" t="s">
        <v>650</v>
      </c>
      <c r="B582" s="1">
        <v>45491</v>
      </c>
      <c r="C582">
        <v>419</v>
      </c>
      <c r="D582" t="s">
        <v>85</v>
      </c>
      <c r="E582" t="s">
        <v>24</v>
      </c>
      <c r="F582" t="s">
        <v>32</v>
      </c>
      <c r="G582" t="s">
        <v>26</v>
      </c>
      <c r="H582" t="s">
        <v>27</v>
      </c>
      <c r="I582" t="s">
        <v>42</v>
      </c>
      <c r="J582" t="s">
        <v>29</v>
      </c>
      <c r="K582">
        <v>656</v>
      </c>
      <c r="L582">
        <v>28</v>
      </c>
      <c r="M582" s="2">
        <v>232</v>
      </c>
      <c r="N582" s="2">
        <v>91</v>
      </c>
      <c r="O582" s="2">
        <v>51</v>
      </c>
      <c r="P582" s="2">
        <v>113</v>
      </c>
      <c r="Q582" s="3">
        <v>0.48709999999999998</v>
      </c>
      <c r="R582" s="2">
        <v>150</v>
      </c>
      <c r="S582" s="2">
        <v>50</v>
      </c>
      <c r="T582" s="2">
        <v>80</v>
      </c>
      <c r="U582" s="3">
        <v>0.5333</v>
      </c>
      <c r="V582" s="2">
        <v>33</v>
      </c>
    </row>
    <row r="583" spans="1:22" x14ac:dyDescent="0.25">
      <c r="A583" t="s">
        <v>651</v>
      </c>
      <c r="B583" s="1">
        <v>45492</v>
      </c>
      <c r="C583">
        <v>603</v>
      </c>
      <c r="D583" t="s">
        <v>109</v>
      </c>
      <c r="E583" t="s">
        <v>79</v>
      </c>
      <c r="F583" t="s">
        <v>25</v>
      </c>
      <c r="G583" t="s">
        <v>26</v>
      </c>
      <c r="H583" t="s">
        <v>38</v>
      </c>
      <c r="I583" t="s">
        <v>46</v>
      </c>
      <c r="J583" t="s">
        <v>40</v>
      </c>
      <c r="K583">
        <v>250</v>
      </c>
      <c r="L583">
        <v>14</v>
      </c>
      <c r="M583" s="2">
        <v>88</v>
      </c>
      <c r="N583" s="2">
        <v>39</v>
      </c>
      <c r="O583" s="2">
        <v>47</v>
      </c>
      <c r="P583" s="2">
        <v>2</v>
      </c>
      <c r="Q583" s="3">
        <v>2.2700000000000001E-2</v>
      </c>
      <c r="R583" s="2">
        <v>60</v>
      </c>
      <c r="S583" s="2">
        <v>20</v>
      </c>
      <c r="T583" s="2">
        <v>10</v>
      </c>
      <c r="U583" s="3">
        <v>0.16669999999999999</v>
      </c>
      <c r="V583" s="2">
        <v>-8</v>
      </c>
    </row>
    <row r="584" spans="1:22" x14ac:dyDescent="0.25">
      <c r="A584" t="s">
        <v>652</v>
      </c>
      <c r="B584" s="1">
        <v>45492</v>
      </c>
      <c r="C584">
        <v>318</v>
      </c>
      <c r="D584" t="s">
        <v>49</v>
      </c>
      <c r="E584" t="s">
        <v>45</v>
      </c>
      <c r="F584" t="s">
        <v>25</v>
      </c>
      <c r="G584" t="s">
        <v>33</v>
      </c>
      <c r="H584" t="s">
        <v>34</v>
      </c>
      <c r="I584" t="s">
        <v>50</v>
      </c>
      <c r="J584" t="s">
        <v>29</v>
      </c>
      <c r="K584">
        <v>834</v>
      </c>
      <c r="L584">
        <v>13</v>
      </c>
      <c r="M584" s="2">
        <v>123</v>
      </c>
      <c r="N584" s="2">
        <v>47</v>
      </c>
      <c r="O584" s="2">
        <v>24</v>
      </c>
      <c r="P584" s="2">
        <v>65</v>
      </c>
      <c r="Q584" s="3">
        <v>0.52849999999999997</v>
      </c>
      <c r="R584" s="2">
        <v>130</v>
      </c>
      <c r="S584" s="2">
        <v>50</v>
      </c>
      <c r="T584" s="2">
        <v>60</v>
      </c>
      <c r="U584" s="3">
        <v>0.46150000000000002</v>
      </c>
      <c r="V584" s="2">
        <v>5</v>
      </c>
    </row>
    <row r="585" spans="1:22" x14ac:dyDescent="0.25">
      <c r="A585" t="s">
        <v>653</v>
      </c>
      <c r="B585" s="1">
        <v>45493</v>
      </c>
      <c r="C585">
        <v>959</v>
      </c>
      <c r="D585" t="s">
        <v>135</v>
      </c>
      <c r="E585" t="s">
        <v>79</v>
      </c>
      <c r="F585" t="s">
        <v>25</v>
      </c>
      <c r="G585" t="s">
        <v>26</v>
      </c>
      <c r="H585" t="s">
        <v>38</v>
      </c>
      <c r="I585" t="s">
        <v>46</v>
      </c>
      <c r="J585" t="s">
        <v>40</v>
      </c>
      <c r="K585">
        <v>593</v>
      </c>
      <c r="L585">
        <v>30</v>
      </c>
      <c r="M585" s="2">
        <v>177</v>
      </c>
      <c r="N585" s="2">
        <v>79</v>
      </c>
      <c r="O585" s="2">
        <v>64</v>
      </c>
      <c r="P585" s="2">
        <v>34</v>
      </c>
      <c r="Q585" s="3">
        <v>0.19209999999999999</v>
      </c>
      <c r="R585" s="2">
        <v>90</v>
      </c>
      <c r="S585" s="2">
        <v>40</v>
      </c>
      <c r="T585" s="2">
        <v>30</v>
      </c>
      <c r="U585" s="3">
        <v>0.33329999999999999</v>
      </c>
      <c r="V585" s="2">
        <v>4</v>
      </c>
    </row>
    <row r="586" spans="1:22" x14ac:dyDescent="0.25">
      <c r="A586" t="s">
        <v>654</v>
      </c>
      <c r="B586" s="1">
        <v>45493</v>
      </c>
      <c r="C586">
        <v>971</v>
      </c>
      <c r="D586" t="s">
        <v>71</v>
      </c>
      <c r="E586" t="s">
        <v>53</v>
      </c>
      <c r="F586" t="s">
        <v>25</v>
      </c>
      <c r="G586" t="s">
        <v>33</v>
      </c>
      <c r="H586" t="s">
        <v>34</v>
      </c>
      <c r="I586" t="s">
        <v>35</v>
      </c>
      <c r="J586" t="s">
        <v>29</v>
      </c>
      <c r="K586">
        <v>509</v>
      </c>
      <c r="L586">
        <v>47</v>
      </c>
      <c r="M586" s="2">
        <v>133</v>
      </c>
      <c r="N586" s="2">
        <v>52</v>
      </c>
      <c r="O586" s="2">
        <v>77</v>
      </c>
      <c r="P586" s="2">
        <v>-6</v>
      </c>
      <c r="Q586" s="3">
        <v>-4.5100000000000001E-2</v>
      </c>
      <c r="R586" s="2">
        <v>140</v>
      </c>
      <c r="S586" s="2">
        <v>60</v>
      </c>
      <c r="T586" s="2">
        <v>10</v>
      </c>
      <c r="U586" s="3">
        <v>7.1400000000000005E-2</v>
      </c>
      <c r="V586" s="2">
        <v>-16</v>
      </c>
    </row>
    <row r="587" spans="1:22" x14ac:dyDescent="0.25">
      <c r="A587" t="s">
        <v>655</v>
      </c>
      <c r="B587" s="1">
        <v>45493</v>
      </c>
      <c r="C587">
        <v>806</v>
      </c>
      <c r="D587" t="s">
        <v>76</v>
      </c>
      <c r="E587" t="s">
        <v>45</v>
      </c>
      <c r="F587" t="s">
        <v>32</v>
      </c>
      <c r="G587" t="s">
        <v>33</v>
      </c>
      <c r="H587" t="s">
        <v>54</v>
      </c>
      <c r="I587" t="s">
        <v>72</v>
      </c>
      <c r="J587" t="s">
        <v>29</v>
      </c>
      <c r="K587">
        <v>-1050</v>
      </c>
      <c r="L587">
        <v>24</v>
      </c>
      <c r="M587" s="2">
        <v>201</v>
      </c>
      <c r="N587" s="2">
        <v>75</v>
      </c>
      <c r="O587" s="2">
        <v>55</v>
      </c>
      <c r="P587" s="2">
        <v>88</v>
      </c>
      <c r="Q587" s="3">
        <v>0.43780000000000002</v>
      </c>
      <c r="R587" s="2">
        <v>140</v>
      </c>
      <c r="S587" s="2">
        <v>50</v>
      </c>
      <c r="T587" s="2">
        <v>40</v>
      </c>
      <c r="U587" s="3">
        <v>0.28570000000000001</v>
      </c>
      <c r="V587" s="2">
        <v>48</v>
      </c>
    </row>
    <row r="588" spans="1:22" x14ac:dyDescent="0.25">
      <c r="A588" t="s">
        <v>656</v>
      </c>
      <c r="B588" s="1">
        <v>45494</v>
      </c>
      <c r="C588">
        <v>505</v>
      </c>
      <c r="D588" t="s">
        <v>44</v>
      </c>
      <c r="E588" t="s">
        <v>45</v>
      </c>
      <c r="F588" t="s">
        <v>25</v>
      </c>
      <c r="G588" t="s">
        <v>26</v>
      </c>
      <c r="H588" t="s">
        <v>38</v>
      </c>
      <c r="I588" t="s">
        <v>46</v>
      </c>
      <c r="J588" t="s">
        <v>40</v>
      </c>
      <c r="K588">
        <v>1003</v>
      </c>
      <c r="L588">
        <v>8</v>
      </c>
      <c r="M588" s="2">
        <v>68</v>
      </c>
      <c r="N588" s="2">
        <v>29</v>
      </c>
      <c r="O588" s="2">
        <v>30</v>
      </c>
      <c r="P588" s="2">
        <v>7</v>
      </c>
      <c r="Q588" s="3">
        <v>0.10290000000000001</v>
      </c>
      <c r="R588" s="2">
        <v>50</v>
      </c>
      <c r="S588" s="2">
        <v>20</v>
      </c>
      <c r="T588" s="2">
        <v>10</v>
      </c>
      <c r="U588" s="3">
        <v>0.2</v>
      </c>
      <c r="V588" s="2">
        <v>-3</v>
      </c>
    </row>
    <row r="589" spans="1:22" x14ac:dyDescent="0.25">
      <c r="A589" t="s">
        <v>657</v>
      </c>
      <c r="B589" s="1">
        <v>45494</v>
      </c>
      <c r="C589">
        <v>718</v>
      </c>
      <c r="D589" t="s">
        <v>99</v>
      </c>
      <c r="E589" t="s">
        <v>79</v>
      </c>
      <c r="F589" t="s">
        <v>32</v>
      </c>
      <c r="G589" t="s">
        <v>33</v>
      </c>
      <c r="H589" t="s">
        <v>54</v>
      </c>
      <c r="I589" t="s">
        <v>101</v>
      </c>
      <c r="J589" t="s">
        <v>29</v>
      </c>
      <c r="K589">
        <v>723</v>
      </c>
      <c r="L589">
        <v>70</v>
      </c>
      <c r="M589" s="2">
        <v>657</v>
      </c>
      <c r="N589" s="2">
        <v>250</v>
      </c>
      <c r="O589" s="2">
        <v>95</v>
      </c>
      <c r="P589" s="2">
        <v>312</v>
      </c>
      <c r="Q589" s="3">
        <v>0.47489999999999999</v>
      </c>
      <c r="R589" s="2">
        <v>640</v>
      </c>
      <c r="S589" s="2">
        <v>240</v>
      </c>
      <c r="T589" s="2">
        <v>320</v>
      </c>
      <c r="U589" s="3">
        <v>0.5</v>
      </c>
      <c r="V589" s="2">
        <v>-8</v>
      </c>
    </row>
    <row r="590" spans="1:22" x14ac:dyDescent="0.25">
      <c r="A590" t="s">
        <v>658</v>
      </c>
      <c r="B590" s="1">
        <v>45494</v>
      </c>
      <c r="C590">
        <v>727</v>
      </c>
      <c r="D590" t="s">
        <v>117</v>
      </c>
      <c r="E590" t="s">
        <v>79</v>
      </c>
      <c r="F590" t="s">
        <v>32</v>
      </c>
      <c r="G590" t="s">
        <v>33</v>
      </c>
      <c r="H590" t="s">
        <v>54</v>
      </c>
      <c r="I590" t="s">
        <v>68</v>
      </c>
      <c r="J590" t="s">
        <v>29</v>
      </c>
      <c r="K590">
        <v>683</v>
      </c>
      <c r="L590">
        <v>87</v>
      </c>
      <c r="M590" s="2">
        <v>245</v>
      </c>
      <c r="N590" s="2">
        <v>96</v>
      </c>
      <c r="O590" s="2">
        <v>116</v>
      </c>
      <c r="P590" s="2">
        <v>27</v>
      </c>
      <c r="Q590" s="3">
        <v>0.11020000000000001</v>
      </c>
      <c r="R590" s="2">
        <v>210</v>
      </c>
      <c r="S590" s="2">
        <v>80</v>
      </c>
      <c r="T590" s="2">
        <v>50</v>
      </c>
      <c r="U590" s="3">
        <v>0.23810000000000001</v>
      </c>
      <c r="V590" s="2">
        <v>-23</v>
      </c>
    </row>
    <row r="591" spans="1:22" x14ac:dyDescent="0.25">
      <c r="A591" t="s">
        <v>659</v>
      </c>
      <c r="B591" s="1">
        <v>45494</v>
      </c>
      <c r="C591">
        <v>719</v>
      </c>
      <c r="D591" t="s">
        <v>31</v>
      </c>
      <c r="E591" t="s">
        <v>24</v>
      </c>
      <c r="F591" t="s">
        <v>32</v>
      </c>
      <c r="G591" t="s">
        <v>33</v>
      </c>
      <c r="H591" t="s">
        <v>34</v>
      </c>
      <c r="I591" t="s">
        <v>83</v>
      </c>
      <c r="J591" t="s">
        <v>40</v>
      </c>
      <c r="K591">
        <v>971</v>
      </c>
      <c r="L591">
        <v>30</v>
      </c>
      <c r="M591" s="2">
        <v>282</v>
      </c>
      <c r="N591" s="2">
        <v>108</v>
      </c>
      <c r="O591" s="2">
        <v>41</v>
      </c>
      <c r="P591" s="2">
        <v>172</v>
      </c>
      <c r="Q591" s="3">
        <v>0.6099</v>
      </c>
      <c r="R591" s="2">
        <v>260</v>
      </c>
      <c r="S591" s="2">
        <v>100</v>
      </c>
      <c r="T591" s="2">
        <v>150</v>
      </c>
      <c r="U591" s="3">
        <v>0.57689999999999997</v>
      </c>
      <c r="V591" s="2">
        <v>22</v>
      </c>
    </row>
    <row r="592" spans="1:22" x14ac:dyDescent="0.25">
      <c r="A592" t="s">
        <v>660</v>
      </c>
      <c r="B592" s="1">
        <v>45495</v>
      </c>
      <c r="C592">
        <v>971</v>
      </c>
      <c r="D592" t="s">
        <v>71</v>
      </c>
      <c r="E592" t="s">
        <v>53</v>
      </c>
      <c r="F592" t="s">
        <v>25</v>
      </c>
      <c r="G592" t="s">
        <v>26</v>
      </c>
      <c r="H592" t="s">
        <v>27</v>
      </c>
      <c r="I592" t="s">
        <v>42</v>
      </c>
      <c r="J592" t="s">
        <v>29</v>
      </c>
      <c r="K592">
        <v>788</v>
      </c>
      <c r="L592">
        <v>27</v>
      </c>
      <c r="M592" s="2">
        <v>205</v>
      </c>
      <c r="N592" s="2">
        <v>82</v>
      </c>
      <c r="O592" s="2">
        <v>59</v>
      </c>
      <c r="P592" s="2">
        <v>64</v>
      </c>
      <c r="Q592" s="3">
        <v>0.31219999999999998</v>
      </c>
      <c r="R592" s="2">
        <v>90</v>
      </c>
      <c r="S592" s="2">
        <v>30</v>
      </c>
      <c r="T592" s="2">
        <v>50</v>
      </c>
      <c r="U592" s="3">
        <v>0.55559999999999998</v>
      </c>
      <c r="V592" s="2">
        <v>14</v>
      </c>
    </row>
    <row r="593" spans="1:22" x14ac:dyDescent="0.25">
      <c r="A593" t="s">
        <v>661</v>
      </c>
      <c r="B593" s="1">
        <v>45495</v>
      </c>
      <c r="C593">
        <v>971</v>
      </c>
      <c r="D593" t="s">
        <v>71</v>
      </c>
      <c r="E593" t="s">
        <v>53</v>
      </c>
      <c r="F593" t="s">
        <v>25</v>
      </c>
      <c r="G593" t="s">
        <v>33</v>
      </c>
      <c r="H593" t="s">
        <v>54</v>
      </c>
      <c r="I593" t="s">
        <v>72</v>
      </c>
      <c r="J593" t="s">
        <v>29</v>
      </c>
      <c r="K593">
        <v>422</v>
      </c>
      <c r="L593">
        <v>17</v>
      </c>
      <c r="M593" s="2">
        <v>110</v>
      </c>
      <c r="N593" s="2">
        <v>46</v>
      </c>
      <c r="O593" s="2">
        <v>51</v>
      </c>
      <c r="P593" s="2">
        <v>9</v>
      </c>
      <c r="Q593" s="3">
        <v>8.1799999999999998E-2</v>
      </c>
      <c r="R593" s="2">
        <v>90</v>
      </c>
      <c r="S593" s="2">
        <v>40</v>
      </c>
      <c r="T593" s="2">
        <v>10</v>
      </c>
      <c r="U593" s="3">
        <v>0.1111</v>
      </c>
      <c r="V593" s="2">
        <v>-1</v>
      </c>
    </row>
    <row r="594" spans="1:22" x14ac:dyDescent="0.25">
      <c r="A594" t="s">
        <v>662</v>
      </c>
      <c r="B594" s="1">
        <v>45495</v>
      </c>
      <c r="C594">
        <v>505</v>
      </c>
      <c r="D594" t="s">
        <v>44</v>
      </c>
      <c r="E594" t="s">
        <v>45</v>
      </c>
      <c r="F594" t="s">
        <v>25</v>
      </c>
      <c r="G594" t="s">
        <v>33</v>
      </c>
      <c r="H594" t="s">
        <v>54</v>
      </c>
      <c r="I594" t="s">
        <v>68</v>
      </c>
      <c r="J594" t="s">
        <v>29</v>
      </c>
      <c r="K594">
        <v>320</v>
      </c>
      <c r="L594">
        <v>41</v>
      </c>
      <c r="M594" s="2">
        <v>109</v>
      </c>
      <c r="N594" s="2">
        <v>45</v>
      </c>
      <c r="O594" s="2">
        <v>70</v>
      </c>
      <c r="P594" s="2">
        <v>-6</v>
      </c>
      <c r="Q594" s="3">
        <v>-5.5E-2</v>
      </c>
      <c r="R594" s="2">
        <v>60</v>
      </c>
      <c r="S594" s="2">
        <v>20</v>
      </c>
      <c r="T594" s="2">
        <v>10</v>
      </c>
      <c r="U594" s="3">
        <v>0.16669999999999999</v>
      </c>
      <c r="V594" s="2">
        <v>-16</v>
      </c>
    </row>
    <row r="595" spans="1:22" x14ac:dyDescent="0.25">
      <c r="A595" t="s">
        <v>663</v>
      </c>
      <c r="B595" s="1">
        <v>45495</v>
      </c>
      <c r="C595">
        <v>850</v>
      </c>
      <c r="D595" t="s">
        <v>117</v>
      </c>
      <c r="E595" t="s">
        <v>79</v>
      </c>
      <c r="F595" t="s">
        <v>32</v>
      </c>
      <c r="G595" t="s">
        <v>26</v>
      </c>
      <c r="H595" t="s">
        <v>38</v>
      </c>
      <c r="I595" t="s">
        <v>46</v>
      </c>
      <c r="J595" t="s">
        <v>40</v>
      </c>
      <c r="K595">
        <v>385</v>
      </c>
      <c r="L595">
        <v>21</v>
      </c>
      <c r="M595" s="2">
        <v>126</v>
      </c>
      <c r="N595" s="2">
        <v>56</v>
      </c>
      <c r="O595" s="2">
        <v>54</v>
      </c>
      <c r="P595" s="2">
        <v>16</v>
      </c>
      <c r="Q595" s="3">
        <v>0.127</v>
      </c>
      <c r="R595" s="2">
        <v>60</v>
      </c>
      <c r="S595" s="2">
        <v>30</v>
      </c>
      <c r="T595" s="2">
        <v>20</v>
      </c>
      <c r="U595" s="3">
        <v>0.33329999999999999</v>
      </c>
      <c r="V595" s="2">
        <v>-4</v>
      </c>
    </row>
    <row r="596" spans="1:22" x14ac:dyDescent="0.25">
      <c r="A596" t="s">
        <v>664</v>
      </c>
      <c r="B596" s="1">
        <v>45495</v>
      </c>
      <c r="C596">
        <v>425</v>
      </c>
      <c r="D596" t="s">
        <v>52</v>
      </c>
      <c r="E596" t="s">
        <v>53</v>
      </c>
      <c r="F596" t="s">
        <v>25</v>
      </c>
      <c r="G596" t="s">
        <v>33</v>
      </c>
      <c r="H596" t="s">
        <v>54</v>
      </c>
      <c r="I596" t="s">
        <v>55</v>
      </c>
      <c r="J596" t="s">
        <v>40</v>
      </c>
      <c r="K596">
        <v>1063</v>
      </c>
      <c r="L596">
        <v>23</v>
      </c>
      <c r="M596" s="2">
        <v>175</v>
      </c>
      <c r="N596" s="2">
        <v>75</v>
      </c>
      <c r="O596" s="2">
        <v>44</v>
      </c>
      <c r="P596" s="2">
        <v>67</v>
      </c>
      <c r="Q596" s="3">
        <v>0.38290000000000002</v>
      </c>
      <c r="R596" s="2">
        <v>150</v>
      </c>
      <c r="S596" s="2">
        <v>70</v>
      </c>
      <c r="T596" s="2">
        <v>40</v>
      </c>
      <c r="U596" s="3">
        <v>0.26669999999999999</v>
      </c>
      <c r="V596" s="2">
        <v>27</v>
      </c>
    </row>
    <row r="597" spans="1:22" x14ac:dyDescent="0.25">
      <c r="A597" t="s">
        <v>665</v>
      </c>
      <c r="B597" s="1">
        <v>45495</v>
      </c>
      <c r="C597">
        <v>563</v>
      </c>
      <c r="D597" t="s">
        <v>124</v>
      </c>
      <c r="E597" t="s">
        <v>24</v>
      </c>
      <c r="F597" t="s">
        <v>25</v>
      </c>
      <c r="G597" t="s">
        <v>26</v>
      </c>
      <c r="H597" t="s">
        <v>27</v>
      </c>
      <c r="I597" t="s">
        <v>42</v>
      </c>
      <c r="J597" t="s">
        <v>29</v>
      </c>
      <c r="K597">
        <v>1756</v>
      </c>
      <c r="L597">
        <v>96</v>
      </c>
      <c r="M597" s="2">
        <v>567</v>
      </c>
      <c r="N597" s="2">
        <v>255</v>
      </c>
      <c r="O597" s="2">
        <v>129</v>
      </c>
      <c r="P597" s="2">
        <v>183</v>
      </c>
      <c r="Q597" s="3">
        <v>0.32279999999999998</v>
      </c>
      <c r="R597" s="2">
        <v>400</v>
      </c>
      <c r="S597" s="2">
        <v>170</v>
      </c>
      <c r="T597" s="2">
        <v>130</v>
      </c>
      <c r="U597" s="3">
        <v>0.32500000000000001</v>
      </c>
      <c r="V597" s="2">
        <v>53</v>
      </c>
    </row>
    <row r="598" spans="1:22" x14ac:dyDescent="0.25">
      <c r="A598" t="s">
        <v>666</v>
      </c>
      <c r="B598" s="1">
        <v>45496</v>
      </c>
      <c r="C598">
        <v>206</v>
      </c>
      <c r="D598" t="s">
        <v>52</v>
      </c>
      <c r="E598" t="s">
        <v>53</v>
      </c>
      <c r="F598" t="s">
        <v>25</v>
      </c>
      <c r="G598" t="s">
        <v>26</v>
      </c>
      <c r="H598" t="s">
        <v>27</v>
      </c>
      <c r="I598" t="s">
        <v>28</v>
      </c>
      <c r="J598" t="s">
        <v>29</v>
      </c>
      <c r="K598">
        <v>329</v>
      </c>
      <c r="L598">
        <v>18</v>
      </c>
      <c r="M598" s="2">
        <v>159</v>
      </c>
      <c r="N598" s="2">
        <v>60</v>
      </c>
      <c r="O598" s="2">
        <v>42</v>
      </c>
      <c r="P598" s="2">
        <v>57</v>
      </c>
      <c r="Q598" s="3">
        <v>0.35849999999999999</v>
      </c>
      <c r="R598" s="2">
        <v>70</v>
      </c>
      <c r="S598" s="2">
        <v>20</v>
      </c>
      <c r="T598" s="2">
        <v>40</v>
      </c>
      <c r="U598" s="3">
        <v>0.57140000000000002</v>
      </c>
      <c r="V598" s="2">
        <v>17</v>
      </c>
    </row>
    <row r="599" spans="1:22" x14ac:dyDescent="0.25">
      <c r="A599" t="s">
        <v>667</v>
      </c>
      <c r="B599" s="1">
        <v>45497</v>
      </c>
      <c r="C599">
        <v>561</v>
      </c>
      <c r="D599" t="s">
        <v>117</v>
      </c>
      <c r="E599" t="s">
        <v>79</v>
      </c>
      <c r="F599" t="s">
        <v>32</v>
      </c>
      <c r="G599" t="s">
        <v>26</v>
      </c>
      <c r="H599" t="s">
        <v>38</v>
      </c>
      <c r="I599" t="s">
        <v>66</v>
      </c>
      <c r="J599" t="s">
        <v>40</v>
      </c>
      <c r="K599">
        <v>1079</v>
      </c>
      <c r="L599">
        <v>24</v>
      </c>
      <c r="M599" s="2">
        <v>176</v>
      </c>
      <c r="N599" s="2">
        <v>80</v>
      </c>
      <c r="O599" s="2">
        <v>46</v>
      </c>
      <c r="P599" s="2">
        <v>50</v>
      </c>
      <c r="Q599" s="3">
        <v>0.28410000000000002</v>
      </c>
      <c r="R599" s="2">
        <v>120</v>
      </c>
      <c r="S599" s="2">
        <v>60</v>
      </c>
      <c r="T599" s="2">
        <v>30</v>
      </c>
      <c r="U599" s="3">
        <v>0.25</v>
      </c>
      <c r="V599" s="2">
        <v>20</v>
      </c>
    </row>
    <row r="600" spans="1:22" x14ac:dyDescent="0.25">
      <c r="A600" t="s">
        <v>668</v>
      </c>
      <c r="B600" s="1">
        <v>45497</v>
      </c>
      <c r="C600">
        <v>754</v>
      </c>
      <c r="D600" t="s">
        <v>117</v>
      </c>
      <c r="E600" t="s">
        <v>79</v>
      </c>
      <c r="F600" t="s">
        <v>32</v>
      </c>
      <c r="G600" t="s">
        <v>33</v>
      </c>
      <c r="H600" t="s">
        <v>54</v>
      </c>
      <c r="I600" t="s">
        <v>68</v>
      </c>
      <c r="J600" t="s">
        <v>29</v>
      </c>
      <c r="K600">
        <v>694</v>
      </c>
      <c r="L600">
        <v>85</v>
      </c>
      <c r="M600" s="2">
        <v>224</v>
      </c>
      <c r="N600" s="2">
        <v>94</v>
      </c>
      <c r="O600" s="2">
        <v>115</v>
      </c>
      <c r="P600" s="2">
        <v>15</v>
      </c>
      <c r="Q600" s="3">
        <v>6.7000000000000004E-2</v>
      </c>
      <c r="R600" s="2">
        <v>210</v>
      </c>
      <c r="S600" s="2">
        <v>90</v>
      </c>
      <c r="T600" s="2">
        <v>20</v>
      </c>
      <c r="U600" s="3">
        <v>9.5200000000000007E-2</v>
      </c>
      <c r="V600" s="2">
        <v>-5</v>
      </c>
    </row>
    <row r="601" spans="1:22" x14ac:dyDescent="0.25">
      <c r="A601" t="s">
        <v>669</v>
      </c>
      <c r="B601" s="1">
        <v>45499</v>
      </c>
      <c r="C601">
        <v>425</v>
      </c>
      <c r="D601" t="s">
        <v>52</v>
      </c>
      <c r="E601" t="s">
        <v>53</v>
      </c>
      <c r="F601" t="s">
        <v>25</v>
      </c>
      <c r="G601" t="s">
        <v>26</v>
      </c>
      <c r="H601" t="s">
        <v>27</v>
      </c>
      <c r="I601" t="s">
        <v>28</v>
      </c>
      <c r="J601" t="s">
        <v>29</v>
      </c>
      <c r="K601">
        <v>329</v>
      </c>
      <c r="L601">
        <v>18</v>
      </c>
      <c r="M601" s="2">
        <v>169</v>
      </c>
      <c r="N601" s="2">
        <v>60</v>
      </c>
      <c r="O601" s="2">
        <v>42</v>
      </c>
      <c r="P601" s="2">
        <v>85</v>
      </c>
      <c r="Q601" s="3">
        <v>0.503</v>
      </c>
      <c r="R601" s="2">
        <v>70</v>
      </c>
      <c r="S601" s="2">
        <v>20</v>
      </c>
      <c r="T601" s="2">
        <v>40</v>
      </c>
      <c r="U601" s="3">
        <v>0.57140000000000002</v>
      </c>
      <c r="V601" s="2">
        <v>45</v>
      </c>
    </row>
    <row r="602" spans="1:22" x14ac:dyDescent="0.25">
      <c r="A602" t="s">
        <v>670</v>
      </c>
      <c r="B602" s="1">
        <v>45499</v>
      </c>
      <c r="C602">
        <v>631</v>
      </c>
      <c r="D602" t="s">
        <v>99</v>
      </c>
      <c r="E602" t="s">
        <v>79</v>
      </c>
      <c r="F602" t="s">
        <v>32</v>
      </c>
      <c r="G602" t="s">
        <v>26</v>
      </c>
      <c r="H602" t="s">
        <v>38</v>
      </c>
      <c r="I602" t="s">
        <v>66</v>
      </c>
      <c r="J602" t="s">
        <v>40</v>
      </c>
      <c r="K602">
        <v>4360</v>
      </c>
      <c r="L602">
        <v>74</v>
      </c>
      <c r="M602" s="2">
        <v>175</v>
      </c>
      <c r="N602" s="2">
        <v>239</v>
      </c>
      <c r="O602" s="2">
        <v>95</v>
      </c>
      <c r="P602" s="2">
        <v>-252</v>
      </c>
      <c r="Q602" s="3">
        <v>-1.44</v>
      </c>
      <c r="R602" s="2">
        <v>80</v>
      </c>
      <c r="S602" s="2">
        <v>130</v>
      </c>
      <c r="T602" s="2">
        <v>-100</v>
      </c>
      <c r="U602" s="3">
        <v>-1.25</v>
      </c>
      <c r="V602" s="2">
        <v>-152</v>
      </c>
    </row>
    <row r="603" spans="1:22" x14ac:dyDescent="0.25">
      <c r="A603" t="s">
        <v>671</v>
      </c>
      <c r="B603" s="1">
        <v>45499</v>
      </c>
      <c r="C603">
        <v>253</v>
      </c>
      <c r="D603" t="s">
        <v>52</v>
      </c>
      <c r="E603" t="s">
        <v>53</v>
      </c>
      <c r="F603" t="s">
        <v>25</v>
      </c>
      <c r="G603" t="s">
        <v>33</v>
      </c>
      <c r="H603" t="s">
        <v>34</v>
      </c>
      <c r="I603" t="s">
        <v>50</v>
      </c>
      <c r="J603" t="s">
        <v>29</v>
      </c>
      <c r="K603">
        <v>461</v>
      </c>
      <c r="L603">
        <v>23</v>
      </c>
      <c r="M603" s="2">
        <v>176</v>
      </c>
      <c r="N603" s="2">
        <v>72</v>
      </c>
      <c r="O603" s="2">
        <v>46</v>
      </c>
      <c r="P603" s="2">
        <v>58</v>
      </c>
      <c r="Q603" s="3">
        <v>0.32950000000000002</v>
      </c>
      <c r="R603" s="2">
        <v>200</v>
      </c>
      <c r="S603" s="2">
        <v>80</v>
      </c>
      <c r="T603" s="2">
        <v>80</v>
      </c>
      <c r="U603" s="3">
        <v>0.4</v>
      </c>
      <c r="V603" s="2">
        <v>-22</v>
      </c>
    </row>
    <row r="604" spans="1:22" x14ac:dyDescent="0.25">
      <c r="A604" t="s">
        <v>672</v>
      </c>
      <c r="B604" s="1">
        <v>45499</v>
      </c>
      <c r="C604">
        <v>541</v>
      </c>
      <c r="D604" t="s">
        <v>71</v>
      </c>
      <c r="E604" t="s">
        <v>53</v>
      </c>
      <c r="F604" t="s">
        <v>25</v>
      </c>
      <c r="G604" t="s">
        <v>26</v>
      </c>
      <c r="H604" t="s">
        <v>38</v>
      </c>
      <c r="I604" t="s">
        <v>46</v>
      </c>
      <c r="J604" t="s">
        <v>40</v>
      </c>
      <c r="K604">
        <v>561</v>
      </c>
      <c r="L604">
        <v>29</v>
      </c>
      <c r="M604" s="2">
        <v>213</v>
      </c>
      <c r="N604" s="2">
        <v>88</v>
      </c>
      <c r="O604" s="2">
        <v>42</v>
      </c>
      <c r="P604" s="2">
        <v>104</v>
      </c>
      <c r="Q604" s="3">
        <v>0.48830000000000001</v>
      </c>
      <c r="R604" s="2">
        <v>180</v>
      </c>
      <c r="S604" s="2">
        <v>80</v>
      </c>
      <c r="T604" s="2">
        <v>70</v>
      </c>
      <c r="U604" s="3">
        <v>0.38890000000000002</v>
      </c>
      <c r="V604" s="2">
        <v>34</v>
      </c>
    </row>
    <row r="605" spans="1:22" x14ac:dyDescent="0.25">
      <c r="A605" t="s">
        <v>673</v>
      </c>
      <c r="B605" s="1">
        <v>45500</v>
      </c>
      <c r="C605">
        <v>781</v>
      </c>
      <c r="D605" t="s">
        <v>78</v>
      </c>
      <c r="E605" t="s">
        <v>79</v>
      </c>
      <c r="F605" t="s">
        <v>32</v>
      </c>
      <c r="G605" t="s">
        <v>26</v>
      </c>
      <c r="H605" t="s">
        <v>27</v>
      </c>
      <c r="I605" t="s">
        <v>59</v>
      </c>
      <c r="J605" t="s">
        <v>29</v>
      </c>
      <c r="K605">
        <v>480</v>
      </c>
      <c r="L605">
        <v>5</v>
      </c>
      <c r="M605" s="2">
        <v>56</v>
      </c>
      <c r="N605" s="2">
        <v>21</v>
      </c>
      <c r="O605" s="2">
        <v>17</v>
      </c>
      <c r="P605" s="2">
        <v>22</v>
      </c>
      <c r="Q605" s="3">
        <v>0.39290000000000003</v>
      </c>
      <c r="R605" s="2">
        <v>50</v>
      </c>
      <c r="S605" s="2">
        <v>20</v>
      </c>
      <c r="T605" s="2">
        <v>30</v>
      </c>
      <c r="U605" s="3">
        <v>0.6</v>
      </c>
      <c r="V605" s="2">
        <v>-8</v>
      </c>
    </row>
    <row r="606" spans="1:22" x14ac:dyDescent="0.25">
      <c r="A606" t="s">
        <v>674</v>
      </c>
      <c r="B606" s="1">
        <v>45500</v>
      </c>
      <c r="C606">
        <v>715</v>
      </c>
      <c r="D606" t="s">
        <v>23</v>
      </c>
      <c r="E606" t="s">
        <v>24</v>
      </c>
      <c r="F606" t="s">
        <v>25</v>
      </c>
      <c r="G606" t="s">
        <v>33</v>
      </c>
      <c r="H606" t="s">
        <v>54</v>
      </c>
      <c r="I606" t="s">
        <v>68</v>
      </c>
      <c r="J606" t="s">
        <v>29</v>
      </c>
      <c r="K606">
        <v>1063</v>
      </c>
      <c r="L606">
        <v>23</v>
      </c>
      <c r="M606" s="2">
        <v>175</v>
      </c>
      <c r="N606" s="2">
        <v>75</v>
      </c>
      <c r="O606" s="2">
        <v>44</v>
      </c>
      <c r="P606" s="2">
        <v>67</v>
      </c>
      <c r="Q606" s="3">
        <v>0.38290000000000002</v>
      </c>
      <c r="R606" s="2">
        <v>200</v>
      </c>
      <c r="S606" s="2">
        <v>90</v>
      </c>
      <c r="T606" s="2">
        <v>70</v>
      </c>
      <c r="U606" s="3">
        <v>0.35</v>
      </c>
      <c r="V606" s="2">
        <v>-3</v>
      </c>
    </row>
    <row r="607" spans="1:22" x14ac:dyDescent="0.25">
      <c r="A607" t="s">
        <v>675</v>
      </c>
      <c r="B607" s="1">
        <v>45500</v>
      </c>
      <c r="C607">
        <v>262</v>
      </c>
      <c r="D607" t="s">
        <v>23</v>
      </c>
      <c r="E607" t="s">
        <v>24</v>
      </c>
      <c r="F607" t="s">
        <v>25</v>
      </c>
      <c r="G607" t="s">
        <v>33</v>
      </c>
      <c r="H607" t="s">
        <v>34</v>
      </c>
      <c r="I607" t="s">
        <v>50</v>
      </c>
      <c r="J607" t="s">
        <v>29</v>
      </c>
      <c r="K607">
        <v>716</v>
      </c>
      <c r="L607">
        <v>95</v>
      </c>
      <c r="M607" s="2">
        <v>266</v>
      </c>
      <c r="N607" s="2">
        <v>105</v>
      </c>
      <c r="O607" s="2">
        <v>125</v>
      </c>
      <c r="P607" s="2">
        <v>30</v>
      </c>
      <c r="Q607" s="3">
        <v>0.1128</v>
      </c>
      <c r="R607" s="2">
        <v>240</v>
      </c>
      <c r="S607" s="2">
        <v>100</v>
      </c>
      <c r="T607" s="2">
        <v>30</v>
      </c>
      <c r="U607" s="3">
        <v>0.125</v>
      </c>
      <c r="V607" s="2">
        <v>0</v>
      </c>
    </row>
    <row r="608" spans="1:22" x14ac:dyDescent="0.25">
      <c r="A608" t="s">
        <v>676</v>
      </c>
      <c r="B608" s="1">
        <v>45501</v>
      </c>
      <c r="C608">
        <v>435</v>
      </c>
      <c r="D608" t="s">
        <v>95</v>
      </c>
      <c r="E608" t="s">
        <v>53</v>
      </c>
      <c r="F608" t="s">
        <v>25</v>
      </c>
      <c r="G608" t="s">
        <v>26</v>
      </c>
      <c r="H608" t="s">
        <v>38</v>
      </c>
      <c r="I608" t="s">
        <v>46</v>
      </c>
      <c r="J608" t="s">
        <v>40</v>
      </c>
      <c r="K608">
        <v>452</v>
      </c>
      <c r="L608">
        <v>14</v>
      </c>
      <c r="M608" s="2">
        <v>109</v>
      </c>
      <c r="N608" s="2">
        <v>43</v>
      </c>
      <c r="O608" s="2">
        <v>46</v>
      </c>
      <c r="P608" s="2">
        <v>20</v>
      </c>
      <c r="Q608" s="3">
        <v>0.1835</v>
      </c>
      <c r="R608" s="2">
        <v>100</v>
      </c>
      <c r="S608" s="2">
        <v>40</v>
      </c>
      <c r="T608" s="2">
        <v>30</v>
      </c>
      <c r="U608" s="3">
        <v>0.3</v>
      </c>
      <c r="V608" s="2">
        <v>-10</v>
      </c>
    </row>
    <row r="609" spans="1:22" x14ac:dyDescent="0.25">
      <c r="A609" t="s">
        <v>677</v>
      </c>
      <c r="B609" s="1">
        <v>45501</v>
      </c>
      <c r="C609">
        <v>314</v>
      </c>
      <c r="D609" t="s">
        <v>58</v>
      </c>
      <c r="E609" t="s">
        <v>24</v>
      </c>
      <c r="F609" t="s">
        <v>25</v>
      </c>
      <c r="G609" t="s">
        <v>26</v>
      </c>
      <c r="H609" t="s">
        <v>38</v>
      </c>
      <c r="I609" t="s">
        <v>39</v>
      </c>
      <c r="J609" t="s">
        <v>40</v>
      </c>
      <c r="K609">
        <v>335</v>
      </c>
      <c r="L609">
        <v>44</v>
      </c>
      <c r="M609" s="2">
        <v>126</v>
      </c>
      <c r="N609" s="2">
        <v>49</v>
      </c>
      <c r="O609" s="2">
        <v>74</v>
      </c>
      <c r="P609" s="2">
        <v>-7</v>
      </c>
      <c r="Q609" s="3">
        <v>-5.5599999999999997E-2</v>
      </c>
      <c r="R609" s="2">
        <v>100</v>
      </c>
      <c r="S609" s="2">
        <v>40</v>
      </c>
      <c r="T609" s="2">
        <v>0</v>
      </c>
      <c r="U609" s="3">
        <v>0</v>
      </c>
      <c r="V609" s="2">
        <v>-7</v>
      </c>
    </row>
    <row r="610" spans="1:22" x14ac:dyDescent="0.25">
      <c r="A610" t="s">
        <v>678</v>
      </c>
      <c r="B610" s="1">
        <v>45501</v>
      </c>
      <c r="C610">
        <v>505</v>
      </c>
      <c r="D610" t="s">
        <v>44</v>
      </c>
      <c r="E610" t="s">
        <v>45</v>
      </c>
      <c r="F610" t="s">
        <v>25</v>
      </c>
      <c r="G610" t="s">
        <v>33</v>
      </c>
      <c r="H610" t="s">
        <v>34</v>
      </c>
      <c r="I610" t="s">
        <v>50</v>
      </c>
      <c r="J610" t="s">
        <v>29</v>
      </c>
      <c r="K610">
        <v>452</v>
      </c>
      <c r="L610">
        <v>14</v>
      </c>
      <c r="M610" s="2">
        <v>109</v>
      </c>
      <c r="N610" s="2">
        <v>43</v>
      </c>
      <c r="O610" s="2">
        <v>46</v>
      </c>
      <c r="P610" s="2">
        <v>20</v>
      </c>
      <c r="Q610" s="3">
        <v>0.1835</v>
      </c>
      <c r="R610" s="2">
        <v>120</v>
      </c>
      <c r="S610" s="2">
        <v>50</v>
      </c>
      <c r="T610" s="2">
        <v>30</v>
      </c>
      <c r="U610" s="3">
        <v>0.25</v>
      </c>
      <c r="V610" s="2">
        <v>-10</v>
      </c>
    </row>
    <row r="611" spans="1:22" x14ac:dyDescent="0.25">
      <c r="A611" t="s">
        <v>679</v>
      </c>
      <c r="B611" s="1">
        <v>45501</v>
      </c>
      <c r="C611">
        <v>563</v>
      </c>
      <c r="D611" t="s">
        <v>124</v>
      </c>
      <c r="E611" t="s">
        <v>24</v>
      </c>
      <c r="F611" t="s">
        <v>25</v>
      </c>
      <c r="G611" t="s">
        <v>33</v>
      </c>
      <c r="H611" t="s">
        <v>34</v>
      </c>
      <c r="I611" t="s">
        <v>50</v>
      </c>
      <c r="J611" t="s">
        <v>29</v>
      </c>
      <c r="K611">
        <v>1009</v>
      </c>
      <c r="L611">
        <v>9</v>
      </c>
      <c r="M611" s="2">
        <v>69</v>
      </c>
      <c r="N611" s="2">
        <v>31</v>
      </c>
      <c r="O611" s="2">
        <v>30</v>
      </c>
      <c r="P611" s="2">
        <v>8</v>
      </c>
      <c r="Q611" s="3">
        <v>0.1159</v>
      </c>
      <c r="R611" s="2">
        <v>60</v>
      </c>
      <c r="S611" s="2">
        <v>30</v>
      </c>
      <c r="T611" s="2">
        <v>10</v>
      </c>
      <c r="U611" s="3">
        <v>0.16669999999999999</v>
      </c>
      <c r="V611" s="2">
        <v>-2</v>
      </c>
    </row>
    <row r="612" spans="1:22" x14ac:dyDescent="0.25">
      <c r="A612" t="s">
        <v>680</v>
      </c>
      <c r="B612" s="1">
        <v>45501</v>
      </c>
      <c r="C612">
        <v>702</v>
      </c>
      <c r="D612" t="s">
        <v>65</v>
      </c>
      <c r="E612" t="s">
        <v>53</v>
      </c>
      <c r="F612" t="s">
        <v>25</v>
      </c>
      <c r="G612" t="s">
        <v>26</v>
      </c>
      <c r="H612" t="s">
        <v>27</v>
      </c>
      <c r="I612" t="s">
        <v>42</v>
      </c>
      <c r="J612" t="s">
        <v>29</v>
      </c>
      <c r="K612">
        <v>1778</v>
      </c>
      <c r="L612">
        <v>59</v>
      </c>
      <c r="M612" s="2">
        <v>451</v>
      </c>
      <c r="N612" s="2">
        <v>211</v>
      </c>
      <c r="O612" s="2">
        <v>84</v>
      </c>
      <c r="P612" s="2">
        <v>190</v>
      </c>
      <c r="Q612" s="3">
        <v>0.42130000000000001</v>
      </c>
      <c r="R612" s="2">
        <v>300</v>
      </c>
      <c r="S612" s="2">
        <v>150</v>
      </c>
      <c r="T612" s="2">
        <v>80</v>
      </c>
      <c r="U612" s="3">
        <v>0.26669999999999999</v>
      </c>
      <c r="V612" s="2">
        <v>110</v>
      </c>
    </row>
    <row r="613" spans="1:22" x14ac:dyDescent="0.25">
      <c r="A613" t="s">
        <v>681</v>
      </c>
      <c r="B613" s="1">
        <v>45501</v>
      </c>
      <c r="C613">
        <v>253</v>
      </c>
      <c r="D613" t="s">
        <v>52</v>
      </c>
      <c r="E613" t="s">
        <v>53</v>
      </c>
      <c r="F613" t="s">
        <v>25</v>
      </c>
      <c r="G613" t="s">
        <v>26</v>
      </c>
      <c r="H613" t="s">
        <v>38</v>
      </c>
      <c r="I613" t="s">
        <v>39</v>
      </c>
      <c r="J613" t="s">
        <v>40</v>
      </c>
      <c r="K613">
        <v>1166</v>
      </c>
      <c r="L613">
        <v>37</v>
      </c>
      <c r="M613" s="2">
        <v>308</v>
      </c>
      <c r="N613" s="2">
        <v>115</v>
      </c>
      <c r="O613" s="2">
        <v>69</v>
      </c>
      <c r="P613" s="2">
        <v>156</v>
      </c>
      <c r="Q613" s="3">
        <v>0.50649999999999995</v>
      </c>
      <c r="R613" s="2">
        <v>260</v>
      </c>
      <c r="S613" s="2">
        <v>100</v>
      </c>
      <c r="T613" s="2">
        <v>110</v>
      </c>
      <c r="U613" s="3">
        <v>0.42309999999999998</v>
      </c>
      <c r="V613" s="2">
        <v>46</v>
      </c>
    </row>
    <row r="614" spans="1:22" x14ac:dyDescent="0.25">
      <c r="A614" t="s">
        <v>682</v>
      </c>
      <c r="B614" s="1">
        <v>45505</v>
      </c>
      <c r="C614">
        <v>214</v>
      </c>
      <c r="D614" t="s">
        <v>76</v>
      </c>
      <c r="E614" t="s">
        <v>45</v>
      </c>
      <c r="F614" t="s">
        <v>32</v>
      </c>
      <c r="G614" t="s">
        <v>33</v>
      </c>
      <c r="H614" t="s">
        <v>34</v>
      </c>
      <c r="I614" t="s">
        <v>83</v>
      </c>
      <c r="J614" t="s">
        <v>40</v>
      </c>
      <c r="K614">
        <v>541</v>
      </c>
      <c r="L614">
        <v>12</v>
      </c>
      <c r="M614" s="2">
        <v>90</v>
      </c>
      <c r="N614" s="2">
        <v>39</v>
      </c>
      <c r="O614" s="2">
        <v>25</v>
      </c>
      <c r="P614" s="2">
        <v>26</v>
      </c>
      <c r="Q614" s="3">
        <v>0.28889999999999999</v>
      </c>
      <c r="R614" s="2">
        <v>130</v>
      </c>
      <c r="S614" s="2">
        <v>40</v>
      </c>
      <c r="T614" s="2">
        <v>80</v>
      </c>
      <c r="U614" s="3">
        <v>0.61539999999999995</v>
      </c>
      <c r="V614" s="2">
        <v>-54</v>
      </c>
    </row>
    <row r="615" spans="1:22" x14ac:dyDescent="0.25">
      <c r="A615" t="s">
        <v>683</v>
      </c>
      <c r="B615" s="1">
        <v>45506</v>
      </c>
      <c r="C615">
        <v>330</v>
      </c>
      <c r="D615" t="s">
        <v>85</v>
      </c>
      <c r="E615" t="s">
        <v>24</v>
      </c>
      <c r="F615" t="s">
        <v>32</v>
      </c>
      <c r="G615" t="s">
        <v>33</v>
      </c>
      <c r="H615" t="s">
        <v>34</v>
      </c>
      <c r="I615" t="s">
        <v>50</v>
      </c>
      <c r="J615" t="s">
        <v>29</v>
      </c>
      <c r="K615">
        <v>435</v>
      </c>
      <c r="L615">
        <v>13</v>
      </c>
      <c r="M615" s="2">
        <v>108</v>
      </c>
      <c r="N615" s="2">
        <v>41</v>
      </c>
      <c r="O615" s="2">
        <v>36</v>
      </c>
      <c r="P615" s="2">
        <v>36</v>
      </c>
      <c r="Q615" s="3">
        <v>0.33329999999999999</v>
      </c>
      <c r="R615" s="2">
        <v>90</v>
      </c>
      <c r="S615" s="2">
        <v>40</v>
      </c>
      <c r="T615" s="2">
        <v>20</v>
      </c>
      <c r="U615" s="3">
        <v>0.22220000000000001</v>
      </c>
      <c r="V615" s="2">
        <v>16</v>
      </c>
    </row>
    <row r="616" spans="1:22" x14ac:dyDescent="0.25">
      <c r="A616" t="s">
        <v>684</v>
      </c>
      <c r="B616" s="1">
        <v>45506</v>
      </c>
      <c r="C616">
        <v>435</v>
      </c>
      <c r="D616" t="s">
        <v>95</v>
      </c>
      <c r="E616" t="s">
        <v>53</v>
      </c>
      <c r="F616" t="s">
        <v>25</v>
      </c>
      <c r="G616" t="s">
        <v>33</v>
      </c>
      <c r="H616" t="s">
        <v>34</v>
      </c>
      <c r="I616" t="s">
        <v>83</v>
      </c>
      <c r="J616" t="s">
        <v>40</v>
      </c>
      <c r="K616">
        <v>593</v>
      </c>
      <c r="L616">
        <v>30</v>
      </c>
      <c r="M616" s="2">
        <v>177</v>
      </c>
      <c r="N616" s="2">
        <v>79</v>
      </c>
      <c r="O616" s="2">
        <v>64</v>
      </c>
      <c r="P616" s="2">
        <v>34</v>
      </c>
      <c r="Q616" s="3">
        <v>0.19209999999999999</v>
      </c>
      <c r="R616" s="2">
        <v>260</v>
      </c>
      <c r="S616" s="2">
        <v>100</v>
      </c>
      <c r="T616" s="2">
        <v>120</v>
      </c>
      <c r="U616" s="3">
        <v>0.46150000000000002</v>
      </c>
      <c r="V616" s="2">
        <v>-86</v>
      </c>
    </row>
    <row r="617" spans="1:22" x14ac:dyDescent="0.25">
      <c r="A617" t="s">
        <v>685</v>
      </c>
      <c r="B617" s="1">
        <v>45507</v>
      </c>
      <c r="C617">
        <v>435</v>
      </c>
      <c r="D617" t="s">
        <v>95</v>
      </c>
      <c r="E617" t="s">
        <v>53</v>
      </c>
      <c r="F617" t="s">
        <v>25</v>
      </c>
      <c r="G617" t="s">
        <v>33</v>
      </c>
      <c r="H617" t="s">
        <v>34</v>
      </c>
      <c r="I617" t="s">
        <v>50</v>
      </c>
      <c r="J617" t="s">
        <v>29</v>
      </c>
      <c r="K617">
        <v>380</v>
      </c>
      <c r="L617">
        <v>17</v>
      </c>
      <c r="M617" s="2">
        <v>132</v>
      </c>
      <c r="N617" s="2">
        <v>53</v>
      </c>
      <c r="O617" s="2">
        <v>44</v>
      </c>
      <c r="P617" s="2">
        <v>40</v>
      </c>
      <c r="Q617" s="3">
        <v>0.30299999999999999</v>
      </c>
      <c r="R617" s="2">
        <v>140</v>
      </c>
      <c r="S617" s="2">
        <v>60</v>
      </c>
      <c r="T617" s="2">
        <v>50</v>
      </c>
      <c r="U617" s="3">
        <v>0.35709999999999997</v>
      </c>
      <c r="V617" s="2">
        <v>-10</v>
      </c>
    </row>
    <row r="618" spans="1:22" x14ac:dyDescent="0.25">
      <c r="A618" t="s">
        <v>686</v>
      </c>
      <c r="B618" s="1">
        <v>45508</v>
      </c>
      <c r="C618">
        <v>417</v>
      </c>
      <c r="D618" t="s">
        <v>58</v>
      </c>
      <c r="E618" t="s">
        <v>24</v>
      </c>
      <c r="F618" t="s">
        <v>25</v>
      </c>
      <c r="G618" t="s">
        <v>26</v>
      </c>
      <c r="H618" t="s">
        <v>27</v>
      </c>
      <c r="I618" t="s">
        <v>28</v>
      </c>
      <c r="J618" t="s">
        <v>29</v>
      </c>
      <c r="K618">
        <v>248</v>
      </c>
      <c r="L618">
        <v>11</v>
      </c>
      <c r="M618" s="2">
        <v>82</v>
      </c>
      <c r="N618" s="2">
        <v>35</v>
      </c>
      <c r="O618" s="2">
        <v>38</v>
      </c>
      <c r="P618" s="2">
        <v>9</v>
      </c>
      <c r="Q618" s="3">
        <v>0.10979999999999999</v>
      </c>
      <c r="R618" s="2">
        <v>60</v>
      </c>
      <c r="S618" s="2">
        <v>20</v>
      </c>
      <c r="T618" s="2">
        <v>10</v>
      </c>
      <c r="U618" s="3">
        <v>0.16669999999999999</v>
      </c>
      <c r="V618" s="2">
        <v>-1</v>
      </c>
    </row>
    <row r="619" spans="1:22" x14ac:dyDescent="0.25">
      <c r="A619" t="s">
        <v>687</v>
      </c>
      <c r="B619" s="1">
        <v>45508</v>
      </c>
      <c r="C619">
        <v>503</v>
      </c>
      <c r="D619" t="s">
        <v>71</v>
      </c>
      <c r="E619" t="s">
        <v>53</v>
      </c>
      <c r="F619" t="s">
        <v>25</v>
      </c>
      <c r="G619" t="s">
        <v>33</v>
      </c>
      <c r="H619" t="s">
        <v>54</v>
      </c>
      <c r="I619" t="s">
        <v>68</v>
      </c>
      <c r="J619" t="s">
        <v>29</v>
      </c>
      <c r="K619">
        <v>424</v>
      </c>
      <c r="L619">
        <v>17</v>
      </c>
      <c r="M619" s="2">
        <v>135</v>
      </c>
      <c r="N619" s="2">
        <v>54</v>
      </c>
      <c r="O619" s="2">
        <v>45</v>
      </c>
      <c r="P619" s="2">
        <v>42</v>
      </c>
      <c r="Q619" s="3">
        <v>0.31109999999999999</v>
      </c>
      <c r="R619" s="2">
        <v>120</v>
      </c>
      <c r="S619" s="2">
        <v>50</v>
      </c>
      <c r="T619" s="2">
        <v>40</v>
      </c>
      <c r="U619" s="3">
        <v>0.33329999999999999</v>
      </c>
      <c r="V619" s="2">
        <v>2</v>
      </c>
    </row>
    <row r="620" spans="1:22" x14ac:dyDescent="0.25">
      <c r="A620" t="s">
        <v>688</v>
      </c>
      <c r="B620" s="1">
        <v>45508</v>
      </c>
      <c r="C620">
        <v>305</v>
      </c>
      <c r="D620" t="s">
        <v>117</v>
      </c>
      <c r="E620" t="s">
        <v>79</v>
      </c>
      <c r="F620" t="s">
        <v>32</v>
      </c>
      <c r="G620" t="s">
        <v>33</v>
      </c>
      <c r="H620" t="s">
        <v>54</v>
      </c>
      <c r="I620" t="s">
        <v>68</v>
      </c>
      <c r="J620" t="s">
        <v>29</v>
      </c>
      <c r="K620">
        <v>716</v>
      </c>
      <c r="L620">
        <v>95</v>
      </c>
      <c r="M620" s="2">
        <v>266</v>
      </c>
      <c r="N620" s="2">
        <v>105</v>
      </c>
      <c r="O620" s="2">
        <v>124</v>
      </c>
      <c r="P620" s="2">
        <v>31</v>
      </c>
      <c r="Q620" s="3">
        <v>0.11650000000000001</v>
      </c>
      <c r="R620" s="2">
        <v>240</v>
      </c>
      <c r="S620" s="2">
        <v>100</v>
      </c>
      <c r="T620" s="2">
        <v>30</v>
      </c>
      <c r="U620" s="3">
        <v>0.125</v>
      </c>
      <c r="V620" s="2">
        <v>1</v>
      </c>
    </row>
    <row r="621" spans="1:22" x14ac:dyDescent="0.25">
      <c r="A621" t="s">
        <v>689</v>
      </c>
      <c r="B621" s="1">
        <v>45508</v>
      </c>
      <c r="C621">
        <v>573</v>
      </c>
      <c r="D621" t="s">
        <v>58</v>
      </c>
      <c r="E621" t="s">
        <v>24</v>
      </c>
      <c r="F621" t="s">
        <v>25</v>
      </c>
      <c r="G621" t="s">
        <v>33</v>
      </c>
      <c r="H621" t="s">
        <v>34</v>
      </c>
      <c r="I621" t="s">
        <v>50</v>
      </c>
      <c r="J621" t="s">
        <v>29</v>
      </c>
      <c r="K621">
        <v>593</v>
      </c>
      <c r="L621">
        <v>30</v>
      </c>
      <c r="M621" s="2">
        <v>189</v>
      </c>
      <c r="N621" s="2">
        <v>79</v>
      </c>
      <c r="O621" s="2">
        <v>63</v>
      </c>
      <c r="P621" s="2">
        <v>52</v>
      </c>
      <c r="Q621" s="3">
        <v>0.27510000000000001</v>
      </c>
      <c r="R621" s="2">
        <v>170</v>
      </c>
      <c r="S621" s="2">
        <v>70</v>
      </c>
      <c r="T621" s="2">
        <v>70</v>
      </c>
      <c r="U621" s="3">
        <v>0.4118</v>
      </c>
      <c r="V621" s="2">
        <v>-18</v>
      </c>
    </row>
    <row r="622" spans="1:22" x14ac:dyDescent="0.25">
      <c r="A622" t="s">
        <v>690</v>
      </c>
      <c r="B622" s="1">
        <v>45508</v>
      </c>
      <c r="C622">
        <v>618</v>
      </c>
      <c r="D622" t="s">
        <v>37</v>
      </c>
      <c r="E622" t="s">
        <v>24</v>
      </c>
      <c r="F622" t="s">
        <v>32</v>
      </c>
      <c r="G622" t="s">
        <v>26</v>
      </c>
      <c r="H622" t="s">
        <v>38</v>
      </c>
      <c r="I622" t="s">
        <v>39</v>
      </c>
      <c r="J622" t="s">
        <v>40</v>
      </c>
      <c r="K622">
        <v>959</v>
      </c>
      <c r="L622">
        <v>34</v>
      </c>
      <c r="M622" s="2">
        <v>322</v>
      </c>
      <c r="N622" s="2">
        <v>123</v>
      </c>
      <c r="O622" s="2">
        <v>46</v>
      </c>
      <c r="P622" s="2">
        <v>197</v>
      </c>
      <c r="Q622" s="3">
        <v>0.61180000000000001</v>
      </c>
      <c r="R622" s="2">
        <v>280</v>
      </c>
      <c r="S622" s="2">
        <v>110</v>
      </c>
      <c r="T622" s="2">
        <v>130</v>
      </c>
      <c r="U622" s="3">
        <v>0.46429999999999999</v>
      </c>
      <c r="V622" s="2">
        <v>67</v>
      </c>
    </row>
    <row r="623" spans="1:22" x14ac:dyDescent="0.25">
      <c r="A623" t="s">
        <v>691</v>
      </c>
      <c r="B623" s="1">
        <v>45508</v>
      </c>
      <c r="C623">
        <v>702</v>
      </c>
      <c r="D623" t="s">
        <v>65</v>
      </c>
      <c r="E623" t="s">
        <v>53</v>
      </c>
      <c r="F623" t="s">
        <v>25</v>
      </c>
      <c r="G623" t="s">
        <v>26</v>
      </c>
      <c r="H623" t="s">
        <v>27</v>
      </c>
      <c r="I623" t="s">
        <v>59</v>
      </c>
      <c r="J623" t="s">
        <v>29</v>
      </c>
      <c r="K623">
        <v>7653</v>
      </c>
      <c r="L623">
        <v>93</v>
      </c>
      <c r="M623" s="2">
        <v>32</v>
      </c>
      <c r="N623" s="2">
        <v>245</v>
      </c>
      <c r="O623" s="2">
        <v>127</v>
      </c>
      <c r="P623" s="2">
        <v>-340</v>
      </c>
      <c r="Q623" s="3">
        <v>-10.625</v>
      </c>
      <c r="R623" s="2">
        <v>0</v>
      </c>
      <c r="S623" s="2">
        <v>180</v>
      </c>
      <c r="T623" s="2">
        <v>-280</v>
      </c>
      <c r="U623" t="e">
        <v>#DIV/0!</v>
      </c>
      <c r="V623" s="2">
        <v>-60</v>
      </c>
    </row>
    <row r="624" spans="1:22" x14ac:dyDescent="0.25">
      <c r="A624" t="s">
        <v>692</v>
      </c>
      <c r="B624" s="1">
        <v>45509</v>
      </c>
      <c r="C624">
        <v>636</v>
      </c>
      <c r="D624" t="s">
        <v>58</v>
      </c>
      <c r="E624" t="s">
        <v>24</v>
      </c>
      <c r="F624" t="s">
        <v>25</v>
      </c>
      <c r="G624" t="s">
        <v>33</v>
      </c>
      <c r="H624" t="s">
        <v>54</v>
      </c>
      <c r="I624" t="s">
        <v>55</v>
      </c>
      <c r="J624" t="s">
        <v>40</v>
      </c>
      <c r="K624">
        <v>836</v>
      </c>
      <c r="L624">
        <v>9</v>
      </c>
      <c r="M624" s="2">
        <v>86</v>
      </c>
      <c r="N624" s="2">
        <v>33</v>
      </c>
      <c r="O624" s="2">
        <v>21</v>
      </c>
      <c r="P624" s="2">
        <v>40</v>
      </c>
      <c r="Q624" s="3">
        <v>0.46510000000000001</v>
      </c>
      <c r="R624" s="2">
        <v>100</v>
      </c>
      <c r="S624" s="2">
        <v>40</v>
      </c>
      <c r="T624" s="2">
        <v>50</v>
      </c>
      <c r="U624" s="3">
        <v>0.5</v>
      </c>
      <c r="V624" s="2">
        <v>-10</v>
      </c>
    </row>
    <row r="625" spans="1:22" x14ac:dyDescent="0.25">
      <c r="A625" t="s">
        <v>693</v>
      </c>
      <c r="B625" s="1">
        <v>45509</v>
      </c>
      <c r="C625">
        <v>503</v>
      </c>
      <c r="D625" t="s">
        <v>71</v>
      </c>
      <c r="E625" t="s">
        <v>53</v>
      </c>
      <c r="F625" t="s">
        <v>25</v>
      </c>
      <c r="G625" t="s">
        <v>33</v>
      </c>
      <c r="H625" t="s">
        <v>54</v>
      </c>
      <c r="I625" t="s">
        <v>68</v>
      </c>
      <c r="J625" t="s">
        <v>29</v>
      </c>
      <c r="K625">
        <v>424</v>
      </c>
      <c r="L625">
        <v>17</v>
      </c>
      <c r="M625" s="2">
        <v>127</v>
      </c>
      <c r="N625" s="2">
        <v>54</v>
      </c>
      <c r="O625" s="2">
        <v>45</v>
      </c>
      <c r="P625" s="2">
        <v>28</v>
      </c>
      <c r="Q625" s="3">
        <v>0.2205</v>
      </c>
      <c r="R625" s="2">
        <v>120</v>
      </c>
      <c r="S625" s="2">
        <v>50</v>
      </c>
      <c r="T625" s="2">
        <v>40</v>
      </c>
      <c r="U625" s="3">
        <v>0.33329999999999999</v>
      </c>
      <c r="V625" s="2">
        <v>-12</v>
      </c>
    </row>
    <row r="626" spans="1:22" x14ac:dyDescent="0.25">
      <c r="A626" t="s">
        <v>694</v>
      </c>
      <c r="B626" s="1">
        <v>45509</v>
      </c>
      <c r="C626">
        <v>720</v>
      </c>
      <c r="D626" t="s">
        <v>31</v>
      </c>
      <c r="E626" t="s">
        <v>24</v>
      </c>
      <c r="F626" t="s">
        <v>32</v>
      </c>
      <c r="G626" t="s">
        <v>33</v>
      </c>
      <c r="H626" t="s">
        <v>34</v>
      </c>
      <c r="I626" t="s">
        <v>83</v>
      </c>
      <c r="J626" t="s">
        <v>40</v>
      </c>
      <c r="K626">
        <v>1003</v>
      </c>
      <c r="L626">
        <v>24</v>
      </c>
      <c r="M626" s="2">
        <v>210</v>
      </c>
      <c r="N626" s="2">
        <v>86</v>
      </c>
      <c r="O626" s="2">
        <v>36</v>
      </c>
      <c r="P626" s="2">
        <v>88</v>
      </c>
      <c r="Q626" s="3">
        <v>0.41899999999999998</v>
      </c>
      <c r="R626" s="2">
        <v>200</v>
      </c>
      <c r="S626" s="2">
        <v>80</v>
      </c>
      <c r="T626" s="2">
        <v>90</v>
      </c>
      <c r="U626" s="3">
        <v>0.45</v>
      </c>
      <c r="V626" s="2">
        <v>-2</v>
      </c>
    </row>
    <row r="627" spans="1:22" x14ac:dyDescent="0.25">
      <c r="A627" t="s">
        <v>695</v>
      </c>
      <c r="B627" s="1">
        <v>45511</v>
      </c>
      <c r="C627">
        <v>918</v>
      </c>
      <c r="D627" t="s">
        <v>148</v>
      </c>
      <c r="E627" t="s">
        <v>45</v>
      </c>
      <c r="F627" t="s">
        <v>25</v>
      </c>
      <c r="G627" t="s">
        <v>33</v>
      </c>
      <c r="H627" t="s">
        <v>54</v>
      </c>
      <c r="I627" t="s">
        <v>68</v>
      </c>
      <c r="J627" t="s">
        <v>29</v>
      </c>
      <c r="K627">
        <v>482</v>
      </c>
      <c r="L627">
        <v>8</v>
      </c>
      <c r="M627" s="2">
        <v>80</v>
      </c>
      <c r="N627" s="2">
        <v>32</v>
      </c>
      <c r="O627" s="2">
        <v>19</v>
      </c>
      <c r="P627" s="2">
        <v>29</v>
      </c>
      <c r="Q627" s="3">
        <v>0.36249999999999999</v>
      </c>
      <c r="R627" s="2">
        <v>60</v>
      </c>
      <c r="S627" s="2">
        <v>20</v>
      </c>
      <c r="T627" s="2">
        <v>30</v>
      </c>
      <c r="U627" s="3">
        <v>0.5</v>
      </c>
      <c r="V627" s="2">
        <v>-1</v>
      </c>
    </row>
    <row r="628" spans="1:22" x14ac:dyDescent="0.25">
      <c r="A628" t="s">
        <v>696</v>
      </c>
      <c r="B628" s="1">
        <v>45511</v>
      </c>
      <c r="C628">
        <v>860</v>
      </c>
      <c r="D628" t="s">
        <v>135</v>
      </c>
      <c r="E628" t="s">
        <v>79</v>
      </c>
      <c r="F628" t="s">
        <v>25</v>
      </c>
      <c r="G628" t="s">
        <v>26</v>
      </c>
      <c r="H628" t="s">
        <v>27</v>
      </c>
      <c r="I628" t="s">
        <v>28</v>
      </c>
      <c r="J628" t="s">
        <v>29</v>
      </c>
      <c r="K628">
        <v>885</v>
      </c>
      <c r="L628">
        <v>15</v>
      </c>
      <c r="M628" s="2">
        <v>141</v>
      </c>
      <c r="N628" s="2">
        <v>54</v>
      </c>
      <c r="O628" s="2">
        <v>27</v>
      </c>
      <c r="P628" s="2">
        <v>76</v>
      </c>
      <c r="Q628" s="3">
        <v>0.53900000000000003</v>
      </c>
      <c r="R628" s="2">
        <v>130</v>
      </c>
      <c r="S628" s="2">
        <v>50</v>
      </c>
      <c r="T628" s="2">
        <v>60</v>
      </c>
      <c r="U628" s="3">
        <v>0.46150000000000002</v>
      </c>
      <c r="V628" s="2">
        <v>16</v>
      </c>
    </row>
    <row r="629" spans="1:22" x14ac:dyDescent="0.25">
      <c r="A629" t="s">
        <v>697</v>
      </c>
      <c r="B629" s="1">
        <v>45512</v>
      </c>
      <c r="C629">
        <v>203</v>
      </c>
      <c r="D629" t="s">
        <v>135</v>
      </c>
      <c r="E629" t="s">
        <v>79</v>
      </c>
      <c r="F629" t="s">
        <v>25</v>
      </c>
      <c r="G629" t="s">
        <v>33</v>
      </c>
      <c r="H629" t="s">
        <v>54</v>
      </c>
      <c r="I629" t="s">
        <v>55</v>
      </c>
      <c r="J629" t="s">
        <v>40</v>
      </c>
      <c r="K629">
        <v>375</v>
      </c>
      <c r="L629">
        <v>15</v>
      </c>
      <c r="M629" s="2">
        <v>118</v>
      </c>
      <c r="N629" s="2">
        <v>47</v>
      </c>
      <c r="O629" s="2">
        <v>43</v>
      </c>
      <c r="P629" s="2">
        <v>31</v>
      </c>
      <c r="Q629" s="3">
        <v>0.26269999999999999</v>
      </c>
      <c r="R629" s="2">
        <v>90</v>
      </c>
      <c r="S629" s="2">
        <v>30</v>
      </c>
      <c r="T629" s="2">
        <v>50</v>
      </c>
      <c r="U629" s="3">
        <v>0.55559999999999998</v>
      </c>
      <c r="V629" s="2">
        <v>-19</v>
      </c>
    </row>
    <row r="630" spans="1:22" x14ac:dyDescent="0.25">
      <c r="A630" t="s">
        <v>698</v>
      </c>
      <c r="B630" s="1">
        <v>45512</v>
      </c>
      <c r="C630">
        <v>603</v>
      </c>
      <c r="D630" t="s">
        <v>109</v>
      </c>
      <c r="E630" t="s">
        <v>79</v>
      </c>
      <c r="F630" t="s">
        <v>25</v>
      </c>
      <c r="G630" t="s">
        <v>33</v>
      </c>
      <c r="H630" t="s">
        <v>54</v>
      </c>
      <c r="I630" t="s">
        <v>68</v>
      </c>
      <c r="J630" t="s">
        <v>29</v>
      </c>
      <c r="K630">
        <v>320</v>
      </c>
      <c r="L630">
        <v>41</v>
      </c>
      <c r="M630" s="2">
        <v>116</v>
      </c>
      <c r="N630" s="2">
        <v>45</v>
      </c>
      <c r="O630" s="2">
        <v>71</v>
      </c>
      <c r="P630" s="2">
        <v>-10</v>
      </c>
      <c r="Q630" s="3">
        <v>-8.6199999999999999E-2</v>
      </c>
      <c r="R630" s="2">
        <v>90</v>
      </c>
      <c r="S630" s="2">
        <v>30</v>
      </c>
      <c r="T630" s="2">
        <v>30</v>
      </c>
      <c r="U630" s="3">
        <v>0.33329999999999999</v>
      </c>
      <c r="V630" s="2">
        <v>-40</v>
      </c>
    </row>
    <row r="631" spans="1:22" x14ac:dyDescent="0.25">
      <c r="A631" t="s">
        <v>699</v>
      </c>
      <c r="B631" s="1">
        <v>45512</v>
      </c>
      <c r="C631">
        <v>315</v>
      </c>
      <c r="D631" t="s">
        <v>99</v>
      </c>
      <c r="E631" t="s">
        <v>79</v>
      </c>
      <c r="F631" t="s">
        <v>32</v>
      </c>
      <c r="G631" t="s">
        <v>33</v>
      </c>
      <c r="H631" t="s">
        <v>34</v>
      </c>
      <c r="I631" t="s">
        <v>50</v>
      </c>
      <c r="J631" t="s">
        <v>29</v>
      </c>
      <c r="K631">
        <v>2642</v>
      </c>
      <c r="L631">
        <v>97</v>
      </c>
      <c r="M631" s="2">
        <v>745</v>
      </c>
      <c r="N631" s="2">
        <v>279</v>
      </c>
      <c r="O631" s="2">
        <v>149</v>
      </c>
      <c r="P631" s="2">
        <v>402</v>
      </c>
      <c r="Q631" s="3">
        <v>0.53959999999999997</v>
      </c>
      <c r="R631" s="2">
        <v>620</v>
      </c>
      <c r="S631" s="2">
        <v>250</v>
      </c>
      <c r="T631" s="2">
        <v>250</v>
      </c>
      <c r="U631" s="3">
        <v>0.4032</v>
      </c>
      <c r="V631" s="2">
        <v>152</v>
      </c>
    </row>
    <row r="632" spans="1:22" x14ac:dyDescent="0.25">
      <c r="A632" t="s">
        <v>700</v>
      </c>
      <c r="B632" s="1">
        <v>45512</v>
      </c>
      <c r="C632">
        <v>702</v>
      </c>
      <c r="D632" t="s">
        <v>65</v>
      </c>
      <c r="E632" t="s">
        <v>53</v>
      </c>
      <c r="F632" t="s">
        <v>25</v>
      </c>
      <c r="G632" t="s">
        <v>26</v>
      </c>
      <c r="H632" t="s">
        <v>27</v>
      </c>
      <c r="I632" t="s">
        <v>59</v>
      </c>
      <c r="J632" t="s">
        <v>29</v>
      </c>
      <c r="K632">
        <v>7058</v>
      </c>
      <c r="L632">
        <v>96</v>
      </c>
      <c r="M632" s="2">
        <v>22</v>
      </c>
      <c r="N632" s="2">
        <v>255</v>
      </c>
      <c r="O632" s="2">
        <v>129</v>
      </c>
      <c r="P632" s="2">
        <v>-539</v>
      </c>
      <c r="Q632" s="3">
        <v>-24.5</v>
      </c>
      <c r="R632" s="2">
        <v>0</v>
      </c>
      <c r="S632" s="2">
        <v>110</v>
      </c>
      <c r="T632" s="2">
        <v>-170</v>
      </c>
      <c r="U632" t="e">
        <v>#DIV/0!</v>
      </c>
      <c r="V632" s="2">
        <v>-369</v>
      </c>
    </row>
    <row r="633" spans="1:22" x14ac:dyDescent="0.25">
      <c r="A633" t="s">
        <v>701</v>
      </c>
      <c r="B633" s="1">
        <v>45513</v>
      </c>
      <c r="C633">
        <v>234</v>
      </c>
      <c r="D633" t="s">
        <v>85</v>
      </c>
      <c r="E633" t="s">
        <v>24</v>
      </c>
      <c r="F633" t="s">
        <v>32</v>
      </c>
      <c r="G633" t="s">
        <v>33</v>
      </c>
      <c r="H633" t="s">
        <v>34</v>
      </c>
      <c r="I633" t="s">
        <v>35</v>
      </c>
      <c r="J633" t="s">
        <v>29</v>
      </c>
      <c r="K633">
        <v>411</v>
      </c>
      <c r="L633">
        <v>19</v>
      </c>
      <c r="M633" s="2">
        <v>147</v>
      </c>
      <c r="N633" s="2">
        <v>59</v>
      </c>
      <c r="O633" s="2">
        <v>46</v>
      </c>
      <c r="P633" s="2">
        <v>49</v>
      </c>
      <c r="Q633" s="3">
        <v>0.33329999999999999</v>
      </c>
      <c r="R633" s="2">
        <v>130</v>
      </c>
      <c r="S633" s="2">
        <v>50</v>
      </c>
      <c r="T633" s="2">
        <v>50</v>
      </c>
      <c r="U633" s="3">
        <v>0.3846</v>
      </c>
      <c r="V633" s="2">
        <v>-1</v>
      </c>
    </row>
    <row r="634" spans="1:22" x14ac:dyDescent="0.25">
      <c r="A634" t="s">
        <v>702</v>
      </c>
      <c r="B634" s="1">
        <v>45513</v>
      </c>
      <c r="C634">
        <v>405</v>
      </c>
      <c r="D634" t="s">
        <v>148</v>
      </c>
      <c r="E634" t="s">
        <v>45</v>
      </c>
      <c r="F634" t="s">
        <v>25</v>
      </c>
      <c r="G634" t="s">
        <v>33</v>
      </c>
      <c r="H634" t="s">
        <v>54</v>
      </c>
      <c r="I634" t="s">
        <v>55</v>
      </c>
      <c r="J634" t="s">
        <v>40</v>
      </c>
      <c r="K634">
        <v>817</v>
      </c>
      <c r="L634">
        <v>29</v>
      </c>
      <c r="M634" s="2">
        <v>221</v>
      </c>
      <c r="N634" s="2">
        <v>88</v>
      </c>
      <c r="O634" s="2">
        <v>61</v>
      </c>
      <c r="P634" s="2">
        <v>72</v>
      </c>
      <c r="Q634" s="3">
        <v>0.32579999999999998</v>
      </c>
      <c r="R634" s="2">
        <v>170</v>
      </c>
      <c r="S634" s="2">
        <v>60</v>
      </c>
      <c r="T634" s="2">
        <v>60</v>
      </c>
      <c r="U634" s="3">
        <v>0.35289999999999999</v>
      </c>
      <c r="V634" s="2">
        <v>12</v>
      </c>
    </row>
    <row r="635" spans="1:22" x14ac:dyDescent="0.25">
      <c r="A635" t="s">
        <v>703</v>
      </c>
      <c r="B635" s="1">
        <v>45514</v>
      </c>
      <c r="C635">
        <v>435</v>
      </c>
      <c r="D635" t="s">
        <v>95</v>
      </c>
      <c r="E635" t="s">
        <v>53</v>
      </c>
      <c r="F635" t="s">
        <v>25</v>
      </c>
      <c r="G635" t="s">
        <v>33</v>
      </c>
      <c r="H635" t="s">
        <v>54</v>
      </c>
      <c r="I635" t="s">
        <v>55</v>
      </c>
      <c r="J635" t="s">
        <v>40</v>
      </c>
      <c r="K635">
        <v>881</v>
      </c>
      <c r="L635">
        <v>11</v>
      </c>
      <c r="M635" s="2">
        <v>99</v>
      </c>
      <c r="N635" s="2">
        <v>40</v>
      </c>
      <c r="O635" s="2">
        <v>22</v>
      </c>
      <c r="P635" s="2">
        <v>37</v>
      </c>
      <c r="Q635" s="3">
        <v>0.37369999999999998</v>
      </c>
      <c r="R635" s="2">
        <v>80</v>
      </c>
      <c r="S635" s="2">
        <v>20</v>
      </c>
      <c r="T635" s="2">
        <v>60</v>
      </c>
      <c r="U635" s="3">
        <v>0.75</v>
      </c>
      <c r="V635" s="2">
        <v>-23</v>
      </c>
    </row>
    <row r="636" spans="1:22" x14ac:dyDescent="0.25">
      <c r="A636" t="s">
        <v>704</v>
      </c>
      <c r="B636" s="1">
        <v>45514</v>
      </c>
      <c r="C636">
        <v>630</v>
      </c>
      <c r="D636" t="s">
        <v>37</v>
      </c>
      <c r="E636" t="s">
        <v>24</v>
      </c>
      <c r="F636" t="s">
        <v>32</v>
      </c>
      <c r="G636" t="s">
        <v>33</v>
      </c>
      <c r="H636" t="s">
        <v>54</v>
      </c>
      <c r="I636" t="s">
        <v>55</v>
      </c>
      <c r="J636" t="s">
        <v>40</v>
      </c>
      <c r="K636">
        <v>1820</v>
      </c>
      <c r="L636">
        <v>70</v>
      </c>
      <c r="M636" s="2">
        <v>501</v>
      </c>
      <c r="N636" s="2">
        <v>250</v>
      </c>
      <c r="O636" s="2">
        <v>94</v>
      </c>
      <c r="P636" s="2">
        <v>157</v>
      </c>
      <c r="Q636" s="3">
        <v>0.31340000000000001</v>
      </c>
      <c r="R636" s="2">
        <v>640</v>
      </c>
      <c r="S636" s="2">
        <v>320</v>
      </c>
      <c r="T636" s="2">
        <v>240</v>
      </c>
      <c r="U636" s="3">
        <v>0.375</v>
      </c>
      <c r="V636" s="2">
        <v>-83</v>
      </c>
    </row>
    <row r="637" spans="1:22" x14ac:dyDescent="0.25">
      <c r="A637" t="s">
        <v>705</v>
      </c>
      <c r="B637" s="1">
        <v>45515</v>
      </c>
      <c r="C637">
        <v>775</v>
      </c>
      <c r="D637" t="s">
        <v>65</v>
      </c>
      <c r="E637" t="s">
        <v>53</v>
      </c>
      <c r="F637" t="s">
        <v>25</v>
      </c>
      <c r="G637" t="s">
        <v>33</v>
      </c>
      <c r="H637" t="s">
        <v>34</v>
      </c>
      <c r="I637" t="s">
        <v>50</v>
      </c>
      <c r="J637" t="s">
        <v>29</v>
      </c>
      <c r="K637">
        <v>243</v>
      </c>
      <c r="L637">
        <v>12</v>
      </c>
      <c r="M637" s="2">
        <v>79</v>
      </c>
      <c r="N637" s="2">
        <v>33</v>
      </c>
      <c r="O637" s="2">
        <v>45</v>
      </c>
      <c r="P637" s="2">
        <v>-6</v>
      </c>
      <c r="Q637" s="3">
        <v>-7.5899999999999995E-2</v>
      </c>
      <c r="R637" s="2">
        <v>80</v>
      </c>
      <c r="S637" s="2">
        <v>30</v>
      </c>
      <c r="T637" s="2">
        <v>10</v>
      </c>
      <c r="U637" s="3">
        <v>0.125</v>
      </c>
      <c r="V637" s="2">
        <v>-16</v>
      </c>
    </row>
    <row r="638" spans="1:22" x14ac:dyDescent="0.25">
      <c r="A638" t="s">
        <v>706</v>
      </c>
      <c r="B638" s="1">
        <v>45515</v>
      </c>
      <c r="C638">
        <v>505</v>
      </c>
      <c r="D638" t="s">
        <v>44</v>
      </c>
      <c r="E638" t="s">
        <v>45</v>
      </c>
      <c r="F638" t="s">
        <v>25</v>
      </c>
      <c r="G638" t="s">
        <v>33</v>
      </c>
      <c r="H638" t="s">
        <v>34</v>
      </c>
      <c r="I638" t="s">
        <v>50</v>
      </c>
      <c r="J638" t="s">
        <v>29</v>
      </c>
      <c r="K638">
        <v>447</v>
      </c>
      <c r="L638">
        <v>14</v>
      </c>
      <c r="M638" s="2">
        <v>121</v>
      </c>
      <c r="N638" s="2">
        <v>45</v>
      </c>
      <c r="O638" s="2">
        <v>46</v>
      </c>
      <c r="P638" s="2">
        <v>34</v>
      </c>
      <c r="Q638" s="3">
        <v>0.28100000000000003</v>
      </c>
      <c r="R638" s="2">
        <v>160</v>
      </c>
      <c r="S638" s="2">
        <v>50</v>
      </c>
      <c r="T638" s="2">
        <v>80</v>
      </c>
      <c r="U638" s="3">
        <v>0.5</v>
      </c>
      <c r="V638" s="2">
        <v>-46</v>
      </c>
    </row>
    <row r="639" spans="1:22" x14ac:dyDescent="0.25">
      <c r="A639" t="s">
        <v>707</v>
      </c>
      <c r="B639" s="1">
        <v>45515</v>
      </c>
      <c r="C639">
        <v>818</v>
      </c>
      <c r="D639" t="s">
        <v>62</v>
      </c>
      <c r="E639" t="s">
        <v>53</v>
      </c>
      <c r="F639" t="s">
        <v>32</v>
      </c>
      <c r="G639" t="s">
        <v>33</v>
      </c>
      <c r="H639" t="s">
        <v>54</v>
      </c>
      <c r="I639" t="s">
        <v>68</v>
      </c>
      <c r="J639" t="s">
        <v>29</v>
      </c>
      <c r="K639">
        <v>912</v>
      </c>
      <c r="L639">
        <v>109</v>
      </c>
      <c r="M639" s="2">
        <v>289</v>
      </c>
      <c r="N639" s="2">
        <v>121</v>
      </c>
      <c r="O639" s="2">
        <v>142</v>
      </c>
      <c r="P639" s="2">
        <v>26</v>
      </c>
      <c r="Q639" s="3">
        <v>0.09</v>
      </c>
      <c r="R639" s="2">
        <v>280</v>
      </c>
      <c r="S639" s="2">
        <v>110</v>
      </c>
      <c r="T639" s="2">
        <v>40</v>
      </c>
      <c r="U639" s="3">
        <v>0.1429</v>
      </c>
      <c r="V639" s="2">
        <v>-14</v>
      </c>
    </row>
    <row r="640" spans="1:22" x14ac:dyDescent="0.25">
      <c r="A640" t="s">
        <v>708</v>
      </c>
      <c r="B640" s="1">
        <v>45516</v>
      </c>
      <c r="C640">
        <v>509</v>
      </c>
      <c r="D640" t="s">
        <v>52</v>
      </c>
      <c r="E640" t="s">
        <v>53</v>
      </c>
      <c r="F640" t="s">
        <v>25</v>
      </c>
      <c r="G640" t="s">
        <v>26</v>
      </c>
      <c r="H640" t="s">
        <v>38</v>
      </c>
      <c r="I640" t="s">
        <v>46</v>
      </c>
      <c r="J640" t="s">
        <v>40</v>
      </c>
      <c r="K640">
        <v>829</v>
      </c>
      <c r="L640">
        <v>13</v>
      </c>
      <c r="M640" s="2">
        <v>127</v>
      </c>
      <c r="N640" s="2">
        <v>48</v>
      </c>
      <c r="O640" s="2">
        <v>24</v>
      </c>
      <c r="P640" s="2">
        <v>70</v>
      </c>
      <c r="Q640" s="3">
        <v>0.55120000000000002</v>
      </c>
      <c r="R640" s="2">
        <v>90</v>
      </c>
      <c r="S640" s="2">
        <v>30</v>
      </c>
      <c r="T640" s="2">
        <v>60</v>
      </c>
      <c r="U640" s="3">
        <v>0.66669999999999996</v>
      </c>
      <c r="V640" s="2">
        <v>10</v>
      </c>
    </row>
    <row r="641" spans="1:22" x14ac:dyDescent="0.25">
      <c r="A641" t="s">
        <v>709</v>
      </c>
      <c r="B641" s="1">
        <v>45516</v>
      </c>
      <c r="C641">
        <v>206</v>
      </c>
      <c r="D641" t="s">
        <v>52</v>
      </c>
      <c r="E641" t="s">
        <v>53</v>
      </c>
      <c r="F641" t="s">
        <v>25</v>
      </c>
      <c r="G641" t="s">
        <v>26</v>
      </c>
      <c r="H641" t="s">
        <v>27</v>
      </c>
      <c r="I641" t="s">
        <v>42</v>
      </c>
      <c r="J641" t="s">
        <v>29</v>
      </c>
      <c r="K641">
        <v>454</v>
      </c>
      <c r="L641">
        <v>15</v>
      </c>
      <c r="M641" s="2">
        <v>120</v>
      </c>
      <c r="N641" s="2">
        <v>49</v>
      </c>
      <c r="O641" s="2">
        <v>37</v>
      </c>
      <c r="P641" s="2">
        <v>34</v>
      </c>
      <c r="Q641" s="3">
        <v>0.2833</v>
      </c>
      <c r="R641" s="2">
        <v>80</v>
      </c>
      <c r="S641" s="2">
        <v>30</v>
      </c>
      <c r="T641" s="2">
        <v>30</v>
      </c>
      <c r="U641" s="3">
        <v>0.375</v>
      </c>
      <c r="V641" s="2">
        <v>4</v>
      </c>
    </row>
    <row r="642" spans="1:22" x14ac:dyDescent="0.25">
      <c r="A642" t="s">
        <v>710</v>
      </c>
      <c r="B642" s="1">
        <v>45516</v>
      </c>
      <c r="C642">
        <v>754</v>
      </c>
      <c r="D642" t="s">
        <v>117</v>
      </c>
      <c r="E642" t="s">
        <v>79</v>
      </c>
      <c r="F642" t="s">
        <v>32</v>
      </c>
      <c r="G642" t="s">
        <v>33</v>
      </c>
      <c r="H642" t="s">
        <v>34</v>
      </c>
      <c r="I642" t="s">
        <v>50</v>
      </c>
      <c r="J642" t="s">
        <v>29</v>
      </c>
      <c r="K642">
        <v>798</v>
      </c>
      <c r="L642">
        <v>25</v>
      </c>
      <c r="M642" s="2">
        <v>197</v>
      </c>
      <c r="N642" s="2">
        <v>78</v>
      </c>
      <c r="O642" s="2">
        <v>56</v>
      </c>
      <c r="P642" s="2">
        <v>63</v>
      </c>
      <c r="Q642" s="3">
        <v>0.31979999999999997</v>
      </c>
      <c r="R642" s="2">
        <v>170</v>
      </c>
      <c r="S642" s="2">
        <v>70</v>
      </c>
      <c r="T642" s="2">
        <v>60</v>
      </c>
      <c r="U642" s="3">
        <v>0.35289999999999999</v>
      </c>
      <c r="V642" s="2">
        <v>3</v>
      </c>
    </row>
    <row r="643" spans="1:22" x14ac:dyDescent="0.25">
      <c r="A643" t="s">
        <v>711</v>
      </c>
      <c r="B643" s="1">
        <v>45516</v>
      </c>
      <c r="C643">
        <v>904</v>
      </c>
      <c r="D643" t="s">
        <v>117</v>
      </c>
      <c r="E643" t="s">
        <v>79</v>
      </c>
      <c r="F643" t="s">
        <v>32</v>
      </c>
      <c r="G643" t="s">
        <v>26</v>
      </c>
      <c r="H643" t="s">
        <v>38</v>
      </c>
      <c r="I643" t="s">
        <v>39</v>
      </c>
      <c r="J643" t="s">
        <v>40</v>
      </c>
      <c r="K643">
        <v>573</v>
      </c>
      <c r="L643">
        <v>7</v>
      </c>
      <c r="M643" s="2">
        <v>54</v>
      </c>
      <c r="N643" s="2">
        <v>22</v>
      </c>
      <c r="O643" s="2">
        <v>19</v>
      </c>
      <c r="P643" s="2">
        <v>15</v>
      </c>
      <c r="Q643" s="3">
        <v>0.27779999999999999</v>
      </c>
      <c r="R643" s="2">
        <v>20</v>
      </c>
      <c r="S643" s="2">
        <v>0</v>
      </c>
      <c r="T643" s="2">
        <v>20</v>
      </c>
      <c r="U643" s="3">
        <v>1</v>
      </c>
      <c r="V643" s="2">
        <v>-5</v>
      </c>
    </row>
    <row r="644" spans="1:22" x14ac:dyDescent="0.25">
      <c r="A644" t="s">
        <v>712</v>
      </c>
      <c r="B644" s="1">
        <v>45516</v>
      </c>
      <c r="C644">
        <v>775</v>
      </c>
      <c r="D644" t="s">
        <v>65</v>
      </c>
      <c r="E644" t="s">
        <v>53</v>
      </c>
      <c r="F644" t="s">
        <v>25</v>
      </c>
      <c r="G644" t="s">
        <v>26</v>
      </c>
      <c r="H644" t="s">
        <v>38</v>
      </c>
      <c r="I644" t="s">
        <v>66</v>
      </c>
      <c r="J644" t="s">
        <v>40</v>
      </c>
      <c r="K644">
        <v>803</v>
      </c>
      <c r="L644">
        <v>36</v>
      </c>
      <c r="M644" s="2">
        <v>296</v>
      </c>
      <c r="N644" s="2">
        <v>113</v>
      </c>
      <c r="O644" s="2">
        <v>58</v>
      </c>
      <c r="P644" s="2">
        <v>159</v>
      </c>
      <c r="Q644" s="3">
        <v>0.53720000000000001</v>
      </c>
      <c r="R644" s="2">
        <v>250</v>
      </c>
      <c r="S644" s="2">
        <v>100</v>
      </c>
      <c r="T644" s="2">
        <v>100</v>
      </c>
      <c r="U644" s="3">
        <v>0.4</v>
      </c>
      <c r="V644" s="2">
        <v>59</v>
      </c>
    </row>
    <row r="645" spans="1:22" x14ac:dyDescent="0.25">
      <c r="A645" t="s">
        <v>713</v>
      </c>
      <c r="B645" s="1">
        <v>45517</v>
      </c>
      <c r="C645">
        <v>959</v>
      </c>
      <c r="D645" t="s">
        <v>135</v>
      </c>
      <c r="E645" t="s">
        <v>79</v>
      </c>
      <c r="F645" t="s">
        <v>25</v>
      </c>
      <c r="G645" t="s">
        <v>26</v>
      </c>
      <c r="H645" t="s">
        <v>27</v>
      </c>
      <c r="I645" t="s">
        <v>59</v>
      </c>
      <c r="J645" t="s">
        <v>29</v>
      </c>
      <c r="K645">
        <v>818</v>
      </c>
      <c r="L645">
        <v>9</v>
      </c>
      <c r="M645" s="2">
        <v>82</v>
      </c>
      <c r="N645" s="2">
        <v>33</v>
      </c>
      <c r="O645" s="2">
        <v>21</v>
      </c>
      <c r="P645" s="2">
        <v>28</v>
      </c>
      <c r="Q645" s="3">
        <v>0.34150000000000003</v>
      </c>
      <c r="R645" s="2">
        <v>80</v>
      </c>
      <c r="S645" s="2">
        <v>30</v>
      </c>
      <c r="T645" s="2">
        <v>40</v>
      </c>
      <c r="U645" s="3">
        <v>0.5</v>
      </c>
      <c r="V645" s="2">
        <v>-12</v>
      </c>
    </row>
    <row r="646" spans="1:22" x14ac:dyDescent="0.25">
      <c r="A646" t="s">
        <v>714</v>
      </c>
      <c r="B646" s="1">
        <v>45517</v>
      </c>
      <c r="C646">
        <v>234</v>
      </c>
      <c r="D646" t="s">
        <v>85</v>
      </c>
      <c r="E646" t="s">
        <v>24</v>
      </c>
      <c r="F646" t="s">
        <v>32</v>
      </c>
      <c r="G646" t="s">
        <v>33</v>
      </c>
      <c r="H646" t="s">
        <v>34</v>
      </c>
      <c r="I646" t="s">
        <v>50</v>
      </c>
      <c r="J646" t="s">
        <v>29</v>
      </c>
      <c r="K646">
        <v>424</v>
      </c>
      <c r="L646">
        <v>14</v>
      </c>
      <c r="M646" s="2">
        <v>121</v>
      </c>
      <c r="N646" s="2">
        <v>46</v>
      </c>
      <c r="O646" s="2">
        <v>36</v>
      </c>
      <c r="P646" s="2">
        <v>47</v>
      </c>
      <c r="Q646" s="3">
        <v>0.38840000000000002</v>
      </c>
      <c r="R646" s="2">
        <v>110</v>
      </c>
      <c r="S646" s="2">
        <v>40</v>
      </c>
      <c r="T646" s="2">
        <v>40</v>
      </c>
      <c r="U646" s="3">
        <v>0.36359999999999998</v>
      </c>
      <c r="V646" s="2">
        <v>7</v>
      </c>
    </row>
    <row r="647" spans="1:22" x14ac:dyDescent="0.25">
      <c r="A647" t="s">
        <v>715</v>
      </c>
      <c r="B647" s="1">
        <v>45517</v>
      </c>
      <c r="C647">
        <v>786</v>
      </c>
      <c r="D647" t="s">
        <v>117</v>
      </c>
      <c r="E647" t="s">
        <v>79</v>
      </c>
      <c r="F647" t="s">
        <v>32</v>
      </c>
      <c r="G647" t="s">
        <v>26</v>
      </c>
      <c r="H647" t="s">
        <v>38</v>
      </c>
      <c r="I647" t="s">
        <v>46</v>
      </c>
      <c r="J647" t="s">
        <v>40</v>
      </c>
      <c r="K647">
        <v>385</v>
      </c>
      <c r="L647">
        <v>21</v>
      </c>
      <c r="M647" s="2">
        <v>134</v>
      </c>
      <c r="N647" s="2">
        <v>56</v>
      </c>
      <c r="O647" s="2">
        <v>54</v>
      </c>
      <c r="P647" s="2">
        <v>24</v>
      </c>
      <c r="Q647" s="3">
        <v>0.17910000000000001</v>
      </c>
      <c r="R647" s="2">
        <v>60</v>
      </c>
      <c r="S647" s="2">
        <v>30</v>
      </c>
      <c r="T647" s="2">
        <v>20</v>
      </c>
      <c r="U647" s="3">
        <v>0.33329999999999999</v>
      </c>
      <c r="V647" s="2">
        <v>4</v>
      </c>
    </row>
    <row r="648" spans="1:22" x14ac:dyDescent="0.25">
      <c r="A648" t="s">
        <v>716</v>
      </c>
      <c r="B648" s="1">
        <v>45517</v>
      </c>
      <c r="C648">
        <v>715</v>
      </c>
      <c r="D648" t="s">
        <v>23</v>
      </c>
      <c r="E648" t="s">
        <v>24</v>
      </c>
      <c r="F648" t="s">
        <v>25</v>
      </c>
      <c r="G648" t="s">
        <v>26</v>
      </c>
      <c r="H648" t="s">
        <v>38</v>
      </c>
      <c r="I648" t="s">
        <v>39</v>
      </c>
      <c r="J648" t="s">
        <v>40</v>
      </c>
      <c r="K648">
        <v>329</v>
      </c>
      <c r="L648">
        <v>18</v>
      </c>
      <c r="M648" s="2">
        <v>169</v>
      </c>
      <c r="N648" s="2">
        <v>60</v>
      </c>
      <c r="O648" s="2">
        <v>42</v>
      </c>
      <c r="P648" s="2">
        <v>85</v>
      </c>
      <c r="Q648" s="3">
        <v>0.503</v>
      </c>
      <c r="R648" s="2">
        <v>120</v>
      </c>
      <c r="S648" s="2">
        <v>40</v>
      </c>
      <c r="T648" s="2">
        <v>80</v>
      </c>
      <c r="U648" s="3">
        <v>0.66669999999999996</v>
      </c>
      <c r="V648" s="2">
        <v>5</v>
      </c>
    </row>
    <row r="649" spans="1:22" x14ac:dyDescent="0.25">
      <c r="A649" t="s">
        <v>717</v>
      </c>
      <c r="B649" s="1">
        <v>45518</v>
      </c>
      <c r="C649">
        <v>970</v>
      </c>
      <c r="D649" t="s">
        <v>31</v>
      </c>
      <c r="E649" t="s">
        <v>24</v>
      </c>
      <c r="F649" t="s">
        <v>32</v>
      </c>
      <c r="G649" t="s">
        <v>33</v>
      </c>
      <c r="H649" t="s">
        <v>34</v>
      </c>
      <c r="I649" t="s">
        <v>50</v>
      </c>
      <c r="J649" t="s">
        <v>29</v>
      </c>
      <c r="K649">
        <v>531</v>
      </c>
      <c r="L649">
        <v>14</v>
      </c>
      <c r="M649" s="2">
        <v>106</v>
      </c>
      <c r="N649" s="2">
        <v>43</v>
      </c>
      <c r="O649" s="2">
        <v>27</v>
      </c>
      <c r="P649" s="2">
        <v>43</v>
      </c>
      <c r="Q649" s="3">
        <v>0.40570000000000001</v>
      </c>
      <c r="R649" s="2">
        <v>90</v>
      </c>
      <c r="S649" s="2">
        <v>40</v>
      </c>
      <c r="T649" s="2">
        <v>30</v>
      </c>
      <c r="U649" s="3">
        <v>0.33329999999999999</v>
      </c>
      <c r="V649" s="2">
        <v>13</v>
      </c>
    </row>
    <row r="650" spans="1:22" x14ac:dyDescent="0.25">
      <c r="A650" t="s">
        <v>718</v>
      </c>
      <c r="B650" s="1">
        <v>45518</v>
      </c>
      <c r="C650">
        <v>253</v>
      </c>
      <c r="D650" t="s">
        <v>52</v>
      </c>
      <c r="E650" t="s">
        <v>53</v>
      </c>
      <c r="F650" t="s">
        <v>25</v>
      </c>
      <c r="G650" t="s">
        <v>26</v>
      </c>
      <c r="H650" t="s">
        <v>27</v>
      </c>
      <c r="I650" t="s">
        <v>42</v>
      </c>
      <c r="J650" t="s">
        <v>29</v>
      </c>
      <c r="K650">
        <v>466</v>
      </c>
      <c r="L650">
        <v>13</v>
      </c>
      <c r="M650" s="2">
        <v>113</v>
      </c>
      <c r="N650" s="2">
        <v>43</v>
      </c>
      <c r="O650" s="2">
        <v>35</v>
      </c>
      <c r="P650" s="2">
        <v>42</v>
      </c>
      <c r="Q650" s="3">
        <v>0.37169999999999997</v>
      </c>
      <c r="R650" s="2">
        <v>70</v>
      </c>
      <c r="S650" s="2">
        <v>30</v>
      </c>
      <c r="T650" s="2">
        <v>20</v>
      </c>
      <c r="U650" s="3">
        <v>0.28570000000000001</v>
      </c>
      <c r="V650" s="2">
        <v>22</v>
      </c>
    </row>
    <row r="651" spans="1:22" x14ac:dyDescent="0.25">
      <c r="A651" t="s">
        <v>719</v>
      </c>
      <c r="B651" s="1">
        <v>45518</v>
      </c>
      <c r="C651">
        <v>541</v>
      </c>
      <c r="D651" t="s">
        <v>71</v>
      </c>
      <c r="E651" t="s">
        <v>53</v>
      </c>
      <c r="F651" t="s">
        <v>25</v>
      </c>
      <c r="G651" t="s">
        <v>33</v>
      </c>
      <c r="H651" t="s">
        <v>34</v>
      </c>
      <c r="I651" t="s">
        <v>50</v>
      </c>
      <c r="J651" t="s">
        <v>29</v>
      </c>
      <c r="K651">
        <v>482</v>
      </c>
      <c r="L651">
        <v>13</v>
      </c>
      <c r="M651" s="2">
        <v>104</v>
      </c>
      <c r="N651" s="2">
        <v>41</v>
      </c>
      <c r="O651" s="2">
        <v>56</v>
      </c>
      <c r="P651" s="2">
        <v>1</v>
      </c>
      <c r="Q651" s="3">
        <v>9.5999999999999992E-3</v>
      </c>
      <c r="R651" s="2">
        <v>110</v>
      </c>
      <c r="S651" s="2">
        <v>40</v>
      </c>
      <c r="T651" s="2">
        <v>20</v>
      </c>
      <c r="U651" s="3">
        <v>0.18179999999999999</v>
      </c>
      <c r="V651" s="2">
        <v>-19</v>
      </c>
    </row>
    <row r="652" spans="1:22" x14ac:dyDescent="0.25">
      <c r="A652" t="s">
        <v>720</v>
      </c>
      <c r="B652" s="1">
        <v>45518</v>
      </c>
      <c r="C652">
        <v>580</v>
      </c>
      <c r="D652" t="s">
        <v>148</v>
      </c>
      <c r="E652" t="s">
        <v>45</v>
      </c>
      <c r="F652" t="s">
        <v>25</v>
      </c>
      <c r="G652" t="s">
        <v>33</v>
      </c>
      <c r="H652" t="s">
        <v>54</v>
      </c>
      <c r="I652" t="s">
        <v>68</v>
      </c>
      <c r="J652" t="s">
        <v>29</v>
      </c>
      <c r="K652">
        <v>490</v>
      </c>
      <c r="L652">
        <v>8</v>
      </c>
      <c r="M652" s="2">
        <v>73</v>
      </c>
      <c r="N652" s="2">
        <v>29</v>
      </c>
      <c r="O652" s="2">
        <v>20</v>
      </c>
      <c r="P652" s="2">
        <v>24</v>
      </c>
      <c r="Q652" s="3">
        <v>0.32879999999999998</v>
      </c>
      <c r="R652" s="2">
        <v>50</v>
      </c>
      <c r="S652" s="2">
        <v>20</v>
      </c>
      <c r="T652" s="2">
        <v>20</v>
      </c>
      <c r="U652" s="3">
        <v>0.4</v>
      </c>
      <c r="V652" s="2">
        <v>4</v>
      </c>
    </row>
    <row r="653" spans="1:22" x14ac:dyDescent="0.25">
      <c r="A653" t="s">
        <v>721</v>
      </c>
      <c r="B653" s="1">
        <v>45518</v>
      </c>
      <c r="C653">
        <v>414</v>
      </c>
      <c r="D653" t="s">
        <v>23</v>
      </c>
      <c r="E653" t="s">
        <v>24</v>
      </c>
      <c r="F653" t="s">
        <v>25</v>
      </c>
      <c r="G653" t="s">
        <v>26</v>
      </c>
      <c r="H653" t="s">
        <v>38</v>
      </c>
      <c r="I653" t="s">
        <v>39</v>
      </c>
      <c r="J653" t="s">
        <v>40</v>
      </c>
      <c r="K653">
        <v>329</v>
      </c>
      <c r="L653">
        <v>18</v>
      </c>
      <c r="M653" s="2">
        <v>159</v>
      </c>
      <c r="N653" s="2">
        <v>60</v>
      </c>
      <c r="O653" s="2">
        <v>42</v>
      </c>
      <c r="P653" s="2">
        <v>57</v>
      </c>
      <c r="Q653" s="3">
        <v>0.35849999999999999</v>
      </c>
      <c r="R653" s="2">
        <v>120</v>
      </c>
      <c r="S653" s="2">
        <v>40</v>
      </c>
      <c r="T653" s="2">
        <v>80</v>
      </c>
      <c r="U653" s="3">
        <v>0.66669999999999996</v>
      </c>
      <c r="V653" s="2">
        <v>-23</v>
      </c>
    </row>
    <row r="654" spans="1:22" x14ac:dyDescent="0.25">
      <c r="A654" t="s">
        <v>722</v>
      </c>
      <c r="B654" s="1">
        <v>45518</v>
      </c>
      <c r="C654">
        <v>641</v>
      </c>
      <c r="D654" t="s">
        <v>124</v>
      </c>
      <c r="E654" t="s">
        <v>24</v>
      </c>
      <c r="F654" t="s">
        <v>25</v>
      </c>
      <c r="G654" t="s">
        <v>26</v>
      </c>
      <c r="H654" t="s">
        <v>38</v>
      </c>
      <c r="I654" t="s">
        <v>46</v>
      </c>
      <c r="J654" t="s">
        <v>40</v>
      </c>
      <c r="K654">
        <v>803</v>
      </c>
      <c r="L654">
        <v>36</v>
      </c>
      <c r="M654" s="2">
        <v>296</v>
      </c>
      <c r="N654" s="2">
        <v>113</v>
      </c>
      <c r="O654" s="2">
        <v>58</v>
      </c>
      <c r="P654" s="2">
        <v>159</v>
      </c>
      <c r="Q654" s="3">
        <v>0.53720000000000001</v>
      </c>
      <c r="R654" s="2">
        <v>250</v>
      </c>
      <c r="S654" s="2">
        <v>100</v>
      </c>
      <c r="T654" s="2">
        <v>100</v>
      </c>
      <c r="U654" s="3">
        <v>0.4</v>
      </c>
      <c r="V654" s="2">
        <v>59</v>
      </c>
    </row>
    <row r="655" spans="1:22" x14ac:dyDescent="0.25">
      <c r="A655" t="s">
        <v>723</v>
      </c>
      <c r="B655" s="1">
        <v>45518</v>
      </c>
      <c r="C655">
        <v>303</v>
      </c>
      <c r="D655" t="s">
        <v>31</v>
      </c>
      <c r="E655" t="s">
        <v>24</v>
      </c>
      <c r="F655" t="s">
        <v>32</v>
      </c>
      <c r="G655" t="s">
        <v>33</v>
      </c>
      <c r="H655" t="s">
        <v>34</v>
      </c>
      <c r="I655" t="s">
        <v>35</v>
      </c>
      <c r="J655" t="s">
        <v>29</v>
      </c>
      <c r="K655">
        <v>959</v>
      </c>
      <c r="L655">
        <v>34</v>
      </c>
      <c r="M655" s="2">
        <v>322</v>
      </c>
      <c r="N655" s="2">
        <v>123</v>
      </c>
      <c r="O655" s="2">
        <v>45</v>
      </c>
      <c r="P655" s="2">
        <v>199</v>
      </c>
      <c r="Q655" s="3">
        <v>0.61799999999999999</v>
      </c>
      <c r="R655" s="2">
        <v>290</v>
      </c>
      <c r="S655" s="2">
        <v>120</v>
      </c>
      <c r="T655" s="2">
        <v>130</v>
      </c>
      <c r="U655" s="3">
        <v>0.44829999999999998</v>
      </c>
      <c r="V655" s="2">
        <v>69</v>
      </c>
    </row>
    <row r="656" spans="1:22" x14ac:dyDescent="0.25">
      <c r="A656" t="s">
        <v>724</v>
      </c>
      <c r="B656" s="1">
        <v>45519</v>
      </c>
      <c r="C656">
        <v>585</v>
      </c>
      <c r="D656" t="s">
        <v>99</v>
      </c>
      <c r="E656" t="s">
        <v>79</v>
      </c>
      <c r="F656" t="s">
        <v>32</v>
      </c>
      <c r="G656" t="s">
        <v>26</v>
      </c>
      <c r="H656" t="s">
        <v>38</v>
      </c>
      <c r="I656" t="s">
        <v>46</v>
      </c>
      <c r="J656" t="s">
        <v>40</v>
      </c>
      <c r="K656">
        <v>1622</v>
      </c>
      <c r="L656">
        <v>96</v>
      </c>
      <c r="M656" s="2">
        <v>547</v>
      </c>
      <c r="N656" s="2">
        <v>255</v>
      </c>
      <c r="O656" s="2">
        <v>129</v>
      </c>
      <c r="P656" s="2">
        <v>191</v>
      </c>
      <c r="Q656" s="3">
        <v>0.34920000000000001</v>
      </c>
      <c r="R656" s="2">
        <v>290</v>
      </c>
      <c r="S656" s="2">
        <v>140</v>
      </c>
      <c r="T656" s="2">
        <v>70</v>
      </c>
      <c r="U656" s="3">
        <v>0.2414</v>
      </c>
      <c r="V656" s="2">
        <v>121</v>
      </c>
    </row>
    <row r="657" spans="1:22" x14ac:dyDescent="0.25">
      <c r="A657" t="s">
        <v>725</v>
      </c>
      <c r="B657" s="1">
        <v>45519</v>
      </c>
      <c r="C657">
        <v>970</v>
      </c>
      <c r="D657" t="s">
        <v>31</v>
      </c>
      <c r="E657" t="s">
        <v>24</v>
      </c>
      <c r="F657" t="s">
        <v>32</v>
      </c>
      <c r="G657" t="s">
        <v>33</v>
      </c>
      <c r="H657" t="s">
        <v>34</v>
      </c>
      <c r="I657" t="s">
        <v>35</v>
      </c>
      <c r="J657" t="s">
        <v>29</v>
      </c>
      <c r="K657">
        <v>915</v>
      </c>
      <c r="L657">
        <v>34</v>
      </c>
      <c r="M657" s="2">
        <v>302</v>
      </c>
      <c r="N657" s="2">
        <v>123</v>
      </c>
      <c r="O657" s="2">
        <v>46</v>
      </c>
      <c r="P657" s="2">
        <v>133</v>
      </c>
      <c r="Q657" s="3">
        <v>0.44040000000000001</v>
      </c>
      <c r="R657" s="2">
        <v>300</v>
      </c>
      <c r="S657" s="2">
        <v>120</v>
      </c>
      <c r="T657" s="2">
        <v>160</v>
      </c>
      <c r="U657" s="3">
        <v>0.5333</v>
      </c>
      <c r="V657" s="2">
        <v>-27</v>
      </c>
    </row>
    <row r="658" spans="1:22" x14ac:dyDescent="0.25">
      <c r="A658" t="s">
        <v>726</v>
      </c>
      <c r="B658" s="1">
        <v>45519</v>
      </c>
      <c r="C658">
        <v>312</v>
      </c>
      <c r="D658" t="s">
        <v>37</v>
      </c>
      <c r="E658" t="s">
        <v>24</v>
      </c>
      <c r="F658" t="s">
        <v>32</v>
      </c>
      <c r="G658" t="s">
        <v>26</v>
      </c>
      <c r="H658" t="s">
        <v>38</v>
      </c>
      <c r="I658" t="s">
        <v>39</v>
      </c>
      <c r="J658" t="s">
        <v>40</v>
      </c>
      <c r="K658">
        <v>930</v>
      </c>
      <c r="L658">
        <v>33</v>
      </c>
      <c r="M658" s="2">
        <v>290</v>
      </c>
      <c r="N658" s="2">
        <v>118</v>
      </c>
      <c r="O658" s="2">
        <v>45</v>
      </c>
      <c r="P658" s="2">
        <v>127</v>
      </c>
      <c r="Q658" s="3">
        <v>0.43790000000000001</v>
      </c>
      <c r="R658" s="2">
        <v>260</v>
      </c>
      <c r="S658" s="2">
        <v>110</v>
      </c>
      <c r="T658" s="2">
        <v>110</v>
      </c>
      <c r="U658" s="3">
        <v>0.42309999999999998</v>
      </c>
      <c r="V658" s="2">
        <v>17</v>
      </c>
    </row>
    <row r="659" spans="1:22" x14ac:dyDescent="0.25">
      <c r="A659" t="s">
        <v>727</v>
      </c>
      <c r="B659" s="1">
        <v>45520</v>
      </c>
      <c r="C659">
        <v>775</v>
      </c>
      <c r="D659" t="s">
        <v>65</v>
      </c>
      <c r="E659" t="s">
        <v>53</v>
      </c>
      <c r="F659" t="s">
        <v>25</v>
      </c>
      <c r="G659" t="s">
        <v>33</v>
      </c>
      <c r="H659" t="s">
        <v>34</v>
      </c>
      <c r="I659" t="s">
        <v>50</v>
      </c>
      <c r="J659" t="s">
        <v>29</v>
      </c>
      <c r="K659">
        <v>240</v>
      </c>
      <c r="L659">
        <v>12</v>
      </c>
      <c r="M659" s="2">
        <v>77</v>
      </c>
      <c r="N659" s="2">
        <v>34</v>
      </c>
      <c r="O659" s="2">
        <v>45</v>
      </c>
      <c r="P659" s="2">
        <v>-2</v>
      </c>
      <c r="Q659" s="3">
        <v>-2.5999999999999999E-2</v>
      </c>
      <c r="R659" s="2">
        <v>100</v>
      </c>
      <c r="S659" s="2">
        <v>40</v>
      </c>
      <c r="T659" s="2">
        <v>30</v>
      </c>
      <c r="U659" s="3">
        <v>0.3</v>
      </c>
      <c r="V659" s="2">
        <v>-32</v>
      </c>
    </row>
    <row r="660" spans="1:22" x14ac:dyDescent="0.25">
      <c r="A660" t="s">
        <v>728</v>
      </c>
      <c r="B660" s="1">
        <v>45523</v>
      </c>
      <c r="C660">
        <v>603</v>
      </c>
      <c r="D660" t="s">
        <v>109</v>
      </c>
      <c r="E660" t="s">
        <v>79</v>
      </c>
      <c r="F660" t="s">
        <v>25</v>
      </c>
      <c r="G660" t="s">
        <v>33</v>
      </c>
      <c r="H660" t="s">
        <v>34</v>
      </c>
      <c r="I660" t="s">
        <v>50</v>
      </c>
      <c r="J660" t="s">
        <v>29</v>
      </c>
      <c r="K660">
        <v>447</v>
      </c>
      <c r="L660">
        <v>14</v>
      </c>
      <c r="M660" s="2">
        <v>114</v>
      </c>
      <c r="N660" s="2">
        <v>45</v>
      </c>
      <c r="O660" s="2">
        <v>45</v>
      </c>
      <c r="P660" s="2">
        <v>24</v>
      </c>
      <c r="Q660" s="3">
        <v>0.21049999999999999</v>
      </c>
      <c r="R660" s="2">
        <v>90</v>
      </c>
      <c r="S660" s="2">
        <v>30</v>
      </c>
      <c r="T660" s="2">
        <v>50</v>
      </c>
      <c r="U660" s="3">
        <v>0.55559999999999998</v>
      </c>
      <c r="V660" s="2">
        <v>-26</v>
      </c>
    </row>
    <row r="661" spans="1:22" x14ac:dyDescent="0.25">
      <c r="A661" t="s">
        <v>729</v>
      </c>
      <c r="B661" s="1">
        <v>45523</v>
      </c>
      <c r="C661">
        <v>209</v>
      </c>
      <c r="D661" t="s">
        <v>62</v>
      </c>
      <c r="E661" t="s">
        <v>53</v>
      </c>
      <c r="F661" t="s">
        <v>32</v>
      </c>
      <c r="G661" t="s">
        <v>26</v>
      </c>
      <c r="H661" t="s">
        <v>27</v>
      </c>
      <c r="I661" t="s">
        <v>42</v>
      </c>
      <c r="J661" t="s">
        <v>29</v>
      </c>
      <c r="K661">
        <v>580</v>
      </c>
      <c r="L661">
        <v>21</v>
      </c>
      <c r="M661" s="2">
        <v>187</v>
      </c>
      <c r="N661" s="2">
        <v>76</v>
      </c>
      <c r="O661" s="2">
        <v>32</v>
      </c>
      <c r="P661" s="2">
        <v>79</v>
      </c>
      <c r="Q661" s="3">
        <v>0.42249999999999999</v>
      </c>
      <c r="R661" s="2">
        <v>80</v>
      </c>
      <c r="S661" s="2">
        <v>30</v>
      </c>
      <c r="T661" s="2">
        <v>50</v>
      </c>
      <c r="U661" s="3">
        <v>0.625</v>
      </c>
      <c r="V661" s="2">
        <v>29</v>
      </c>
    </row>
    <row r="662" spans="1:22" x14ac:dyDescent="0.25">
      <c r="A662" t="s">
        <v>730</v>
      </c>
      <c r="B662" s="1">
        <v>45523</v>
      </c>
      <c r="C662">
        <v>206</v>
      </c>
      <c r="D662" t="s">
        <v>52</v>
      </c>
      <c r="E662" t="s">
        <v>53</v>
      </c>
      <c r="F662" t="s">
        <v>25</v>
      </c>
      <c r="G662" t="s">
        <v>33</v>
      </c>
      <c r="H662" t="s">
        <v>54</v>
      </c>
      <c r="I662" t="s">
        <v>72</v>
      </c>
      <c r="J662" t="s">
        <v>29</v>
      </c>
      <c r="K662">
        <v>567</v>
      </c>
      <c r="L662">
        <v>7</v>
      </c>
      <c r="M662" s="2">
        <v>60</v>
      </c>
      <c r="N662" s="2">
        <v>24</v>
      </c>
      <c r="O662" s="2">
        <v>19</v>
      </c>
      <c r="P662" s="2">
        <v>19</v>
      </c>
      <c r="Q662" s="3">
        <v>0.31669999999999998</v>
      </c>
      <c r="R662" s="2">
        <v>50</v>
      </c>
      <c r="S662" s="2">
        <v>20</v>
      </c>
      <c r="T662" s="2">
        <v>20</v>
      </c>
      <c r="U662" s="3">
        <v>0.4</v>
      </c>
      <c r="V662" s="2">
        <v>-1</v>
      </c>
    </row>
    <row r="663" spans="1:22" x14ac:dyDescent="0.25">
      <c r="A663" t="s">
        <v>731</v>
      </c>
      <c r="B663" s="1">
        <v>45523</v>
      </c>
      <c r="C663">
        <v>801</v>
      </c>
      <c r="D663" t="s">
        <v>95</v>
      </c>
      <c r="E663" t="s">
        <v>53</v>
      </c>
      <c r="F663" t="s">
        <v>25</v>
      </c>
      <c r="G663" t="s">
        <v>33</v>
      </c>
      <c r="H663" t="s">
        <v>34</v>
      </c>
      <c r="I663" t="s">
        <v>50</v>
      </c>
      <c r="J663" t="s">
        <v>29</v>
      </c>
      <c r="K663">
        <v>392</v>
      </c>
      <c r="L663">
        <v>16</v>
      </c>
      <c r="M663" s="2">
        <v>114</v>
      </c>
      <c r="N663" s="2">
        <v>49</v>
      </c>
      <c r="O663" s="2">
        <v>44</v>
      </c>
      <c r="P663" s="2">
        <v>21</v>
      </c>
      <c r="Q663" s="3">
        <v>0.1842</v>
      </c>
      <c r="R663" s="2">
        <v>130</v>
      </c>
      <c r="S663" s="2">
        <v>50</v>
      </c>
      <c r="T663" s="2">
        <v>50</v>
      </c>
      <c r="U663" s="3">
        <v>0.3846</v>
      </c>
      <c r="V663" s="2">
        <v>-29</v>
      </c>
    </row>
    <row r="664" spans="1:22" x14ac:dyDescent="0.25">
      <c r="A664" t="s">
        <v>732</v>
      </c>
      <c r="B664" s="1">
        <v>45524</v>
      </c>
      <c r="C664">
        <v>626</v>
      </c>
      <c r="D664" t="s">
        <v>62</v>
      </c>
      <c r="E664" t="s">
        <v>53</v>
      </c>
      <c r="F664" t="s">
        <v>32</v>
      </c>
      <c r="G664" t="s">
        <v>26</v>
      </c>
      <c r="H664" t="s">
        <v>27</v>
      </c>
      <c r="I664" t="s">
        <v>42</v>
      </c>
      <c r="J664" t="s">
        <v>29</v>
      </c>
      <c r="K664">
        <v>580</v>
      </c>
      <c r="L664">
        <v>21</v>
      </c>
      <c r="M664" s="2">
        <v>199</v>
      </c>
      <c r="N664" s="2">
        <v>76</v>
      </c>
      <c r="O664" s="2">
        <v>32</v>
      </c>
      <c r="P664" s="2">
        <v>117</v>
      </c>
      <c r="Q664" s="3">
        <v>0.58789999999999998</v>
      </c>
      <c r="R664" s="2">
        <v>80</v>
      </c>
      <c r="S664" s="2">
        <v>30</v>
      </c>
      <c r="T664" s="2">
        <v>50</v>
      </c>
      <c r="U664" s="3">
        <v>0.625</v>
      </c>
      <c r="V664" s="2">
        <v>67</v>
      </c>
    </row>
    <row r="665" spans="1:22" x14ac:dyDescent="0.25">
      <c r="A665" t="s">
        <v>733</v>
      </c>
      <c r="B665" s="1">
        <v>45524</v>
      </c>
      <c r="C665">
        <v>845</v>
      </c>
      <c r="D665" t="s">
        <v>99</v>
      </c>
      <c r="E665" t="s">
        <v>79</v>
      </c>
      <c r="F665" t="s">
        <v>32</v>
      </c>
      <c r="G665" t="s">
        <v>33</v>
      </c>
      <c r="H665" t="s">
        <v>34</v>
      </c>
      <c r="I665" t="s">
        <v>50</v>
      </c>
      <c r="J665" t="s">
        <v>29</v>
      </c>
      <c r="K665">
        <v>2642</v>
      </c>
      <c r="L665">
        <v>97</v>
      </c>
      <c r="M665" s="2">
        <v>699</v>
      </c>
      <c r="N665" s="2">
        <v>279</v>
      </c>
      <c r="O665" s="2">
        <v>149</v>
      </c>
      <c r="P665" s="2">
        <v>271</v>
      </c>
      <c r="Q665" s="3">
        <v>0.38769999999999999</v>
      </c>
      <c r="R665" s="2">
        <v>620</v>
      </c>
      <c r="S665" s="2">
        <v>250</v>
      </c>
      <c r="T665" s="2">
        <v>250</v>
      </c>
      <c r="U665" s="3">
        <v>0.4032</v>
      </c>
      <c r="V665" s="2">
        <v>21</v>
      </c>
    </row>
    <row r="666" spans="1:22" x14ac:dyDescent="0.25">
      <c r="A666" t="s">
        <v>734</v>
      </c>
      <c r="B666" s="1">
        <v>45525</v>
      </c>
      <c r="C666">
        <v>603</v>
      </c>
      <c r="D666" t="s">
        <v>109</v>
      </c>
      <c r="E666" t="s">
        <v>79</v>
      </c>
      <c r="F666" t="s">
        <v>25</v>
      </c>
      <c r="G666" t="s">
        <v>26</v>
      </c>
      <c r="H666" t="s">
        <v>27</v>
      </c>
      <c r="I666" t="s">
        <v>59</v>
      </c>
      <c r="J666" t="s">
        <v>29</v>
      </c>
      <c r="K666">
        <v>387</v>
      </c>
      <c r="L666">
        <v>0</v>
      </c>
      <c r="M666" s="2">
        <v>46</v>
      </c>
      <c r="N666" s="2">
        <v>0</v>
      </c>
      <c r="O666" s="2">
        <v>11</v>
      </c>
      <c r="P666" s="2">
        <v>47</v>
      </c>
      <c r="Q666" s="3">
        <v>1.0217000000000001</v>
      </c>
      <c r="R666" s="2">
        <v>40</v>
      </c>
      <c r="S666" s="2">
        <v>0</v>
      </c>
      <c r="T666" s="2">
        <v>30</v>
      </c>
      <c r="U666" s="3">
        <v>0.75</v>
      </c>
      <c r="V666" s="2">
        <v>17</v>
      </c>
    </row>
    <row r="667" spans="1:22" x14ac:dyDescent="0.25">
      <c r="A667" t="s">
        <v>735</v>
      </c>
      <c r="B667" s="1">
        <v>45525</v>
      </c>
      <c r="C667">
        <v>321</v>
      </c>
      <c r="D667" t="s">
        <v>117</v>
      </c>
      <c r="E667" t="s">
        <v>79</v>
      </c>
      <c r="F667" t="s">
        <v>32</v>
      </c>
      <c r="G667" t="s">
        <v>26</v>
      </c>
      <c r="H667" t="s">
        <v>27</v>
      </c>
      <c r="I667" t="s">
        <v>28</v>
      </c>
      <c r="J667" t="s">
        <v>29</v>
      </c>
      <c r="K667">
        <v>882</v>
      </c>
      <c r="L667">
        <v>8</v>
      </c>
      <c r="M667" s="2">
        <v>80</v>
      </c>
      <c r="N667" s="2">
        <v>30</v>
      </c>
      <c r="O667" s="2">
        <v>19</v>
      </c>
      <c r="P667" s="2">
        <v>39</v>
      </c>
      <c r="Q667" s="3">
        <v>0.48749999999999999</v>
      </c>
      <c r="R667" s="2">
        <v>70</v>
      </c>
      <c r="S667" s="2">
        <v>30</v>
      </c>
      <c r="T667" s="2">
        <v>30</v>
      </c>
      <c r="U667" s="3">
        <v>0.42859999999999998</v>
      </c>
      <c r="V667" s="2">
        <v>9</v>
      </c>
    </row>
    <row r="668" spans="1:22" x14ac:dyDescent="0.25">
      <c r="A668" t="s">
        <v>736</v>
      </c>
      <c r="B668" s="1">
        <v>45526</v>
      </c>
      <c r="C668">
        <v>970</v>
      </c>
      <c r="D668" t="s">
        <v>31</v>
      </c>
      <c r="E668" t="s">
        <v>24</v>
      </c>
      <c r="F668" t="s">
        <v>32</v>
      </c>
      <c r="G668" t="s">
        <v>33</v>
      </c>
      <c r="H668" t="s">
        <v>34</v>
      </c>
      <c r="I668" t="s">
        <v>50</v>
      </c>
      <c r="J668" t="s">
        <v>29</v>
      </c>
      <c r="K668">
        <v>531</v>
      </c>
      <c r="L668">
        <v>14</v>
      </c>
      <c r="M668" s="2">
        <v>99</v>
      </c>
      <c r="N668" s="2">
        <v>43</v>
      </c>
      <c r="O668" s="2">
        <v>27</v>
      </c>
      <c r="P668" s="2">
        <v>29</v>
      </c>
      <c r="Q668" s="3">
        <v>0.29289999999999999</v>
      </c>
      <c r="R668" s="2">
        <v>90</v>
      </c>
      <c r="S668" s="2">
        <v>40</v>
      </c>
      <c r="T668" s="2">
        <v>30</v>
      </c>
      <c r="U668" s="3">
        <v>0.33329999999999999</v>
      </c>
      <c r="V668" s="2">
        <v>-1</v>
      </c>
    </row>
    <row r="669" spans="1:22" x14ac:dyDescent="0.25">
      <c r="A669" t="s">
        <v>737</v>
      </c>
      <c r="B669" s="1">
        <v>45526</v>
      </c>
      <c r="C669">
        <v>775</v>
      </c>
      <c r="D669" t="s">
        <v>65</v>
      </c>
      <c r="E669" t="s">
        <v>53</v>
      </c>
      <c r="F669" t="s">
        <v>25</v>
      </c>
      <c r="G669" t="s">
        <v>33</v>
      </c>
      <c r="H669" t="s">
        <v>54</v>
      </c>
      <c r="I669" t="s">
        <v>72</v>
      </c>
      <c r="J669" t="s">
        <v>29</v>
      </c>
      <c r="K669">
        <v>344</v>
      </c>
      <c r="L669">
        <v>0</v>
      </c>
      <c r="M669" s="2">
        <v>46</v>
      </c>
      <c r="N669" s="2">
        <v>0</v>
      </c>
      <c r="O669" s="2">
        <v>12</v>
      </c>
      <c r="P669" s="2">
        <v>46</v>
      </c>
      <c r="Q669" s="3">
        <v>1</v>
      </c>
      <c r="R669" s="2">
        <v>40</v>
      </c>
      <c r="S669" s="2">
        <v>0</v>
      </c>
      <c r="T669" s="2">
        <v>30</v>
      </c>
      <c r="U669" s="3">
        <v>0.75</v>
      </c>
      <c r="V669" s="2">
        <v>16</v>
      </c>
    </row>
    <row r="670" spans="1:22" x14ac:dyDescent="0.25">
      <c r="A670" t="s">
        <v>738</v>
      </c>
      <c r="B670" s="1">
        <v>45526</v>
      </c>
      <c r="C670">
        <v>314</v>
      </c>
      <c r="D670" t="s">
        <v>58</v>
      </c>
      <c r="E670" t="s">
        <v>24</v>
      </c>
      <c r="F670" t="s">
        <v>25</v>
      </c>
      <c r="G670" t="s">
        <v>33</v>
      </c>
      <c r="H670" t="s">
        <v>34</v>
      </c>
      <c r="I670" t="s">
        <v>83</v>
      </c>
      <c r="J670" t="s">
        <v>40</v>
      </c>
      <c r="K670">
        <v>1060</v>
      </c>
      <c r="L670">
        <v>21</v>
      </c>
      <c r="M670" s="2">
        <v>150</v>
      </c>
      <c r="N670" s="2">
        <v>69</v>
      </c>
      <c r="O670" s="2">
        <v>43</v>
      </c>
      <c r="P670" s="2">
        <v>38</v>
      </c>
      <c r="Q670" s="3">
        <v>0.25330000000000003</v>
      </c>
      <c r="R670" s="2">
        <v>140</v>
      </c>
      <c r="S670" s="2">
        <v>60</v>
      </c>
      <c r="T670" s="2">
        <v>40</v>
      </c>
      <c r="U670" s="3">
        <v>0.28570000000000001</v>
      </c>
      <c r="V670" s="2">
        <v>-2</v>
      </c>
    </row>
    <row r="671" spans="1:22" x14ac:dyDescent="0.25">
      <c r="A671" t="s">
        <v>739</v>
      </c>
      <c r="B671" s="1">
        <v>45526</v>
      </c>
      <c r="C671">
        <v>815</v>
      </c>
      <c r="D671" t="s">
        <v>37</v>
      </c>
      <c r="E671" t="s">
        <v>24</v>
      </c>
      <c r="F671" t="s">
        <v>32</v>
      </c>
      <c r="G671" t="s">
        <v>33</v>
      </c>
      <c r="H671" t="s">
        <v>34</v>
      </c>
      <c r="I671" t="s">
        <v>50</v>
      </c>
      <c r="J671" t="s">
        <v>29</v>
      </c>
      <c r="K671">
        <v>1150</v>
      </c>
      <c r="L671">
        <v>57</v>
      </c>
      <c r="M671" s="2">
        <v>412</v>
      </c>
      <c r="N671" s="2">
        <v>173</v>
      </c>
      <c r="O671" s="2">
        <v>100</v>
      </c>
      <c r="P671" s="2">
        <v>139</v>
      </c>
      <c r="Q671" s="3">
        <v>0.33739999999999998</v>
      </c>
      <c r="R671" s="2">
        <v>400</v>
      </c>
      <c r="S671" s="2">
        <v>170</v>
      </c>
      <c r="T671" s="2">
        <v>140</v>
      </c>
      <c r="U671" s="3">
        <v>0.35</v>
      </c>
      <c r="V671" s="2">
        <v>-1</v>
      </c>
    </row>
    <row r="672" spans="1:22" x14ac:dyDescent="0.25">
      <c r="A672" t="s">
        <v>740</v>
      </c>
      <c r="B672" s="1">
        <v>45526</v>
      </c>
      <c r="C672">
        <v>775</v>
      </c>
      <c r="D672" t="s">
        <v>65</v>
      </c>
      <c r="E672" t="s">
        <v>53</v>
      </c>
      <c r="F672" t="s">
        <v>25</v>
      </c>
      <c r="G672" t="s">
        <v>26</v>
      </c>
      <c r="H672" t="s">
        <v>27</v>
      </c>
      <c r="I672" t="s">
        <v>42</v>
      </c>
      <c r="J672" t="s">
        <v>29</v>
      </c>
      <c r="K672">
        <v>1820</v>
      </c>
      <c r="L672">
        <v>70</v>
      </c>
      <c r="M672" s="2">
        <v>534</v>
      </c>
      <c r="N672" s="2">
        <v>250</v>
      </c>
      <c r="O672" s="2">
        <v>94</v>
      </c>
      <c r="P672" s="2">
        <v>233</v>
      </c>
      <c r="Q672" s="3">
        <v>0.43630000000000002</v>
      </c>
      <c r="R672" s="2">
        <v>360</v>
      </c>
      <c r="S672" s="2">
        <v>180</v>
      </c>
      <c r="T672" s="2">
        <v>100</v>
      </c>
      <c r="U672" s="3">
        <v>0.27779999999999999</v>
      </c>
      <c r="V672" s="2">
        <v>133</v>
      </c>
    </row>
    <row r="673" spans="1:22" x14ac:dyDescent="0.25">
      <c r="A673" t="s">
        <v>741</v>
      </c>
      <c r="B673" s="1">
        <v>45527</v>
      </c>
      <c r="C673">
        <v>970</v>
      </c>
      <c r="D673" t="s">
        <v>31</v>
      </c>
      <c r="E673" t="s">
        <v>24</v>
      </c>
      <c r="F673" t="s">
        <v>32</v>
      </c>
      <c r="G673" t="s">
        <v>26</v>
      </c>
      <c r="H673" t="s">
        <v>38</v>
      </c>
      <c r="I673" t="s">
        <v>46</v>
      </c>
      <c r="J673" t="s">
        <v>40</v>
      </c>
      <c r="K673">
        <v>521</v>
      </c>
      <c r="L673">
        <v>42</v>
      </c>
      <c r="M673" s="2">
        <v>112</v>
      </c>
      <c r="N673" s="2">
        <v>47</v>
      </c>
      <c r="O673" s="2">
        <v>71</v>
      </c>
      <c r="P673" s="2">
        <v>-6</v>
      </c>
      <c r="Q673" s="3">
        <v>-5.3600000000000002E-2</v>
      </c>
      <c r="R673" s="2">
        <v>100</v>
      </c>
      <c r="S673" s="2">
        <v>40</v>
      </c>
      <c r="T673" s="2">
        <v>0</v>
      </c>
      <c r="U673" s="3">
        <v>0</v>
      </c>
      <c r="V673" s="2">
        <v>-6</v>
      </c>
    </row>
    <row r="674" spans="1:22" x14ac:dyDescent="0.25">
      <c r="A674" t="s">
        <v>742</v>
      </c>
      <c r="B674" s="1">
        <v>45527</v>
      </c>
      <c r="C674">
        <v>435</v>
      </c>
      <c r="D674" t="s">
        <v>95</v>
      </c>
      <c r="E674" t="s">
        <v>53</v>
      </c>
      <c r="F674" t="s">
        <v>25</v>
      </c>
      <c r="G674" t="s">
        <v>33</v>
      </c>
      <c r="H674" t="s">
        <v>54</v>
      </c>
      <c r="I674" t="s">
        <v>72</v>
      </c>
      <c r="J674" t="s">
        <v>29</v>
      </c>
      <c r="K674">
        <v>836</v>
      </c>
      <c r="L674">
        <v>9</v>
      </c>
      <c r="M674" s="2">
        <v>86</v>
      </c>
      <c r="N674" s="2">
        <v>33</v>
      </c>
      <c r="O674" s="2">
        <v>21</v>
      </c>
      <c r="P674" s="2">
        <v>40</v>
      </c>
      <c r="Q674" s="3">
        <v>0.46510000000000001</v>
      </c>
      <c r="R674" s="2">
        <v>70</v>
      </c>
      <c r="S674" s="2">
        <v>30</v>
      </c>
      <c r="T674" s="2">
        <v>30</v>
      </c>
      <c r="U674" s="3">
        <v>0.42859999999999998</v>
      </c>
      <c r="V674" s="2">
        <v>10</v>
      </c>
    </row>
    <row r="675" spans="1:22" x14ac:dyDescent="0.25">
      <c r="A675" t="s">
        <v>743</v>
      </c>
      <c r="B675" s="1">
        <v>45527</v>
      </c>
      <c r="C675">
        <v>505</v>
      </c>
      <c r="D675" t="s">
        <v>44</v>
      </c>
      <c r="E675" t="s">
        <v>45</v>
      </c>
      <c r="F675" t="s">
        <v>25</v>
      </c>
      <c r="G675" t="s">
        <v>33</v>
      </c>
      <c r="H675" t="s">
        <v>54</v>
      </c>
      <c r="I675" t="s">
        <v>72</v>
      </c>
      <c r="J675" t="s">
        <v>29</v>
      </c>
      <c r="K675">
        <v>-466</v>
      </c>
      <c r="L675">
        <v>9</v>
      </c>
      <c r="M675" s="2">
        <v>56</v>
      </c>
      <c r="N675" s="2">
        <v>25</v>
      </c>
      <c r="O675" s="2">
        <v>43</v>
      </c>
      <c r="P675" s="2">
        <v>-12</v>
      </c>
      <c r="Q675" s="3">
        <v>-0.21429999999999999</v>
      </c>
      <c r="R675" s="2">
        <v>30</v>
      </c>
      <c r="S675" s="2">
        <v>10</v>
      </c>
      <c r="T675" s="2">
        <v>10</v>
      </c>
      <c r="U675" s="3">
        <v>0.33329999999999999</v>
      </c>
      <c r="V675" s="2">
        <v>-22</v>
      </c>
    </row>
    <row r="676" spans="1:22" x14ac:dyDescent="0.25">
      <c r="A676" t="s">
        <v>744</v>
      </c>
      <c r="B676" s="1">
        <v>45527</v>
      </c>
      <c r="C676">
        <v>646</v>
      </c>
      <c r="D676" t="s">
        <v>99</v>
      </c>
      <c r="E676" t="s">
        <v>79</v>
      </c>
      <c r="F676" t="s">
        <v>32</v>
      </c>
      <c r="G676" t="s">
        <v>33</v>
      </c>
      <c r="H676" t="s">
        <v>54</v>
      </c>
      <c r="I676" t="s">
        <v>101</v>
      </c>
      <c r="J676" t="s">
        <v>29</v>
      </c>
      <c r="K676">
        <v>933</v>
      </c>
      <c r="L676">
        <v>59</v>
      </c>
      <c r="M676" s="2">
        <v>675</v>
      </c>
      <c r="N676" s="2">
        <v>211</v>
      </c>
      <c r="O676" s="2">
        <v>83</v>
      </c>
      <c r="P676" s="2">
        <v>381</v>
      </c>
      <c r="Q676" s="3">
        <v>0.56440000000000001</v>
      </c>
      <c r="R676" s="2">
        <v>660</v>
      </c>
      <c r="S676" s="2">
        <v>200</v>
      </c>
      <c r="T676" s="2">
        <v>390</v>
      </c>
      <c r="U676" s="3">
        <v>0.59089999999999998</v>
      </c>
      <c r="V676" s="2">
        <v>-9</v>
      </c>
    </row>
    <row r="677" spans="1:22" x14ac:dyDescent="0.25">
      <c r="A677" t="s">
        <v>745</v>
      </c>
      <c r="B677" s="1">
        <v>45527</v>
      </c>
      <c r="C677">
        <v>573</v>
      </c>
      <c r="D677" t="s">
        <v>58</v>
      </c>
      <c r="E677" t="s">
        <v>24</v>
      </c>
      <c r="F677" t="s">
        <v>25</v>
      </c>
      <c r="G677" t="s">
        <v>33</v>
      </c>
      <c r="H677" t="s">
        <v>54</v>
      </c>
      <c r="I677" t="s">
        <v>68</v>
      </c>
      <c r="J677" t="s">
        <v>29</v>
      </c>
      <c r="K677">
        <v>898</v>
      </c>
      <c r="L677">
        <v>14</v>
      </c>
      <c r="M677" s="2">
        <v>131</v>
      </c>
      <c r="N677" s="2">
        <v>50</v>
      </c>
      <c r="O677" s="2">
        <v>25</v>
      </c>
      <c r="P677" s="2">
        <v>71</v>
      </c>
      <c r="Q677" s="3">
        <v>0.54200000000000004</v>
      </c>
      <c r="R677" s="2">
        <v>150</v>
      </c>
      <c r="S677" s="2">
        <v>60</v>
      </c>
      <c r="T677" s="2">
        <v>70</v>
      </c>
      <c r="U677" s="3">
        <v>0.4667</v>
      </c>
      <c r="V677" s="2">
        <v>1</v>
      </c>
    </row>
    <row r="678" spans="1:22" x14ac:dyDescent="0.25">
      <c r="A678" t="s">
        <v>746</v>
      </c>
      <c r="B678" s="1">
        <v>45528</v>
      </c>
      <c r="C678">
        <v>956</v>
      </c>
      <c r="D678" t="s">
        <v>76</v>
      </c>
      <c r="E678" t="s">
        <v>45</v>
      </c>
      <c r="F678" t="s">
        <v>32</v>
      </c>
      <c r="G678" t="s">
        <v>33</v>
      </c>
      <c r="H678" t="s">
        <v>34</v>
      </c>
      <c r="I678" t="s">
        <v>83</v>
      </c>
      <c r="J678" t="s">
        <v>40</v>
      </c>
      <c r="K678">
        <v>531</v>
      </c>
      <c r="L678">
        <v>14</v>
      </c>
      <c r="M678" s="2">
        <v>106</v>
      </c>
      <c r="N678" s="2">
        <v>43</v>
      </c>
      <c r="O678" s="2">
        <v>26</v>
      </c>
      <c r="P678" s="2">
        <v>45</v>
      </c>
      <c r="Q678" s="3">
        <v>0.42449999999999999</v>
      </c>
      <c r="R678" s="2">
        <v>110</v>
      </c>
      <c r="S678" s="2">
        <v>50</v>
      </c>
      <c r="T678" s="2">
        <v>40</v>
      </c>
      <c r="U678" s="3">
        <v>0.36359999999999998</v>
      </c>
      <c r="V678" s="2">
        <v>5</v>
      </c>
    </row>
    <row r="679" spans="1:22" x14ac:dyDescent="0.25">
      <c r="A679" t="s">
        <v>747</v>
      </c>
      <c r="B679" s="1">
        <v>45528</v>
      </c>
      <c r="C679">
        <v>206</v>
      </c>
      <c r="D679" t="s">
        <v>52</v>
      </c>
      <c r="E679" t="s">
        <v>53</v>
      </c>
      <c r="F679" t="s">
        <v>25</v>
      </c>
      <c r="G679" t="s">
        <v>26</v>
      </c>
      <c r="H679" t="s">
        <v>27</v>
      </c>
      <c r="I679" t="s">
        <v>42</v>
      </c>
      <c r="J679" t="s">
        <v>29</v>
      </c>
      <c r="K679">
        <v>454</v>
      </c>
      <c r="L679">
        <v>15</v>
      </c>
      <c r="M679" s="2">
        <v>128</v>
      </c>
      <c r="N679" s="2">
        <v>49</v>
      </c>
      <c r="O679" s="2">
        <v>37</v>
      </c>
      <c r="P679" s="2">
        <v>50</v>
      </c>
      <c r="Q679" s="3">
        <v>0.3906</v>
      </c>
      <c r="R679" s="2">
        <v>80</v>
      </c>
      <c r="S679" s="2">
        <v>30</v>
      </c>
      <c r="T679" s="2">
        <v>30</v>
      </c>
      <c r="U679" s="3">
        <v>0.375</v>
      </c>
      <c r="V679" s="2">
        <v>20</v>
      </c>
    </row>
    <row r="680" spans="1:22" x14ac:dyDescent="0.25">
      <c r="A680" t="s">
        <v>748</v>
      </c>
      <c r="B680" s="1">
        <v>45528</v>
      </c>
      <c r="C680">
        <v>513</v>
      </c>
      <c r="D680" t="s">
        <v>85</v>
      </c>
      <c r="E680" t="s">
        <v>24</v>
      </c>
      <c r="F680" t="s">
        <v>32</v>
      </c>
      <c r="G680" t="s">
        <v>26</v>
      </c>
      <c r="H680" t="s">
        <v>38</v>
      </c>
      <c r="I680" t="s">
        <v>46</v>
      </c>
      <c r="J680" t="s">
        <v>40</v>
      </c>
      <c r="K680">
        <v>859</v>
      </c>
      <c r="L680">
        <v>7</v>
      </c>
      <c r="M680" s="2">
        <v>66</v>
      </c>
      <c r="N680" s="2">
        <v>27</v>
      </c>
      <c r="O680" s="2">
        <v>19</v>
      </c>
      <c r="P680" s="2">
        <v>20</v>
      </c>
      <c r="Q680" s="3">
        <v>0.30299999999999999</v>
      </c>
      <c r="R680" s="2">
        <v>40</v>
      </c>
      <c r="S680" s="2">
        <v>10</v>
      </c>
      <c r="T680" s="2">
        <v>30</v>
      </c>
      <c r="U680" s="3">
        <v>0.75</v>
      </c>
      <c r="V680" s="2">
        <v>-10</v>
      </c>
    </row>
    <row r="681" spans="1:22" x14ac:dyDescent="0.25">
      <c r="A681" t="s">
        <v>749</v>
      </c>
      <c r="B681" s="1">
        <v>45528</v>
      </c>
      <c r="C681">
        <v>407</v>
      </c>
      <c r="D681" t="s">
        <v>117</v>
      </c>
      <c r="E681" t="s">
        <v>79</v>
      </c>
      <c r="F681" t="s">
        <v>32</v>
      </c>
      <c r="G681" t="s">
        <v>33</v>
      </c>
      <c r="H681" t="s">
        <v>34</v>
      </c>
      <c r="I681" t="s">
        <v>50</v>
      </c>
      <c r="J681" t="s">
        <v>29</v>
      </c>
      <c r="K681">
        <v>817</v>
      </c>
      <c r="L681">
        <v>29</v>
      </c>
      <c r="M681" s="2">
        <v>236</v>
      </c>
      <c r="N681" s="2">
        <v>88</v>
      </c>
      <c r="O681" s="2">
        <v>60</v>
      </c>
      <c r="P681" s="2">
        <v>108</v>
      </c>
      <c r="Q681" s="3">
        <v>0.45760000000000001</v>
      </c>
      <c r="R681" s="2">
        <v>190</v>
      </c>
      <c r="S681" s="2">
        <v>70</v>
      </c>
      <c r="T681" s="2">
        <v>80</v>
      </c>
      <c r="U681" s="3">
        <v>0.42109999999999997</v>
      </c>
      <c r="V681" s="2">
        <v>28</v>
      </c>
    </row>
    <row r="682" spans="1:22" x14ac:dyDescent="0.25">
      <c r="A682" t="s">
        <v>750</v>
      </c>
      <c r="B682" s="1">
        <v>45528</v>
      </c>
      <c r="C682">
        <v>303</v>
      </c>
      <c r="D682" t="s">
        <v>31</v>
      </c>
      <c r="E682" t="s">
        <v>24</v>
      </c>
      <c r="F682" t="s">
        <v>32</v>
      </c>
      <c r="G682" t="s">
        <v>33</v>
      </c>
      <c r="H682" t="s">
        <v>54</v>
      </c>
      <c r="I682" t="s">
        <v>68</v>
      </c>
      <c r="J682" t="s">
        <v>29</v>
      </c>
      <c r="K682">
        <v>589</v>
      </c>
      <c r="L682">
        <v>14</v>
      </c>
      <c r="M682" s="2">
        <v>131</v>
      </c>
      <c r="N682" s="2">
        <v>50</v>
      </c>
      <c r="O682" s="2">
        <v>25</v>
      </c>
      <c r="P682" s="2">
        <v>71</v>
      </c>
      <c r="Q682" s="3">
        <v>0.54200000000000004</v>
      </c>
      <c r="R682" s="2">
        <v>150</v>
      </c>
      <c r="S682" s="2">
        <v>60</v>
      </c>
      <c r="T682" s="2">
        <v>70</v>
      </c>
      <c r="U682" s="3">
        <v>0.4667</v>
      </c>
      <c r="V682" s="2">
        <v>1</v>
      </c>
    </row>
    <row r="683" spans="1:22" x14ac:dyDescent="0.25">
      <c r="A683" t="s">
        <v>751</v>
      </c>
      <c r="B683" s="1">
        <v>45529</v>
      </c>
      <c r="C683">
        <v>305</v>
      </c>
      <c r="D683" t="s">
        <v>117</v>
      </c>
      <c r="E683" t="s">
        <v>79</v>
      </c>
      <c r="F683" t="s">
        <v>32</v>
      </c>
      <c r="G683" t="s">
        <v>26</v>
      </c>
      <c r="H683" t="s">
        <v>38</v>
      </c>
      <c r="I683" t="s">
        <v>66</v>
      </c>
      <c r="J683" t="s">
        <v>40</v>
      </c>
      <c r="K683">
        <v>1055</v>
      </c>
      <c r="L683">
        <v>24</v>
      </c>
      <c r="M683" s="2">
        <v>174</v>
      </c>
      <c r="N683" s="2">
        <v>80</v>
      </c>
      <c r="O683" s="2">
        <v>46</v>
      </c>
      <c r="P683" s="2">
        <v>48</v>
      </c>
      <c r="Q683" s="3">
        <v>0.27589999999999998</v>
      </c>
      <c r="R683" s="2">
        <v>90</v>
      </c>
      <c r="S683" s="2">
        <v>40</v>
      </c>
      <c r="T683" s="2">
        <v>40</v>
      </c>
      <c r="U683" s="3">
        <v>0.44440000000000002</v>
      </c>
      <c r="V683" s="2">
        <v>8</v>
      </c>
    </row>
    <row r="684" spans="1:22" x14ac:dyDescent="0.25">
      <c r="A684" t="s">
        <v>752</v>
      </c>
      <c r="B684" s="1">
        <v>45529</v>
      </c>
      <c r="C684">
        <v>530</v>
      </c>
      <c r="D684" t="s">
        <v>62</v>
      </c>
      <c r="E684" t="s">
        <v>53</v>
      </c>
      <c r="F684" t="s">
        <v>32</v>
      </c>
      <c r="G684" t="s">
        <v>26</v>
      </c>
      <c r="H684" t="s">
        <v>38</v>
      </c>
      <c r="I684" t="s">
        <v>66</v>
      </c>
      <c r="J684" t="s">
        <v>40</v>
      </c>
      <c r="K684">
        <v>541</v>
      </c>
      <c r="L684">
        <v>12</v>
      </c>
      <c r="M684" s="2">
        <v>96</v>
      </c>
      <c r="N684" s="2">
        <v>39</v>
      </c>
      <c r="O684" s="2">
        <v>25</v>
      </c>
      <c r="P684" s="2">
        <v>39</v>
      </c>
      <c r="Q684" s="3">
        <v>0.40629999999999999</v>
      </c>
      <c r="R684" s="2">
        <v>60</v>
      </c>
      <c r="S684" s="2">
        <v>20</v>
      </c>
      <c r="T684" s="2">
        <v>40</v>
      </c>
      <c r="U684" s="3">
        <v>0.66669999999999996</v>
      </c>
      <c r="V684" s="2">
        <v>-1</v>
      </c>
    </row>
    <row r="685" spans="1:22" x14ac:dyDescent="0.25">
      <c r="A685" t="s">
        <v>753</v>
      </c>
      <c r="B685" s="1">
        <v>45529</v>
      </c>
      <c r="C685">
        <v>607</v>
      </c>
      <c r="D685" t="s">
        <v>99</v>
      </c>
      <c r="E685" t="s">
        <v>79</v>
      </c>
      <c r="F685" t="s">
        <v>32</v>
      </c>
      <c r="G685" t="s">
        <v>33</v>
      </c>
      <c r="H685" t="s">
        <v>34</v>
      </c>
      <c r="I685" t="s">
        <v>50</v>
      </c>
      <c r="J685" t="s">
        <v>29</v>
      </c>
      <c r="K685">
        <v>2580</v>
      </c>
      <c r="L685">
        <v>87</v>
      </c>
      <c r="M685" s="2">
        <v>664</v>
      </c>
      <c r="N685" s="2">
        <v>249</v>
      </c>
      <c r="O685" s="2">
        <v>138</v>
      </c>
      <c r="P685" s="2">
        <v>350</v>
      </c>
      <c r="Q685" s="3">
        <v>0.52710000000000001</v>
      </c>
      <c r="R685" s="2">
        <v>560</v>
      </c>
      <c r="S685" s="2">
        <v>220</v>
      </c>
      <c r="T685" s="2">
        <v>230</v>
      </c>
      <c r="U685" s="3">
        <v>0.41070000000000001</v>
      </c>
      <c r="V685" s="2">
        <v>120</v>
      </c>
    </row>
    <row r="686" spans="1:22" x14ac:dyDescent="0.25">
      <c r="A686" t="s">
        <v>754</v>
      </c>
      <c r="B686" s="1">
        <v>45529</v>
      </c>
      <c r="C686">
        <v>702</v>
      </c>
      <c r="D686" t="s">
        <v>65</v>
      </c>
      <c r="E686" t="s">
        <v>53</v>
      </c>
      <c r="F686" t="s">
        <v>25</v>
      </c>
      <c r="G686" t="s">
        <v>26</v>
      </c>
      <c r="H686" t="s">
        <v>27</v>
      </c>
      <c r="I686" t="s">
        <v>28</v>
      </c>
      <c r="J686" t="s">
        <v>29</v>
      </c>
      <c r="K686">
        <v>1744</v>
      </c>
      <c r="L686">
        <v>81</v>
      </c>
      <c r="M686" s="2">
        <v>576</v>
      </c>
      <c r="N686" s="2">
        <v>247</v>
      </c>
      <c r="O686" s="2">
        <v>114</v>
      </c>
      <c r="P686" s="2">
        <v>215</v>
      </c>
      <c r="Q686" s="3">
        <v>0.37330000000000002</v>
      </c>
      <c r="R686" s="2">
        <v>420</v>
      </c>
      <c r="S686" s="2">
        <v>180</v>
      </c>
      <c r="T686" s="2">
        <v>150</v>
      </c>
      <c r="U686" s="3">
        <v>0.35709999999999997</v>
      </c>
      <c r="V686" s="2">
        <v>65</v>
      </c>
    </row>
    <row r="687" spans="1:22" x14ac:dyDescent="0.25">
      <c r="A687" t="s">
        <v>755</v>
      </c>
      <c r="B687" s="1">
        <v>45529</v>
      </c>
      <c r="C687">
        <v>360</v>
      </c>
      <c r="D687" t="s">
        <v>52</v>
      </c>
      <c r="E687" t="s">
        <v>53</v>
      </c>
      <c r="F687" t="s">
        <v>25</v>
      </c>
      <c r="G687" t="s">
        <v>33</v>
      </c>
      <c r="H687" t="s">
        <v>34</v>
      </c>
      <c r="I687" t="s">
        <v>50</v>
      </c>
      <c r="J687" t="s">
        <v>29</v>
      </c>
      <c r="K687">
        <v>438</v>
      </c>
      <c r="L687">
        <v>21</v>
      </c>
      <c r="M687" s="2">
        <v>178</v>
      </c>
      <c r="N687" s="2">
        <v>68</v>
      </c>
      <c r="O687" s="2">
        <v>43</v>
      </c>
      <c r="P687" s="2">
        <v>83</v>
      </c>
      <c r="Q687" s="3">
        <v>0.46629999999999999</v>
      </c>
      <c r="R687" s="2">
        <v>230</v>
      </c>
      <c r="S687" s="2">
        <v>90</v>
      </c>
      <c r="T687" s="2">
        <v>110</v>
      </c>
      <c r="U687" s="3">
        <v>0.4783</v>
      </c>
      <c r="V687" s="2">
        <v>-27</v>
      </c>
    </row>
    <row r="688" spans="1:22" x14ac:dyDescent="0.25">
      <c r="A688" t="s">
        <v>756</v>
      </c>
      <c r="B688" s="1">
        <v>45530</v>
      </c>
      <c r="C688">
        <v>715</v>
      </c>
      <c r="D688" t="s">
        <v>23</v>
      </c>
      <c r="E688" t="s">
        <v>24</v>
      </c>
      <c r="F688" t="s">
        <v>25</v>
      </c>
      <c r="G688" t="s">
        <v>26</v>
      </c>
      <c r="H688" t="s">
        <v>27</v>
      </c>
      <c r="I688" t="s">
        <v>42</v>
      </c>
      <c r="J688" t="s">
        <v>29</v>
      </c>
      <c r="K688">
        <v>613</v>
      </c>
      <c r="L688">
        <v>55</v>
      </c>
      <c r="M688" s="2">
        <v>147</v>
      </c>
      <c r="N688" s="2">
        <v>61</v>
      </c>
      <c r="O688" s="2">
        <v>84</v>
      </c>
      <c r="P688" s="2">
        <v>2</v>
      </c>
      <c r="Q688" s="3">
        <v>1.3599999999999999E-2</v>
      </c>
      <c r="R688" s="2">
        <v>120</v>
      </c>
      <c r="S688" s="2">
        <v>50</v>
      </c>
      <c r="T688" s="2">
        <v>0</v>
      </c>
      <c r="U688" s="3">
        <v>0</v>
      </c>
      <c r="V688" s="2">
        <v>2</v>
      </c>
    </row>
    <row r="689" spans="1:22" x14ac:dyDescent="0.25">
      <c r="A689" t="s">
        <v>757</v>
      </c>
      <c r="B689" s="1">
        <v>45530</v>
      </c>
      <c r="C689">
        <v>405</v>
      </c>
      <c r="D689" t="s">
        <v>148</v>
      </c>
      <c r="E689" t="s">
        <v>45</v>
      </c>
      <c r="F689" t="s">
        <v>25</v>
      </c>
      <c r="G689" t="s">
        <v>33</v>
      </c>
      <c r="H689" t="s">
        <v>54</v>
      </c>
      <c r="I689" t="s">
        <v>72</v>
      </c>
      <c r="J689" t="s">
        <v>29</v>
      </c>
      <c r="K689">
        <v>-1785</v>
      </c>
      <c r="L689">
        <v>28</v>
      </c>
      <c r="M689" s="2">
        <v>232</v>
      </c>
      <c r="N689" s="2">
        <v>91</v>
      </c>
      <c r="O689" s="2">
        <v>51</v>
      </c>
      <c r="P689" s="2">
        <v>113</v>
      </c>
      <c r="Q689" s="3">
        <v>0.48709999999999998</v>
      </c>
      <c r="R689" s="2">
        <v>130</v>
      </c>
      <c r="S689" s="2">
        <v>50</v>
      </c>
      <c r="T689" s="2">
        <v>70</v>
      </c>
      <c r="U689" s="3">
        <v>0.53849999999999998</v>
      </c>
      <c r="V689" s="2">
        <v>43</v>
      </c>
    </row>
    <row r="690" spans="1:22" x14ac:dyDescent="0.25">
      <c r="A690" t="s">
        <v>758</v>
      </c>
      <c r="B690" s="1">
        <v>45530</v>
      </c>
      <c r="C690">
        <v>951</v>
      </c>
      <c r="D690" t="s">
        <v>62</v>
      </c>
      <c r="E690" t="s">
        <v>53</v>
      </c>
      <c r="F690" t="s">
        <v>32</v>
      </c>
      <c r="G690" t="s">
        <v>33</v>
      </c>
      <c r="H690" t="s">
        <v>54</v>
      </c>
      <c r="I690" t="s">
        <v>72</v>
      </c>
      <c r="J690" t="s">
        <v>29</v>
      </c>
      <c r="K690">
        <v>1778</v>
      </c>
      <c r="L690">
        <v>59</v>
      </c>
      <c r="M690" s="2">
        <v>451</v>
      </c>
      <c r="N690" s="2">
        <v>211</v>
      </c>
      <c r="O690" s="2">
        <v>83</v>
      </c>
      <c r="P690" s="2">
        <v>191</v>
      </c>
      <c r="Q690" s="3">
        <v>0.42349999999999999</v>
      </c>
      <c r="R690" s="2">
        <v>410</v>
      </c>
      <c r="S690" s="2">
        <v>200</v>
      </c>
      <c r="T690" s="2">
        <v>140</v>
      </c>
      <c r="U690" s="3">
        <v>0.34150000000000003</v>
      </c>
      <c r="V690" s="2">
        <v>51</v>
      </c>
    </row>
    <row r="691" spans="1:22" x14ac:dyDescent="0.25">
      <c r="A691" t="s">
        <v>759</v>
      </c>
      <c r="B691" s="1">
        <v>45531</v>
      </c>
      <c r="C691">
        <v>580</v>
      </c>
      <c r="D691" t="s">
        <v>148</v>
      </c>
      <c r="E691" t="s">
        <v>45</v>
      </c>
      <c r="F691" t="s">
        <v>25</v>
      </c>
      <c r="G691" t="s">
        <v>33</v>
      </c>
      <c r="H691" t="s">
        <v>54</v>
      </c>
      <c r="I691" t="s">
        <v>68</v>
      </c>
      <c r="J691" t="s">
        <v>29</v>
      </c>
      <c r="K691">
        <v>480</v>
      </c>
      <c r="L691">
        <v>5</v>
      </c>
      <c r="M691" s="2">
        <v>56</v>
      </c>
      <c r="N691" s="2">
        <v>21</v>
      </c>
      <c r="O691" s="2">
        <v>17</v>
      </c>
      <c r="P691" s="2">
        <v>22</v>
      </c>
      <c r="Q691" s="3">
        <v>0.39290000000000003</v>
      </c>
      <c r="R691" s="2">
        <v>30</v>
      </c>
      <c r="S691" s="2">
        <v>0</v>
      </c>
      <c r="T691" s="2">
        <v>30</v>
      </c>
      <c r="U691" s="3">
        <v>1</v>
      </c>
      <c r="V691" s="2">
        <v>-8</v>
      </c>
    </row>
    <row r="692" spans="1:22" x14ac:dyDescent="0.25">
      <c r="A692" t="s">
        <v>760</v>
      </c>
      <c r="B692" s="1">
        <v>45532</v>
      </c>
      <c r="C692">
        <v>603</v>
      </c>
      <c r="D692" t="s">
        <v>109</v>
      </c>
      <c r="E692" t="s">
        <v>79</v>
      </c>
      <c r="F692" t="s">
        <v>25</v>
      </c>
      <c r="G692" t="s">
        <v>33</v>
      </c>
      <c r="H692" t="s">
        <v>34</v>
      </c>
      <c r="I692" t="s">
        <v>50</v>
      </c>
      <c r="J692" t="s">
        <v>29</v>
      </c>
      <c r="K692">
        <v>452</v>
      </c>
      <c r="L692">
        <v>14</v>
      </c>
      <c r="M692" s="2">
        <v>116</v>
      </c>
      <c r="N692" s="2">
        <v>43</v>
      </c>
      <c r="O692" s="2">
        <v>46</v>
      </c>
      <c r="P692" s="2">
        <v>30</v>
      </c>
      <c r="Q692" s="3">
        <v>0.2586</v>
      </c>
      <c r="R692" s="2">
        <v>90</v>
      </c>
      <c r="S692" s="2">
        <v>30</v>
      </c>
      <c r="T692" s="2">
        <v>30</v>
      </c>
      <c r="U692" s="3">
        <v>0.33329999999999999</v>
      </c>
      <c r="V692" s="2">
        <v>0</v>
      </c>
    </row>
    <row r="693" spans="1:22" x14ac:dyDescent="0.25">
      <c r="A693" t="s">
        <v>761</v>
      </c>
      <c r="B693" s="1">
        <v>45532</v>
      </c>
      <c r="C693">
        <v>518</v>
      </c>
      <c r="D693" t="s">
        <v>99</v>
      </c>
      <c r="E693" t="s">
        <v>79</v>
      </c>
      <c r="F693" t="s">
        <v>32</v>
      </c>
      <c r="G693" t="s">
        <v>26</v>
      </c>
      <c r="H693" t="s">
        <v>27</v>
      </c>
      <c r="I693" t="s">
        <v>28</v>
      </c>
      <c r="J693" t="s">
        <v>29</v>
      </c>
      <c r="K693">
        <v>984</v>
      </c>
      <c r="L693">
        <v>22</v>
      </c>
      <c r="M693" s="2">
        <v>198</v>
      </c>
      <c r="N693" s="2">
        <v>81</v>
      </c>
      <c r="O693" s="2">
        <v>33</v>
      </c>
      <c r="P693" s="2">
        <v>84</v>
      </c>
      <c r="Q693" s="3">
        <v>0.42420000000000002</v>
      </c>
      <c r="R693" s="2">
        <v>200</v>
      </c>
      <c r="S693" s="2">
        <v>80</v>
      </c>
      <c r="T693" s="2">
        <v>90</v>
      </c>
      <c r="U693" s="3">
        <v>0.45</v>
      </c>
      <c r="V693" s="2">
        <v>-6</v>
      </c>
    </row>
    <row r="694" spans="1:22" x14ac:dyDescent="0.25">
      <c r="A694" t="s">
        <v>762</v>
      </c>
      <c r="B694" s="1">
        <v>45532</v>
      </c>
      <c r="C694">
        <v>760</v>
      </c>
      <c r="D694" t="s">
        <v>62</v>
      </c>
      <c r="E694" t="s">
        <v>53</v>
      </c>
      <c r="F694" t="s">
        <v>32</v>
      </c>
      <c r="G694" t="s">
        <v>26</v>
      </c>
      <c r="H694" t="s">
        <v>38</v>
      </c>
      <c r="I694" t="s">
        <v>39</v>
      </c>
      <c r="J694" t="s">
        <v>40</v>
      </c>
      <c r="K694">
        <v>984</v>
      </c>
      <c r="L694">
        <v>22</v>
      </c>
      <c r="M694" s="2">
        <v>211</v>
      </c>
      <c r="N694" s="2">
        <v>81</v>
      </c>
      <c r="O694" s="2">
        <v>33</v>
      </c>
      <c r="P694" s="2">
        <v>125</v>
      </c>
      <c r="Q694" s="3">
        <v>0.59240000000000004</v>
      </c>
      <c r="R694" s="2">
        <v>180</v>
      </c>
      <c r="S694" s="2">
        <v>70</v>
      </c>
      <c r="T694" s="2">
        <v>80</v>
      </c>
      <c r="U694" s="3">
        <v>0.44440000000000002</v>
      </c>
      <c r="V694" s="2">
        <v>45</v>
      </c>
    </row>
    <row r="695" spans="1:22" x14ac:dyDescent="0.25">
      <c r="A695" t="s">
        <v>763</v>
      </c>
      <c r="B695" s="1">
        <v>45536</v>
      </c>
      <c r="C695">
        <v>425</v>
      </c>
      <c r="D695" t="s">
        <v>52</v>
      </c>
      <c r="E695" t="s">
        <v>53</v>
      </c>
      <c r="F695" t="s">
        <v>25</v>
      </c>
      <c r="G695" t="s">
        <v>33</v>
      </c>
      <c r="H695" t="s">
        <v>54</v>
      </c>
      <c r="I695" t="s">
        <v>68</v>
      </c>
      <c r="J695" t="s">
        <v>29</v>
      </c>
      <c r="K695">
        <v>391</v>
      </c>
      <c r="L695">
        <v>20</v>
      </c>
      <c r="M695" s="2">
        <v>121</v>
      </c>
      <c r="N695" s="2">
        <v>54</v>
      </c>
      <c r="O695" s="2">
        <v>54</v>
      </c>
      <c r="P695" s="2">
        <v>13</v>
      </c>
      <c r="Q695" s="3">
        <v>0.1074</v>
      </c>
      <c r="R695" s="2">
        <v>110</v>
      </c>
      <c r="S695" s="2">
        <v>50</v>
      </c>
      <c r="T695" s="2">
        <v>20</v>
      </c>
      <c r="U695" s="3">
        <v>0.18179999999999999</v>
      </c>
      <c r="V695" s="2">
        <v>-7</v>
      </c>
    </row>
    <row r="696" spans="1:22" x14ac:dyDescent="0.25">
      <c r="A696" t="s">
        <v>764</v>
      </c>
      <c r="B696" s="1">
        <v>45536</v>
      </c>
      <c r="C696">
        <v>959</v>
      </c>
      <c r="D696" t="s">
        <v>135</v>
      </c>
      <c r="E696" t="s">
        <v>79</v>
      </c>
      <c r="F696" t="s">
        <v>25</v>
      </c>
      <c r="G696" t="s">
        <v>26</v>
      </c>
      <c r="H696" t="s">
        <v>27</v>
      </c>
      <c r="I696" t="s">
        <v>28</v>
      </c>
      <c r="J696" t="s">
        <v>29</v>
      </c>
      <c r="K696">
        <v>885</v>
      </c>
      <c r="L696">
        <v>15</v>
      </c>
      <c r="M696" s="2">
        <v>132</v>
      </c>
      <c r="N696" s="2">
        <v>54</v>
      </c>
      <c r="O696" s="2">
        <v>27</v>
      </c>
      <c r="P696" s="2">
        <v>51</v>
      </c>
      <c r="Q696" s="3">
        <v>0.38640000000000002</v>
      </c>
      <c r="R696" s="2">
        <v>130</v>
      </c>
      <c r="S696" s="2">
        <v>50</v>
      </c>
      <c r="T696" s="2">
        <v>60</v>
      </c>
      <c r="U696" s="3">
        <v>0.46150000000000002</v>
      </c>
      <c r="V696" s="2">
        <v>-9</v>
      </c>
    </row>
    <row r="697" spans="1:22" x14ac:dyDescent="0.25">
      <c r="A697" t="s">
        <v>765</v>
      </c>
      <c r="B697" s="1">
        <v>45536</v>
      </c>
      <c r="C697">
        <v>435</v>
      </c>
      <c r="D697" t="s">
        <v>95</v>
      </c>
      <c r="E697" t="s">
        <v>53</v>
      </c>
      <c r="F697" t="s">
        <v>25</v>
      </c>
      <c r="G697" t="s">
        <v>33</v>
      </c>
      <c r="H697" t="s">
        <v>34</v>
      </c>
      <c r="I697" t="s">
        <v>35</v>
      </c>
      <c r="J697" t="s">
        <v>29</v>
      </c>
      <c r="K697">
        <v>1075</v>
      </c>
      <c r="L697">
        <v>19</v>
      </c>
      <c r="M697" s="2">
        <v>139</v>
      </c>
      <c r="N697" s="2">
        <v>63</v>
      </c>
      <c r="O697" s="2">
        <v>40</v>
      </c>
      <c r="P697" s="2">
        <v>36</v>
      </c>
      <c r="Q697" s="3">
        <v>0.25900000000000001</v>
      </c>
      <c r="R697" s="2">
        <v>160</v>
      </c>
      <c r="S697" s="2">
        <v>70</v>
      </c>
      <c r="T697" s="2">
        <v>50</v>
      </c>
      <c r="U697" s="3">
        <v>0.3125</v>
      </c>
      <c r="V697" s="2">
        <v>-14</v>
      </c>
    </row>
    <row r="698" spans="1:22" x14ac:dyDescent="0.25">
      <c r="A698" t="s">
        <v>766</v>
      </c>
      <c r="B698" s="1">
        <v>45536</v>
      </c>
      <c r="C698">
        <v>435</v>
      </c>
      <c r="D698" t="s">
        <v>95</v>
      </c>
      <c r="E698" t="s">
        <v>53</v>
      </c>
      <c r="F698" t="s">
        <v>25</v>
      </c>
      <c r="G698" t="s">
        <v>26</v>
      </c>
      <c r="H698" t="s">
        <v>38</v>
      </c>
      <c r="I698" t="s">
        <v>66</v>
      </c>
      <c r="J698" t="s">
        <v>40</v>
      </c>
      <c r="K698">
        <v>1698</v>
      </c>
      <c r="L698">
        <v>26</v>
      </c>
      <c r="M698" s="2">
        <v>116</v>
      </c>
      <c r="N698" s="2">
        <v>86</v>
      </c>
      <c r="O698" s="2">
        <v>50</v>
      </c>
      <c r="P698" s="2">
        <v>-40</v>
      </c>
      <c r="Q698" s="3">
        <v>-0.3448</v>
      </c>
      <c r="R698" s="2">
        <v>80</v>
      </c>
      <c r="S698" s="2">
        <v>60</v>
      </c>
      <c r="T698" s="2">
        <v>0</v>
      </c>
      <c r="U698" s="3">
        <v>0</v>
      </c>
      <c r="V698" s="2">
        <v>-40</v>
      </c>
    </row>
    <row r="699" spans="1:22" x14ac:dyDescent="0.25">
      <c r="A699" t="s">
        <v>767</v>
      </c>
      <c r="B699" s="1">
        <v>45537</v>
      </c>
      <c r="C699">
        <v>920</v>
      </c>
      <c r="D699" t="s">
        <v>23</v>
      </c>
      <c r="E699" t="s">
        <v>24</v>
      </c>
      <c r="F699" t="s">
        <v>25</v>
      </c>
      <c r="G699" t="s">
        <v>26</v>
      </c>
      <c r="H699" t="s">
        <v>38</v>
      </c>
      <c r="I699" t="s">
        <v>39</v>
      </c>
      <c r="J699" t="s">
        <v>40</v>
      </c>
      <c r="K699">
        <v>320</v>
      </c>
      <c r="L699">
        <v>12</v>
      </c>
      <c r="M699" s="2">
        <v>107</v>
      </c>
      <c r="N699" s="2">
        <v>41</v>
      </c>
      <c r="O699" s="2">
        <v>36</v>
      </c>
      <c r="P699" s="2">
        <v>30</v>
      </c>
      <c r="Q699" s="3">
        <v>0.28039999999999998</v>
      </c>
      <c r="R699" s="2">
        <v>90</v>
      </c>
      <c r="S699" s="2">
        <v>30</v>
      </c>
      <c r="T699" s="2">
        <v>30</v>
      </c>
      <c r="U699" s="3">
        <v>0.33329999999999999</v>
      </c>
      <c r="V699" s="2">
        <v>0</v>
      </c>
    </row>
    <row r="700" spans="1:22" x14ac:dyDescent="0.25">
      <c r="A700" t="s">
        <v>768</v>
      </c>
      <c r="B700" s="1">
        <v>45537</v>
      </c>
      <c r="C700">
        <v>773</v>
      </c>
      <c r="D700" t="s">
        <v>37</v>
      </c>
      <c r="E700" t="s">
        <v>24</v>
      </c>
      <c r="F700" t="s">
        <v>32</v>
      </c>
      <c r="G700" t="s">
        <v>26</v>
      </c>
      <c r="H700" t="s">
        <v>38</v>
      </c>
      <c r="I700" t="s">
        <v>46</v>
      </c>
      <c r="J700" t="s">
        <v>40</v>
      </c>
      <c r="K700">
        <v>536</v>
      </c>
      <c r="L700">
        <v>13</v>
      </c>
      <c r="M700" s="2">
        <v>92</v>
      </c>
      <c r="N700" s="2">
        <v>40</v>
      </c>
      <c r="O700" s="2">
        <v>25</v>
      </c>
      <c r="P700" s="2">
        <v>27</v>
      </c>
      <c r="Q700" s="3">
        <v>0.29349999999999998</v>
      </c>
      <c r="R700" s="2">
        <v>80</v>
      </c>
      <c r="S700" s="2">
        <v>30</v>
      </c>
      <c r="T700" s="2">
        <v>30</v>
      </c>
      <c r="U700" s="3">
        <v>0.375</v>
      </c>
      <c r="V700" s="2">
        <v>-3</v>
      </c>
    </row>
    <row r="701" spans="1:22" x14ac:dyDescent="0.25">
      <c r="A701" t="s">
        <v>769</v>
      </c>
      <c r="B701" s="1">
        <v>45537</v>
      </c>
      <c r="C701">
        <v>971</v>
      </c>
      <c r="D701" t="s">
        <v>71</v>
      </c>
      <c r="E701" t="s">
        <v>53</v>
      </c>
      <c r="F701" t="s">
        <v>25</v>
      </c>
      <c r="G701" t="s">
        <v>33</v>
      </c>
      <c r="H701" t="s">
        <v>54</v>
      </c>
      <c r="I701" t="s">
        <v>72</v>
      </c>
      <c r="J701" t="s">
        <v>29</v>
      </c>
      <c r="K701">
        <v>422</v>
      </c>
      <c r="L701">
        <v>17</v>
      </c>
      <c r="M701" s="2">
        <v>103</v>
      </c>
      <c r="N701" s="2">
        <v>46</v>
      </c>
      <c r="O701" s="2">
        <v>51</v>
      </c>
      <c r="P701" s="2">
        <v>6</v>
      </c>
      <c r="Q701" s="3">
        <v>5.8299999999999998E-2</v>
      </c>
      <c r="R701" s="2">
        <v>90</v>
      </c>
      <c r="S701" s="2">
        <v>40</v>
      </c>
      <c r="T701" s="2">
        <v>10</v>
      </c>
      <c r="U701" s="3">
        <v>0.1111</v>
      </c>
      <c r="V701" s="2">
        <v>-4</v>
      </c>
    </row>
    <row r="702" spans="1:22" x14ac:dyDescent="0.25">
      <c r="A702" t="s">
        <v>770</v>
      </c>
      <c r="B702" s="1">
        <v>45537</v>
      </c>
      <c r="C702">
        <v>323</v>
      </c>
      <c r="D702" t="s">
        <v>62</v>
      </c>
      <c r="E702" t="s">
        <v>53</v>
      </c>
      <c r="F702" t="s">
        <v>32</v>
      </c>
      <c r="G702" t="s">
        <v>26</v>
      </c>
      <c r="H702" t="s">
        <v>38</v>
      </c>
      <c r="I702" t="s">
        <v>66</v>
      </c>
      <c r="J702" t="s">
        <v>40</v>
      </c>
      <c r="K702">
        <v>531</v>
      </c>
      <c r="L702">
        <v>14</v>
      </c>
      <c r="M702" s="2">
        <v>106</v>
      </c>
      <c r="N702" s="2">
        <v>43</v>
      </c>
      <c r="O702" s="2">
        <v>27</v>
      </c>
      <c r="P702" s="2">
        <v>43</v>
      </c>
      <c r="Q702" s="3">
        <v>0.40570000000000001</v>
      </c>
      <c r="R702" s="2">
        <v>90</v>
      </c>
      <c r="S702" s="2">
        <v>40</v>
      </c>
      <c r="T702" s="2">
        <v>30</v>
      </c>
      <c r="U702" s="3">
        <v>0.33329999999999999</v>
      </c>
      <c r="V702" s="2">
        <v>13</v>
      </c>
    </row>
    <row r="703" spans="1:22" x14ac:dyDescent="0.25">
      <c r="A703" t="s">
        <v>771</v>
      </c>
      <c r="B703" s="1">
        <v>45537</v>
      </c>
      <c r="C703">
        <v>914</v>
      </c>
      <c r="D703" t="s">
        <v>99</v>
      </c>
      <c r="E703" t="s">
        <v>79</v>
      </c>
      <c r="F703" t="s">
        <v>32</v>
      </c>
      <c r="G703" t="s">
        <v>33</v>
      </c>
      <c r="H703" t="s">
        <v>54</v>
      </c>
      <c r="I703" t="s">
        <v>68</v>
      </c>
      <c r="J703" t="s">
        <v>29</v>
      </c>
      <c r="K703">
        <v>3385</v>
      </c>
      <c r="L703">
        <v>109</v>
      </c>
      <c r="M703" s="2">
        <v>65</v>
      </c>
      <c r="N703" s="2">
        <v>121</v>
      </c>
      <c r="O703" s="2">
        <v>142</v>
      </c>
      <c r="P703" s="2">
        <v>-300</v>
      </c>
      <c r="Q703" s="3">
        <v>-4.6154000000000002</v>
      </c>
      <c r="R703" s="2">
        <v>50</v>
      </c>
      <c r="S703" s="2">
        <v>110</v>
      </c>
      <c r="T703" s="2">
        <v>-190</v>
      </c>
      <c r="U703" s="3">
        <v>-3.8</v>
      </c>
      <c r="V703" s="2">
        <v>-110</v>
      </c>
    </row>
    <row r="704" spans="1:22" x14ac:dyDescent="0.25">
      <c r="A704" t="s">
        <v>772</v>
      </c>
      <c r="B704" s="1">
        <v>45537</v>
      </c>
      <c r="C704">
        <v>206</v>
      </c>
      <c r="D704" t="s">
        <v>52</v>
      </c>
      <c r="E704" t="s">
        <v>53</v>
      </c>
      <c r="F704" t="s">
        <v>25</v>
      </c>
      <c r="G704" t="s">
        <v>33</v>
      </c>
      <c r="H704" t="s">
        <v>54</v>
      </c>
      <c r="I704" t="s">
        <v>72</v>
      </c>
      <c r="J704" t="s">
        <v>29</v>
      </c>
      <c r="K704">
        <v>573</v>
      </c>
      <c r="L704">
        <v>7</v>
      </c>
      <c r="M704" s="2">
        <v>51</v>
      </c>
      <c r="N704" s="2">
        <v>22</v>
      </c>
      <c r="O704" s="2">
        <v>19</v>
      </c>
      <c r="P704" s="2">
        <v>10</v>
      </c>
      <c r="Q704" s="3">
        <v>0.1961</v>
      </c>
      <c r="R704" s="2">
        <v>30</v>
      </c>
      <c r="S704" s="2">
        <v>10</v>
      </c>
      <c r="T704" s="2">
        <v>20</v>
      </c>
      <c r="U704" s="3">
        <v>0.66669999999999996</v>
      </c>
      <c r="V704" s="2">
        <v>-10</v>
      </c>
    </row>
    <row r="705" spans="1:22" x14ac:dyDescent="0.25">
      <c r="A705" t="s">
        <v>773</v>
      </c>
      <c r="B705" s="1">
        <v>45538</v>
      </c>
      <c r="C705">
        <v>713</v>
      </c>
      <c r="D705" t="s">
        <v>76</v>
      </c>
      <c r="E705" t="s">
        <v>45</v>
      </c>
      <c r="F705" t="s">
        <v>32</v>
      </c>
      <c r="G705" t="s">
        <v>26</v>
      </c>
      <c r="H705" t="s">
        <v>38</v>
      </c>
      <c r="I705" t="s">
        <v>39</v>
      </c>
      <c r="J705" t="s">
        <v>40</v>
      </c>
      <c r="K705">
        <v>411</v>
      </c>
      <c r="L705">
        <v>19</v>
      </c>
      <c r="M705" s="2">
        <v>138</v>
      </c>
      <c r="N705" s="2">
        <v>59</v>
      </c>
      <c r="O705" s="2">
        <v>47</v>
      </c>
      <c r="P705" s="2">
        <v>32</v>
      </c>
      <c r="Q705" s="3">
        <v>0.2319</v>
      </c>
      <c r="R705" s="2">
        <v>120</v>
      </c>
      <c r="S705" s="2">
        <v>50</v>
      </c>
      <c r="T705" s="2">
        <v>40</v>
      </c>
      <c r="U705" s="3">
        <v>0.33329999999999999</v>
      </c>
      <c r="V705" s="2">
        <v>-8</v>
      </c>
    </row>
    <row r="706" spans="1:22" x14ac:dyDescent="0.25">
      <c r="A706" t="s">
        <v>774</v>
      </c>
      <c r="B706" s="1">
        <v>45538</v>
      </c>
      <c r="C706">
        <v>971</v>
      </c>
      <c r="D706" t="s">
        <v>71</v>
      </c>
      <c r="E706" t="s">
        <v>53</v>
      </c>
      <c r="F706" t="s">
        <v>25</v>
      </c>
      <c r="G706" t="s">
        <v>26</v>
      </c>
      <c r="H706" t="s">
        <v>27</v>
      </c>
      <c r="I706" t="s">
        <v>28</v>
      </c>
      <c r="J706" t="s">
        <v>29</v>
      </c>
      <c r="K706">
        <v>480</v>
      </c>
      <c r="L706">
        <v>5</v>
      </c>
      <c r="M706" s="2">
        <v>56</v>
      </c>
      <c r="N706" s="2">
        <v>21</v>
      </c>
      <c r="O706" s="2">
        <v>16</v>
      </c>
      <c r="P706" s="2">
        <v>24</v>
      </c>
      <c r="Q706" s="3">
        <v>0.42859999999999998</v>
      </c>
      <c r="R706" s="2">
        <v>20</v>
      </c>
      <c r="S706" s="2">
        <v>0</v>
      </c>
      <c r="T706" s="2">
        <v>20</v>
      </c>
      <c r="U706" s="3">
        <v>1</v>
      </c>
      <c r="V706" s="2">
        <v>4</v>
      </c>
    </row>
    <row r="707" spans="1:22" x14ac:dyDescent="0.25">
      <c r="A707" t="s">
        <v>775</v>
      </c>
      <c r="B707" s="1">
        <v>45539</v>
      </c>
      <c r="C707">
        <v>970</v>
      </c>
      <c r="D707" t="s">
        <v>31</v>
      </c>
      <c r="E707" t="s">
        <v>24</v>
      </c>
      <c r="F707" t="s">
        <v>32</v>
      </c>
      <c r="G707" t="s">
        <v>26</v>
      </c>
      <c r="H707" t="s">
        <v>27</v>
      </c>
      <c r="I707" t="s">
        <v>42</v>
      </c>
      <c r="J707" t="s">
        <v>29</v>
      </c>
      <c r="K707">
        <v>1037</v>
      </c>
      <c r="L707">
        <v>16</v>
      </c>
      <c r="M707" s="2">
        <v>126</v>
      </c>
      <c r="N707" s="2">
        <v>54</v>
      </c>
      <c r="O707" s="2">
        <v>37</v>
      </c>
      <c r="P707" s="2">
        <v>40</v>
      </c>
      <c r="Q707" s="3">
        <v>0.3175</v>
      </c>
      <c r="R707" s="2">
        <v>80</v>
      </c>
      <c r="S707" s="2">
        <v>30</v>
      </c>
      <c r="T707" s="2">
        <v>40</v>
      </c>
      <c r="U707" s="3">
        <v>0.5</v>
      </c>
      <c r="V707" s="2">
        <v>0</v>
      </c>
    </row>
    <row r="708" spans="1:22" x14ac:dyDescent="0.25">
      <c r="A708" t="s">
        <v>776</v>
      </c>
      <c r="B708" s="1">
        <v>45539</v>
      </c>
      <c r="C708">
        <v>603</v>
      </c>
      <c r="D708" t="s">
        <v>109</v>
      </c>
      <c r="E708" t="s">
        <v>79</v>
      </c>
      <c r="F708" t="s">
        <v>25</v>
      </c>
      <c r="G708" t="s">
        <v>26</v>
      </c>
      <c r="H708" t="s">
        <v>38</v>
      </c>
      <c r="I708" t="s">
        <v>46</v>
      </c>
      <c r="J708" t="s">
        <v>40</v>
      </c>
      <c r="K708">
        <v>240</v>
      </c>
      <c r="L708">
        <v>12</v>
      </c>
      <c r="M708" s="2">
        <v>82</v>
      </c>
      <c r="N708" s="2">
        <v>34</v>
      </c>
      <c r="O708" s="2">
        <v>46</v>
      </c>
      <c r="P708" s="2">
        <v>-4</v>
      </c>
      <c r="Q708" s="3">
        <v>-4.8800000000000003E-2</v>
      </c>
      <c r="R708" s="2">
        <v>40</v>
      </c>
      <c r="S708" s="2">
        <v>10</v>
      </c>
      <c r="T708" s="2">
        <v>20</v>
      </c>
      <c r="U708" s="3">
        <v>0.5</v>
      </c>
      <c r="V708" s="2">
        <v>-24</v>
      </c>
    </row>
    <row r="709" spans="1:22" x14ac:dyDescent="0.25">
      <c r="A709" t="s">
        <v>777</v>
      </c>
      <c r="B709" s="1">
        <v>45539</v>
      </c>
      <c r="C709">
        <v>337</v>
      </c>
      <c r="D709" t="s">
        <v>49</v>
      </c>
      <c r="E709" t="s">
        <v>45</v>
      </c>
      <c r="F709" t="s">
        <v>25</v>
      </c>
      <c r="G709" t="s">
        <v>26</v>
      </c>
      <c r="H709" t="s">
        <v>38</v>
      </c>
      <c r="I709" t="s">
        <v>39</v>
      </c>
      <c r="J709" t="s">
        <v>40</v>
      </c>
      <c r="K709">
        <v>552</v>
      </c>
      <c r="L709">
        <v>33</v>
      </c>
      <c r="M709" s="2">
        <v>231</v>
      </c>
      <c r="N709" s="2">
        <v>101</v>
      </c>
      <c r="O709" s="2">
        <v>45</v>
      </c>
      <c r="P709" s="2">
        <v>85</v>
      </c>
      <c r="Q709" s="3">
        <v>0.36799999999999999</v>
      </c>
      <c r="R709" s="2">
        <v>210</v>
      </c>
      <c r="S709" s="2">
        <v>90</v>
      </c>
      <c r="T709" s="2">
        <v>80</v>
      </c>
      <c r="U709" s="3">
        <v>0.38100000000000001</v>
      </c>
      <c r="V709" s="2">
        <v>5</v>
      </c>
    </row>
    <row r="710" spans="1:22" x14ac:dyDescent="0.25">
      <c r="A710" t="s">
        <v>778</v>
      </c>
      <c r="B710" s="1">
        <v>45540</v>
      </c>
      <c r="C710">
        <v>718</v>
      </c>
      <c r="D710" t="s">
        <v>99</v>
      </c>
      <c r="E710" t="s">
        <v>79</v>
      </c>
      <c r="F710" t="s">
        <v>32</v>
      </c>
      <c r="G710" t="s">
        <v>26</v>
      </c>
      <c r="H710" t="s">
        <v>27</v>
      </c>
      <c r="I710" t="s">
        <v>42</v>
      </c>
      <c r="J710" t="s">
        <v>29</v>
      </c>
      <c r="K710">
        <v>959</v>
      </c>
      <c r="L710">
        <v>34</v>
      </c>
      <c r="M710" s="2">
        <v>302</v>
      </c>
      <c r="N710" s="2">
        <v>123</v>
      </c>
      <c r="O710" s="2">
        <v>46</v>
      </c>
      <c r="P710" s="2">
        <v>133</v>
      </c>
      <c r="Q710" s="3">
        <v>0.44040000000000001</v>
      </c>
      <c r="R710" s="2">
        <v>310</v>
      </c>
      <c r="S710" s="2">
        <v>120</v>
      </c>
      <c r="T710" s="2">
        <v>150</v>
      </c>
      <c r="U710" s="3">
        <v>0.4839</v>
      </c>
      <c r="V710" s="2">
        <v>-17</v>
      </c>
    </row>
    <row r="711" spans="1:22" x14ac:dyDescent="0.25">
      <c r="A711" t="s">
        <v>779</v>
      </c>
      <c r="B711" s="1">
        <v>45540</v>
      </c>
      <c r="C711">
        <v>562</v>
      </c>
      <c r="D711" t="s">
        <v>62</v>
      </c>
      <c r="E711" t="s">
        <v>53</v>
      </c>
      <c r="F711" t="s">
        <v>32</v>
      </c>
      <c r="G711" t="s">
        <v>33</v>
      </c>
      <c r="H711" t="s">
        <v>54</v>
      </c>
      <c r="I711" t="s">
        <v>68</v>
      </c>
      <c r="J711" t="s">
        <v>29</v>
      </c>
      <c r="K711">
        <v>898</v>
      </c>
      <c r="L711">
        <v>113</v>
      </c>
      <c r="M711" s="2">
        <v>298</v>
      </c>
      <c r="N711" s="2">
        <v>125</v>
      </c>
      <c r="O711" s="2">
        <v>146</v>
      </c>
      <c r="P711" s="2">
        <v>27</v>
      </c>
      <c r="Q711" s="3">
        <v>9.06E-2</v>
      </c>
      <c r="R711" s="2">
        <v>270</v>
      </c>
      <c r="S711" s="2">
        <v>110</v>
      </c>
      <c r="T711" s="2">
        <v>50</v>
      </c>
      <c r="U711" s="3">
        <v>0.1852</v>
      </c>
      <c r="V711" s="2">
        <v>-23</v>
      </c>
    </row>
    <row r="712" spans="1:22" x14ac:dyDescent="0.25">
      <c r="A712" t="s">
        <v>780</v>
      </c>
      <c r="B712" s="1">
        <v>45540</v>
      </c>
      <c r="C712">
        <v>503</v>
      </c>
      <c r="D712" t="s">
        <v>71</v>
      </c>
      <c r="E712" t="s">
        <v>53</v>
      </c>
      <c r="F712" t="s">
        <v>25</v>
      </c>
      <c r="G712" t="s">
        <v>33</v>
      </c>
      <c r="H712" t="s">
        <v>34</v>
      </c>
      <c r="I712" t="s">
        <v>50</v>
      </c>
      <c r="J712" t="s">
        <v>29</v>
      </c>
      <c r="K712">
        <v>463</v>
      </c>
      <c r="L712">
        <v>19</v>
      </c>
      <c r="M712" s="2">
        <v>153</v>
      </c>
      <c r="N712" s="2">
        <v>60</v>
      </c>
      <c r="O712" s="2">
        <v>63</v>
      </c>
      <c r="P712" s="2">
        <v>31</v>
      </c>
      <c r="Q712" s="3">
        <v>0.2026</v>
      </c>
      <c r="R712" s="2">
        <v>210</v>
      </c>
      <c r="S712" s="2">
        <v>80</v>
      </c>
      <c r="T712" s="2">
        <v>90</v>
      </c>
      <c r="U712" s="3">
        <v>0.42859999999999998</v>
      </c>
      <c r="V712" s="2">
        <v>-59</v>
      </c>
    </row>
    <row r="713" spans="1:22" x14ac:dyDescent="0.25">
      <c r="A713" t="s">
        <v>781</v>
      </c>
      <c r="B713" s="1">
        <v>45541</v>
      </c>
      <c r="C713">
        <v>425</v>
      </c>
      <c r="D713" t="s">
        <v>52</v>
      </c>
      <c r="E713" t="s">
        <v>53</v>
      </c>
      <c r="F713" t="s">
        <v>25</v>
      </c>
      <c r="G713" t="s">
        <v>26</v>
      </c>
      <c r="H713" t="s">
        <v>38</v>
      </c>
      <c r="I713" t="s">
        <v>46</v>
      </c>
      <c r="J713" t="s">
        <v>40</v>
      </c>
      <c r="K713">
        <v>845</v>
      </c>
      <c r="L713">
        <v>13</v>
      </c>
      <c r="M713" s="2">
        <v>120</v>
      </c>
      <c r="N713" s="2">
        <v>49</v>
      </c>
      <c r="O713" s="2">
        <v>25</v>
      </c>
      <c r="P713" s="2">
        <v>46</v>
      </c>
      <c r="Q713" s="3">
        <v>0.38329999999999997</v>
      </c>
      <c r="R713" s="2">
        <v>110</v>
      </c>
      <c r="S713" s="2">
        <v>40</v>
      </c>
      <c r="T713" s="2">
        <v>50</v>
      </c>
      <c r="U713" s="3">
        <v>0.45450000000000002</v>
      </c>
      <c r="V713" s="2">
        <v>-4</v>
      </c>
    </row>
    <row r="714" spans="1:22" x14ac:dyDescent="0.25">
      <c r="A714" t="s">
        <v>782</v>
      </c>
      <c r="B714" s="1">
        <v>45541</v>
      </c>
      <c r="C714">
        <v>580</v>
      </c>
      <c r="D714" t="s">
        <v>148</v>
      </c>
      <c r="E714" t="s">
        <v>45</v>
      </c>
      <c r="F714" t="s">
        <v>25</v>
      </c>
      <c r="G714" t="s">
        <v>26</v>
      </c>
      <c r="H714" t="s">
        <v>38</v>
      </c>
      <c r="I714" t="s">
        <v>46</v>
      </c>
      <c r="J714" t="s">
        <v>40</v>
      </c>
      <c r="K714">
        <v>716</v>
      </c>
      <c r="L714">
        <v>95</v>
      </c>
      <c r="M714" s="2">
        <v>266</v>
      </c>
      <c r="N714" s="2">
        <v>105</v>
      </c>
      <c r="O714" s="2">
        <v>125</v>
      </c>
      <c r="P714" s="2">
        <v>30</v>
      </c>
      <c r="Q714" s="3">
        <v>0.1128</v>
      </c>
      <c r="R714" s="2">
        <v>230</v>
      </c>
      <c r="S714" s="2">
        <v>90</v>
      </c>
      <c r="T714" s="2">
        <v>30</v>
      </c>
      <c r="U714" s="3">
        <v>0.13039999999999999</v>
      </c>
      <c r="V714" s="2">
        <v>0</v>
      </c>
    </row>
    <row r="715" spans="1:22" x14ac:dyDescent="0.25">
      <c r="A715" t="s">
        <v>783</v>
      </c>
      <c r="B715" s="1">
        <v>45541</v>
      </c>
      <c r="C715">
        <v>417</v>
      </c>
      <c r="D715" t="s">
        <v>58</v>
      </c>
      <c r="E715" t="s">
        <v>24</v>
      </c>
      <c r="F715" t="s">
        <v>25</v>
      </c>
      <c r="G715" t="s">
        <v>26</v>
      </c>
      <c r="H715" t="s">
        <v>27</v>
      </c>
      <c r="I715" t="s">
        <v>42</v>
      </c>
      <c r="J715" t="s">
        <v>29</v>
      </c>
      <c r="K715">
        <v>209</v>
      </c>
      <c r="L715">
        <v>9</v>
      </c>
      <c r="M715" s="2">
        <v>56</v>
      </c>
      <c r="N715" s="2">
        <v>25</v>
      </c>
      <c r="O715" s="2">
        <v>42</v>
      </c>
      <c r="P715" s="2">
        <v>-11</v>
      </c>
      <c r="Q715" s="3">
        <v>-0.19639999999999999</v>
      </c>
      <c r="R715" s="2">
        <v>30</v>
      </c>
      <c r="S715" s="2">
        <v>10</v>
      </c>
      <c r="T715" s="2">
        <v>0</v>
      </c>
      <c r="U715" s="3">
        <v>0</v>
      </c>
      <c r="V715" s="2">
        <v>-11</v>
      </c>
    </row>
    <row r="716" spans="1:22" x14ac:dyDescent="0.25">
      <c r="A716" t="s">
        <v>784</v>
      </c>
      <c r="B716" s="1">
        <v>45541</v>
      </c>
      <c r="C716">
        <v>573</v>
      </c>
      <c r="D716" t="s">
        <v>58</v>
      </c>
      <c r="E716" t="s">
        <v>24</v>
      </c>
      <c r="F716" t="s">
        <v>25</v>
      </c>
      <c r="G716" t="s">
        <v>26</v>
      </c>
      <c r="H716" t="s">
        <v>27</v>
      </c>
      <c r="I716" t="s">
        <v>42</v>
      </c>
      <c r="J716" t="s">
        <v>29</v>
      </c>
      <c r="K716">
        <v>218</v>
      </c>
      <c r="L716">
        <v>7</v>
      </c>
      <c r="M716" s="2">
        <v>45</v>
      </c>
      <c r="N716" s="2">
        <v>20</v>
      </c>
      <c r="O716" s="2">
        <v>41</v>
      </c>
      <c r="P716" s="2">
        <v>-16</v>
      </c>
      <c r="Q716" s="3">
        <v>-0.35560000000000003</v>
      </c>
      <c r="R716" s="2">
        <v>30</v>
      </c>
      <c r="S716" s="2">
        <v>10</v>
      </c>
      <c r="T716" s="2">
        <v>-10</v>
      </c>
      <c r="U716" s="3">
        <v>-0.33329999999999999</v>
      </c>
      <c r="V716" s="2">
        <v>-6</v>
      </c>
    </row>
    <row r="717" spans="1:22" x14ac:dyDescent="0.25">
      <c r="A717" t="s">
        <v>785</v>
      </c>
      <c r="B717" s="1">
        <v>45541</v>
      </c>
      <c r="C717">
        <v>971</v>
      </c>
      <c r="D717" t="s">
        <v>71</v>
      </c>
      <c r="E717" t="s">
        <v>53</v>
      </c>
      <c r="F717" t="s">
        <v>25</v>
      </c>
      <c r="G717" t="s">
        <v>26</v>
      </c>
      <c r="H717" t="s">
        <v>27</v>
      </c>
      <c r="I717" t="s">
        <v>59</v>
      </c>
      <c r="J717" t="s">
        <v>29</v>
      </c>
      <c r="K717">
        <v>666</v>
      </c>
      <c r="L717">
        <v>31</v>
      </c>
      <c r="M717" s="2">
        <v>245</v>
      </c>
      <c r="N717" s="2">
        <v>102</v>
      </c>
      <c r="O717" s="2">
        <v>54</v>
      </c>
      <c r="P717" s="2">
        <v>89</v>
      </c>
      <c r="Q717" s="3">
        <v>0.36330000000000001</v>
      </c>
      <c r="R717" s="2">
        <v>170</v>
      </c>
      <c r="S717" s="2">
        <v>70</v>
      </c>
      <c r="T717" s="2">
        <v>70</v>
      </c>
      <c r="U717" s="3">
        <v>0.4118</v>
      </c>
      <c r="V717" s="2">
        <v>19</v>
      </c>
    </row>
    <row r="718" spans="1:22" x14ac:dyDescent="0.25">
      <c r="A718" t="s">
        <v>786</v>
      </c>
      <c r="B718" s="1">
        <v>45542</v>
      </c>
      <c r="C718">
        <v>715</v>
      </c>
      <c r="D718" t="s">
        <v>23</v>
      </c>
      <c r="E718" t="s">
        <v>24</v>
      </c>
      <c r="F718" t="s">
        <v>25</v>
      </c>
      <c r="G718" t="s">
        <v>26</v>
      </c>
      <c r="H718" t="s">
        <v>27</v>
      </c>
      <c r="I718" t="s">
        <v>42</v>
      </c>
      <c r="J718" t="s">
        <v>29</v>
      </c>
      <c r="K718">
        <v>606</v>
      </c>
      <c r="L718">
        <v>54</v>
      </c>
      <c r="M718" s="2">
        <v>144</v>
      </c>
      <c r="N718" s="2">
        <v>60</v>
      </c>
      <c r="O718" s="2">
        <v>84</v>
      </c>
      <c r="P718" s="2">
        <v>0</v>
      </c>
      <c r="Q718" s="3">
        <v>0</v>
      </c>
      <c r="R718" s="2">
        <v>90</v>
      </c>
      <c r="S718" s="2">
        <v>40</v>
      </c>
      <c r="T718" s="2">
        <v>0</v>
      </c>
      <c r="U718" s="3">
        <v>0</v>
      </c>
      <c r="V718" s="2">
        <v>0</v>
      </c>
    </row>
    <row r="719" spans="1:22" x14ac:dyDescent="0.25">
      <c r="A719" t="s">
        <v>787</v>
      </c>
      <c r="B719" s="1">
        <v>45542</v>
      </c>
      <c r="C719">
        <v>702</v>
      </c>
      <c r="D719" t="s">
        <v>65</v>
      </c>
      <c r="E719" t="s">
        <v>53</v>
      </c>
      <c r="F719" t="s">
        <v>25</v>
      </c>
      <c r="G719" t="s">
        <v>33</v>
      </c>
      <c r="H719" t="s">
        <v>54</v>
      </c>
      <c r="I719" t="s">
        <v>55</v>
      </c>
      <c r="J719" t="s">
        <v>40</v>
      </c>
      <c r="K719">
        <v>807</v>
      </c>
      <c r="L719">
        <v>6</v>
      </c>
      <c r="M719" s="2">
        <v>58</v>
      </c>
      <c r="N719" s="2">
        <v>23</v>
      </c>
      <c r="O719" s="2">
        <v>18</v>
      </c>
      <c r="P719" s="2">
        <v>17</v>
      </c>
      <c r="Q719" s="3">
        <v>0.29310000000000003</v>
      </c>
      <c r="R719" s="2">
        <v>50</v>
      </c>
      <c r="S719" s="2">
        <v>20</v>
      </c>
      <c r="T719" s="2">
        <v>20</v>
      </c>
      <c r="U719" s="3">
        <v>0.4</v>
      </c>
      <c r="V719" s="2">
        <v>-3</v>
      </c>
    </row>
    <row r="720" spans="1:22" x14ac:dyDescent="0.25">
      <c r="A720" t="s">
        <v>788</v>
      </c>
      <c r="B720" s="1">
        <v>45543</v>
      </c>
      <c r="C720">
        <v>603</v>
      </c>
      <c r="D720" t="s">
        <v>109</v>
      </c>
      <c r="E720" t="s">
        <v>79</v>
      </c>
      <c r="F720" t="s">
        <v>25</v>
      </c>
      <c r="G720" t="s">
        <v>33</v>
      </c>
      <c r="H720" t="s">
        <v>54</v>
      </c>
      <c r="I720" t="s">
        <v>68</v>
      </c>
      <c r="J720" t="s">
        <v>29</v>
      </c>
      <c r="K720">
        <v>325</v>
      </c>
      <c r="L720">
        <v>40</v>
      </c>
      <c r="M720" s="2">
        <v>106</v>
      </c>
      <c r="N720" s="2">
        <v>44</v>
      </c>
      <c r="O720" s="2">
        <v>70</v>
      </c>
      <c r="P720" s="2">
        <v>-8</v>
      </c>
      <c r="Q720" s="3">
        <v>-7.5499999999999998E-2</v>
      </c>
      <c r="R720" s="2">
        <v>100</v>
      </c>
      <c r="S720" s="2">
        <v>40</v>
      </c>
      <c r="T720" s="2">
        <v>10</v>
      </c>
      <c r="U720" s="3">
        <v>0.1</v>
      </c>
      <c r="V720" s="2">
        <v>-18</v>
      </c>
    </row>
    <row r="721" spans="1:22" x14ac:dyDescent="0.25">
      <c r="A721" t="s">
        <v>789</v>
      </c>
      <c r="B721" s="1">
        <v>45543</v>
      </c>
      <c r="C721">
        <v>515</v>
      </c>
      <c r="D721" t="s">
        <v>124</v>
      </c>
      <c r="E721" t="s">
        <v>24</v>
      </c>
      <c r="F721" t="s">
        <v>25</v>
      </c>
      <c r="G721" t="s">
        <v>33</v>
      </c>
      <c r="H721" t="s">
        <v>54</v>
      </c>
      <c r="I721" t="s">
        <v>68</v>
      </c>
      <c r="J721" t="s">
        <v>29</v>
      </c>
      <c r="K721">
        <v>802</v>
      </c>
      <c r="L721">
        <v>6</v>
      </c>
      <c r="M721" s="2">
        <v>56</v>
      </c>
      <c r="N721" s="2">
        <v>22</v>
      </c>
      <c r="O721" s="2">
        <v>18</v>
      </c>
      <c r="P721" s="2">
        <v>16</v>
      </c>
      <c r="Q721" s="3">
        <v>0.28570000000000001</v>
      </c>
      <c r="R721" s="2">
        <v>70</v>
      </c>
      <c r="S721" s="2">
        <v>20</v>
      </c>
      <c r="T721" s="2">
        <v>40</v>
      </c>
      <c r="U721" s="3">
        <v>0.57140000000000002</v>
      </c>
      <c r="V721" s="2">
        <v>-24</v>
      </c>
    </row>
    <row r="722" spans="1:22" x14ac:dyDescent="0.25">
      <c r="A722" t="s">
        <v>790</v>
      </c>
      <c r="B722" s="1">
        <v>45543</v>
      </c>
      <c r="C722">
        <v>813</v>
      </c>
      <c r="D722" t="s">
        <v>117</v>
      </c>
      <c r="E722" t="s">
        <v>79</v>
      </c>
      <c r="F722" t="s">
        <v>32</v>
      </c>
      <c r="G722" t="s">
        <v>26</v>
      </c>
      <c r="H722" t="s">
        <v>27</v>
      </c>
      <c r="I722" t="s">
        <v>28</v>
      </c>
      <c r="J722" t="s">
        <v>29</v>
      </c>
      <c r="K722">
        <v>882</v>
      </c>
      <c r="L722">
        <v>8</v>
      </c>
      <c r="M722" s="2">
        <v>75</v>
      </c>
      <c r="N722" s="2">
        <v>30</v>
      </c>
      <c r="O722" s="2">
        <v>19</v>
      </c>
      <c r="P722" s="2">
        <v>26</v>
      </c>
      <c r="Q722" s="3">
        <v>0.34670000000000001</v>
      </c>
      <c r="R722" s="2">
        <v>70</v>
      </c>
      <c r="S722" s="2">
        <v>30</v>
      </c>
      <c r="T722" s="2">
        <v>30</v>
      </c>
      <c r="U722" s="3">
        <v>0.42859999999999998</v>
      </c>
      <c r="V722" s="2">
        <v>-4</v>
      </c>
    </row>
    <row r="723" spans="1:22" x14ac:dyDescent="0.25">
      <c r="A723" t="s">
        <v>791</v>
      </c>
      <c r="B723" s="1">
        <v>45543</v>
      </c>
      <c r="C723">
        <v>727</v>
      </c>
      <c r="D723" t="s">
        <v>117</v>
      </c>
      <c r="E723" t="s">
        <v>79</v>
      </c>
      <c r="F723" t="s">
        <v>32</v>
      </c>
      <c r="G723" t="s">
        <v>26</v>
      </c>
      <c r="H723" t="s">
        <v>38</v>
      </c>
      <c r="I723" t="s">
        <v>39</v>
      </c>
      <c r="J723" t="s">
        <v>40</v>
      </c>
      <c r="K723">
        <v>570</v>
      </c>
      <c r="L723">
        <v>7</v>
      </c>
      <c r="M723" s="2">
        <v>55</v>
      </c>
      <c r="N723" s="2">
        <v>22</v>
      </c>
      <c r="O723" s="2">
        <v>19</v>
      </c>
      <c r="P723" s="2">
        <v>16</v>
      </c>
      <c r="Q723" s="3">
        <v>0.29089999999999999</v>
      </c>
      <c r="R723" s="2">
        <v>30</v>
      </c>
      <c r="S723" s="2">
        <v>10</v>
      </c>
      <c r="T723" s="2">
        <v>10</v>
      </c>
      <c r="U723" s="3">
        <v>0.33329999999999999</v>
      </c>
      <c r="V723" s="2">
        <v>6</v>
      </c>
    </row>
    <row r="724" spans="1:22" x14ac:dyDescent="0.25">
      <c r="A724" t="s">
        <v>792</v>
      </c>
      <c r="B724" s="1">
        <v>45544</v>
      </c>
      <c r="C724">
        <v>774</v>
      </c>
      <c r="D724" t="s">
        <v>78</v>
      </c>
      <c r="E724" t="s">
        <v>79</v>
      </c>
      <c r="F724" t="s">
        <v>32</v>
      </c>
      <c r="G724" t="s">
        <v>33</v>
      </c>
      <c r="H724" t="s">
        <v>54</v>
      </c>
      <c r="I724" t="s">
        <v>68</v>
      </c>
      <c r="J724" t="s">
        <v>29</v>
      </c>
      <c r="K724">
        <v>554</v>
      </c>
      <c r="L724">
        <v>47</v>
      </c>
      <c r="M724" s="2">
        <v>120</v>
      </c>
      <c r="N724" s="2">
        <v>52</v>
      </c>
      <c r="O724" s="2">
        <v>76</v>
      </c>
      <c r="P724" s="2">
        <v>-8</v>
      </c>
      <c r="Q724" s="3">
        <v>-6.6699999999999995E-2</v>
      </c>
      <c r="R724" s="2">
        <v>110</v>
      </c>
      <c r="S724" s="2">
        <v>50</v>
      </c>
      <c r="T724" s="2">
        <v>0</v>
      </c>
      <c r="U724" s="3">
        <v>0</v>
      </c>
      <c r="V724" s="2">
        <v>-8</v>
      </c>
    </row>
    <row r="725" spans="1:22" x14ac:dyDescent="0.25">
      <c r="A725" t="s">
        <v>793</v>
      </c>
      <c r="B725" s="1">
        <v>45544</v>
      </c>
      <c r="C725">
        <v>603</v>
      </c>
      <c r="D725" t="s">
        <v>109</v>
      </c>
      <c r="E725" t="s">
        <v>79</v>
      </c>
      <c r="F725" t="s">
        <v>25</v>
      </c>
      <c r="G725" t="s">
        <v>33</v>
      </c>
      <c r="H725" t="s">
        <v>34</v>
      </c>
      <c r="I725" t="s">
        <v>35</v>
      </c>
      <c r="J725" t="s">
        <v>29</v>
      </c>
      <c r="K725">
        <v>316</v>
      </c>
      <c r="L725">
        <v>14</v>
      </c>
      <c r="M725" s="2">
        <v>113</v>
      </c>
      <c r="N725" s="2">
        <v>46</v>
      </c>
      <c r="O725" s="2">
        <v>37</v>
      </c>
      <c r="P725" s="2">
        <v>30</v>
      </c>
      <c r="Q725" s="3">
        <v>0.26550000000000001</v>
      </c>
      <c r="R725" s="2">
        <v>100</v>
      </c>
      <c r="S725" s="2">
        <v>40</v>
      </c>
      <c r="T725" s="2">
        <v>40</v>
      </c>
      <c r="U725" s="3">
        <v>0.4</v>
      </c>
      <c r="V725" s="2">
        <v>-10</v>
      </c>
    </row>
    <row r="726" spans="1:22" x14ac:dyDescent="0.25">
      <c r="A726" t="s">
        <v>794</v>
      </c>
      <c r="B726" s="1">
        <v>45544</v>
      </c>
      <c r="C726">
        <v>682</v>
      </c>
      <c r="D726" t="s">
        <v>76</v>
      </c>
      <c r="E726" t="s">
        <v>45</v>
      </c>
      <c r="F726" t="s">
        <v>32</v>
      </c>
      <c r="G726" t="s">
        <v>33</v>
      </c>
      <c r="H726" t="s">
        <v>34</v>
      </c>
      <c r="I726" t="s">
        <v>83</v>
      </c>
      <c r="J726" t="s">
        <v>40</v>
      </c>
      <c r="K726">
        <v>531</v>
      </c>
      <c r="L726">
        <v>14</v>
      </c>
      <c r="M726" s="2">
        <v>99</v>
      </c>
      <c r="N726" s="2">
        <v>43</v>
      </c>
      <c r="O726" s="2">
        <v>26</v>
      </c>
      <c r="P726" s="2">
        <v>30</v>
      </c>
      <c r="Q726" s="3">
        <v>0.30299999999999999</v>
      </c>
      <c r="R726" s="2">
        <v>110</v>
      </c>
      <c r="S726" s="2">
        <v>50</v>
      </c>
      <c r="T726" s="2">
        <v>40</v>
      </c>
      <c r="U726" s="3">
        <v>0.36359999999999998</v>
      </c>
      <c r="V726" s="2">
        <v>-10</v>
      </c>
    </row>
    <row r="727" spans="1:22" x14ac:dyDescent="0.25">
      <c r="A727" t="s">
        <v>795</v>
      </c>
      <c r="B727" s="1">
        <v>45544</v>
      </c>
      <c r="C727">
        <v>563</v>
      </c>
      <c r="D727" t="s">
        <v>124</v>
      </c>
      <c r="E727" t="s">
        <v>24</v>
      </c>
      <c r="F727" t="s">
        <v>25</v>
      </c>
      <c r="G727" t="s">
        <v>33</v>
      </c>
      <c r="H727" t="s">
        <v>54</v>
      </c>
      <c r="I727" t="s">
        <v>55</v>
      </c>
      <c r="J727" t="s">
        <v>40</v>
      </c>
      <c r="K727">
        <v>430</v>
      </c>
      <c r="L727">
        <v>0</v>
      </c>
      <c r="M727" s="2">
        <v>46</v>
      </c>
      <c r="N727" s="2">
        <v>0</v>
      </c>
      <c r="O727" s="2">
        <v>12</v>
      </c>
      <c r="P727" s="2">
        <v>46</v>
      </c>
      <c r="Q727" s="3">
        <v>1</v>
      </c>
      <c r="R727" s="2">
        <v>60</v>
      </c>
      <c r="S727" s="2">
        <v>0</v>
      </c>
      <c r="T727" s="2">
        <v>60</v>
      </c>
      <c r="U727" s="3">
        <v>1</v>
      </c>
      <c r="V727" s="2">
        <v>-14</v>
      </c>
    </row>
    <row r="728" spans="1:22" x14ac:dyDescent="0.25">
      <c r="A728" t="s">
        <v>796</v>
      </c>
      <c r="B728" s="1">
        <v>45545</v>
      </c>
      <c r="C728">
        <v>641</v>
      </c>
      <c r="D728" t="s">
        <v>124</v>
      </c>
      <c r="E728" t="s">
        <v>24</v>
      </c>
      <c r="F728" t="s">
        <v>25</v>
      </c>
      <c r="G728" t="s">
        <v>33</v>
      </c>
      <c r="H728" t="s">
        <v>54</v>
      </c>
      <c r="I728" t="s">
        <v>55</v>
      </c>
      <c r="J728" t="s">
        <v>40</v>
      </c>
      <c r="K728">
        <v>344</v>
      </c>
      <c r="L728">
        <v>0</v>
      </c>
      <c r="M728" s="2">
        <v>43</v>
      </c>
      <c r="N728" s="2">
        <v>0</v>
      </c>
      <c r="O728" s="2">
        <v>11</v>
      </c>
      <c r="P728" s="2">
        <v>32</v>
      </c>
      <c r="Q728" s="3">
        <v>0.74419999999999997</v>
      </c>
      <c r="R728" s="2">
        <v>50</v>
      </c>
      <c r="S728" s="2">
        <v>0</v>
      </c>
      <c r="T728" s="2">
        <v>40</v>
      </c>
      <c r="U728" s="3">
        <v>0.8</v>
      </c>
      <c r="V728" s="2">
        <v>-8</v>
      </c>
    </row>
    <row r="729" spans="1:22" x14ac:dyDescent="0.25">
      <c r="A729" t="s">
        <v>797</v>
      </c>
      <c r="B729" s="1">
        <v>45545</v>
      </c>
      <c r="C729">
        <v>860</v>
      </c>
      <c r="D729" t="s">
        <v>135</v>
      </c>
      <c r="E729" t="s">
        <v>79</v>
      </c>
      <c r="F729" t="s">
        <v>25</v>
      </c>
      <c r="G729" t="s">
        <v>33</v>
      </c>
      <c r="H729" t="s">
        <v>34</v>
      </c>
      <c r="I729" t="s">
        <v>50</v>
      </c>
      <c r="J729" t="s">
        <v>29</v>
      </c>
      <c r="K729">
        <v>1119</v>
      </c>
      <c r="L729">
        <v>41</v>
      </c>
      <c r="M729" s="2">
        <v>313</v>
      </c>
      <c r="N729" s="2">
        <v>125</v>
      </c>
      <c r="O729" s="2">
        <v>73</v>
      </c>
      <c r="P729" s="2">
        <v>115</v>
      </c>
      <c r="Q729" s="3">
        <v>0.3674</v>
      </c>
      <c r="R729" s="2">
        <v>260</v>
      </c>
      <c r="S729" s="2">
        <v>100</v>
      </c>
      <c r="T729" s="2">
        <v>130</v>
      </c>
      <c r="U729" s="3">
        <v>0.5</v>
      </c>
      <c r="V729" s="2">
        <v>-15</v>
      </c>
    </row>
    <row r="730" spans="1:22" x14ac:dyDescent="0.25">
      <c r="A730" t="s">
        <v>798</v>
      </c>
      <c r="B730" s="1">
        <v>45546</v>
      </c>
      <c r="C730">
        <v>435</v>
      </c>
      <c r="D730" t="s">
        <v>95</v>
      </c>
      <c r="E730" t="s">
        <v>53</v>
      </c>
      <c r="F730" t="s">
        <v>25</v>
      </c>
      <c r="G730" t="s">
        <v>33</v>
      </c>
      <c r="H730" t="s">
        <v>54</v>
      </c>
      <c r="I730" t="s">
        <v>55</v>
      </c>
      <c r="J730" t="s">
        <v>40</v>
      </c>
      <c r="K730">
        <v>898</v>
      </c>
      <c r="L730">
        <v>14</v>
      </c>
      <c r="M730" s="2">
        <v>123</v>
      </c>
      <c r="N730" s="2">
        <v>50</v>
      </c>
      <c r="O730" s="2">
        <v>26</v>
      </c>
      <c r="P730" s="2">
        <v>47</v>
      </c>
      <c r="Q730" s="3">
        <v>0.3821</v>
      </c>
      <c r="R730" s="2">
        <v>110</v>
      </c>
      <c r="S730" s="2">
        <v>40</v>
      </c>
      <c r="T730" s="2">
        <v>50</v>
      </c>
      <c r="U730" s="3">
        <v>0.45450000000000002</v>
      </c>
      <c r="V730" s="2">
        <v>-3</v>
      </c>
    </row>
    <row r="731" spans="1:22" x14ac:dyDescent="0.25">
      <c r="A731" t="s">
        <v>799</v>
      </c>
      <c r="B731" s="1">
        <v>45546</v>
      </c>
      <c r="C731">
        <v>954</v>
      </c>
      <c r="D731" t="s">
        <v>117</v>
      </c>
      <c r="E731" t="s">
        <v>79</v>
      </c>
      <c r="F731" t="s">
        <v>32</v>
      </c>
      <c r="G731" t="s">
        <v>33</v>
      </c>
      <c r="H731" t="s">
        <v>34</v>
      </c>
      <c r="I731" t="s">
        <v>50</v>
      </c>
      <c r="J731" t="s">
        <v>29</v>
      </c>
      <c r="K731">
        <v>788</v>
      </c>
      <c r="L731">
        <v>27</v>
      </c>
      <c r="M731" s="2">
        <v>218</v>
      </c>
      <c r="N731" s="2">
        <v>82</v>
      </c>
      <c r="O731" s="2">
        <v>59</v>
      </c>
      <c r="P731" s="2">
        <v>95</v>
      </c>
      <c r="Q731" s="3">
        <v>0.43580000000000002</v>
      </c>
      <c r="R731" s="2">
        <v>170</v>
      </c>
      <c r="S731" s="2">
        <v>60</v>
      </c>
      <c r="T731" s="2">
        <v>90</v>
      </c>
      <c r="U731" s="3">
        <v>0.52939999999999998</v>
      </c>
      <c r="V731" s="2">
        <v>5</v>
      </c>
    </row>
    <row r="732" spans="1:22" x14ac:dyDescent="0.25">
      <c r="A732" t="s">
        <v>800</v>
      </c>
      <c r="B732" s="1">
        <v>45547</v>
      </c>
      <c r="C732">
        <v>314</v>
      </c>
      <c r="D732" t="s">
        <v>58</v>
      </c>
      <c r="E732" t="s">
        <v>24</v>
      </c>
      <c r="F732" t="s">
        <v>25</v>
      </c>
      <c r="G732" t="s">
        <v>33</v>
      </c>
      <c r="H732" t="s">
        <v>54</v>
      </c>
      <c r="I732" t="s">
        <v>55</v>
      </c>
      <c r="J732" t="s">
        <v>40</v>
      </c>
      <c r="K732">
        <v>844</v>
      </c>
      <c r="L732">
        <v>8</v>
      </c>
      <c r="M732" s="2">
        <v>77</v>
      </c>
      <c r="N732" s="2">
        <v>31</v>
      </c>
      <c r="O732" s="2">
        <v>19</v>
      </c>
      <c r="P732" s="2">
        <v>27</v>
      </c>
      <c r="Q732" s="3">
        <v>0.35060000000000002</v>
      </c>
      <c r="R732" s="2">
        <v>90</v>
      </c>
      <c r="S732" s="2">
        <v>30</v>
      </c>
      <c r="T732" s="2">
        <v>50</v>
      </c>
      <c r="U732" s="3">
        <v>0.55559999999999998</v>
      </c>
      <c r="V732" s="2">
        <v>-23</v>
      </c>
    </row>
    <row r="733" spans="1:22" x14ac:dyDescent="0.25">
      <c r="A733" t="s">
        <v>801</v>
      </c>
      <c r="B733" s="1">
        <v>45547</v>
      </c>
      <c r="C733">
        <v>970</v>
      </c>
      <c r="D733" t="s">
        <v>31</v>
      </c>
      <c r="E733" t="s">
        <v>24</v>
      </c>
      <c r="F733" t="s">
        <v>32</v>
      </c>
      <c r="G733" t="s">
        <v>26</v>
      </c>
      <c r="H733" t="s">
        <v>38</v>
      </c>
      <c r="I733" t="s">
        <v>66</v>
      </c>
      <c r="J733" t="s">
        <v>40</v>
      </c>
      <c r="K733">
        <v>424</v>
      </c>
      <c r="L733">
        <v>17</v>
      </c>
      <c r="M733" s="2">
        <v>135</v>
      </c>
      <c r="N733" s="2">
        <v>54</v>
      </c>
      <c r="O733" s="2">
        <v>44</v>
      </c>
      <c r="P733" s="2">
        <v>43</v>
      </c>
      <c r="Q733" s="3">
        <v>0.31850000000000001</v>
      </c>
      <c r="R733" s="2">
        <v>110</v>
      </c>
      <c r="S733" s="2">
        <v>50</v>
      </c>
      <c r="T733" s="2">
        <v>30</v>
      </c>
      <c r="U733" s="3">
        <v>0.2727</v>
      </c>
      <c r="V733" s="2">
        <v>13</v>
      </c>
    </row>
    <row r="734" spans="1:22" x14ac:dyDescent="0.25">
      <c r="A734" t="s">
        <v>802</v>
      </c>
      <c r="B734" s="1">
        <v>45547</v>
      </c>
      <c r="C734">
        <v>603</v>
      </c>
      <c r="D734" t="s">
        <v>109</v>
      </c>
      <c r="E734" t="s">
        <v>79</v>
      </c>
      <c r="F734" t="s">
        <v>25</v>
      </c>
      <c r="G734" t="s">
        <v>33</v>
      </c>
      <c r="H734" t="s">
        <v>54</v>
      </c>
      <c r="I734" t="s">
        <v>68</v>
      </c>
      <c r="J734" t="s">
        <v>29</v>
      </c>
      <c r="K734">
        <v>335</v>
      </c>
      <c r="L734">
        <v>44</v>
      </c>
      <c r="M734" s="2">
        <v>126</v>
      </c>
      <c r="N734" s="2">
        <v>49</v>
      </c>
      <c r="O734" s="2">
        <v>73</v>
      </c>
      <c r="P734" s="2">
        <v>-6</v>
      </c>
      <c r="Q734" s="3">
        <v>-4.7600000000000003E-2</v>
      </c>
      <c r="R734" s="2">
        <v>110</v>
      </c>
      <c r="S734" s="2">
        <v>40</v>
      </c>
      <c r="T734" s="2">
        <v>10</v>
      </c>
      <c r="U734" s="3">
        <v>9.0899999999999995E-2</v>
      </c>
      <c r="V734" s="2">
        <v>-16</v>
      </c>
    </row>
    <row r="735" spans="1:22" x14ac:dyDescent="0.25">
      <c r="A735" t="s">
        <v>803</v>
      </c>
      <c r="B735" s="1">
        <v>45547</v>
      </c>
      <c r="C735">
        <v>781</v>
      </c>
      <c r="D735" t="s">
        <v>78</v>
      </c>
      <c r="E735" t="s">
        <v>79</v>
      </c>
      <c r="F735" t="s">
        <v>32</v>
      </c>
      <c r="G735" t="s">
        <v>26</v>
      </c>
      <c r="H735" t="s">
        <v>38</v>
      </c>
      <c r="I735" t="s">
        <v>46</v>
      </c>
      <c r="J735" t="s">
        <v>40</v>
      </c>
      <c r="K735">
        <v>404</v>
      </c>
      <c r="L735">
        <v>20</v>
      </c>
      <c r="M735" s="2">
        <v>120</v>
      </c>
      <c r="N735" s="2">
        <v>54</v>
      </c>
      <c r="O735" s="2">
        <v>53</v>
      </c>
      <c r="P735" s="2">
        <v>13</v>
      </c>
      <c r="Q735" s="3">
        <v>0.10829999999999999</v>
      </c>
      <c r="R735" s="2">
        <v>60</v>
      </c>
      <c r="S735" s="2">
        <v>30</v>
      </c>
      <c r="T735" s="2">
        <v>20</v>
      </c>
      <c r="U735" s="3">
        <v>0.33329999999999999</v>
      </c>
      <c r="V735" s="2">
        <v>-7</v>
      </c>
    </row>
    <row r="736" spans="1:22" x14ac:dyDescent="0.25">
      <c r="A736" t="s">
        <v>804</v>
      </c>
      <c r="B736" s="1">
        <v>45547</v>
      </c>
      <c r="C736">
        <v>509</v>
      </c>
      <c r="D736" t="s">
        <v>52</v>
      </c>
      <c r="E736" t="s">
        <v>53</v>
      </c>
      <c r="F736" t="s">
        <v>25</v>
      </c>
      <c r="G736" t="s">
        <v>33</v>
      </c>
      <c r="H736" t="s">
        <v>54</v>
      </c>
      <c r="I736" t="s">
        <v>68</v>
      </c>
      <c r="J736" t="s">
        <v>29</v>
      </c>
      <c r="K736">
        <v>403</v>
      </c>
      <c r="L736">
        <v>24</v>
      </c>
      <c r="M736" s="2">
        <v>155</v>
      </c>
      <c r="N736" s="2">
        <v>65</v>
      </c>
      <c r="O736" s="2">
        <v>57</v>
      </c>
      <c r="P736" s="2">
        <v>34</v>
      </c>
      <c r="Q736" s="3">
        <v>0.21940000000000001</v>
      </c>
      <c r="R736" s="2">
        <v>140</v>
      </c>
      <c r="S736" s="2">
        <v>60</v>
      </c>
      <c r="T736" s="2">
        <v>30</v>
      </c>
      <c r="U736" s="3">
        <v>0.21429999999999999</v>
      </c>
      <c r="V736" s="2">
        <v>4</v>
      </c>
    </row>
    <row r="737" spans="1:22" x14ac:dyDescent="0.25">
      <c r="A737" t="s">
        <v>805</v>
      </c>
      <c r="B737" s="1">
        <v>45548</v>
      </c>
      <c r="C737">
        <v>303</v>
      </c>
      <c r="D737" t="s">
        <v>31</v>
      </c>
      <c r="E737" t="s">
        <v>24</v>
      </c>
      <c r="F737" t="s">
        <v>32</v>
      </c>
      <c r="G737" t="s">
        <v>26</v>
      </c>
      <c r="H737" t="s">
        <v>27</v>
      </c>
      <c r="I737" t="s">
        <v>42</v>
      </c>
      <c r="J737" t="s">
        <v>29</v>
      </c>
      <c r="K737">
        <v>1037</v>
      </c>
      <c r="L737">
        <v>16</v>
      </c>
      <c r="M737" s="2">
        <v>118</v>
      </c>
      <c r="N737" s="2">
        <v>54</v>
      </c>
      <c r="O737" s="2">
        <v>37</v>
      </c>
      <c r="P737" s="2">
        <v>27</v>
      </c>
      <c r="Q737" s="3">
        <v>0.2288</v>
      </c>
      <c r="R737" s="2">
        <v>80</v>
      </c>
      <c r="S737" s="2">
        <v>30</v>
      </c>
      <c r="T737" s="2">
        <v>40</v>
      </c>
      <c r="U737" s="3">
        <v>0.5</v>
      </c>
      <c r="V737" s="2">
        <v>-13</v>
      </c>
    </row>
    <row r="738" spans="1:22" x14ac:dyDescent="0.25">
      <c r="A738" t="s">
        <v>806</v>
      </c>
      <c r="B738" s="1">
        <v>45548</v>
      </c>
      <c r="C738">
        <v>580</v>
      </c>
      <c r="D738" t="s">
        <v>148</v>
      </c>
      <c r="E738" t="s">
        <v>45</v>
      </c>
      <c r="F738" t="s">
        <v>25</v>
      </c>
      <c r="G738" t="s">
        <v>33</v>
      </c>
      <c r="H738" t="s">
        <v>54</v>
      </c>
      <c r="I738" t="s">
        <v>55</v>
      </c>
      <c r="J738" t="s">
        <v>40</v>
      </c>
      <c r="K738">
        <v>798</v>
      </c>
      <c r="L738">
        <v>25</v>
      </c>
      <c r="M738" s="2">
        <v>210</v>
      </c>
      <c r="N738" s="2">
        <v>78</v>
      </c>
      <c r="O738" s="2">
        <v>57</v>
      </c>
      <c r="P738" s="2">
        <v>92</v>
      </c>
      <c r="Q738" s="3">
        <v>0.43809999999999999</v>
      </c>
      <c r="R738" s="2">
        <v>150</v>
      </c>
      <c r="S738" s="2">
        <v>60</v>
      </c>
      <c r="T738" s="2">
        <v>40</v>
      </c>
      <c r="U738" s="3">
        <v>0.26669999999999999</v>
      </c>
      <c r="V738" s="2">
        <v>52</v>
      </c>
    </row>
    <row r="739" spans="1:22" x14ac:dyDescent="0.25">
      <c r="A739" t="s">
        <v>807</v>
      </c>
      <c r="B739" s="1">
        <v>45548</v>
      </c>
      <c r="C739">
        <v>918</v>
      </c>
      <c r="D739" t="s">
        <v>148</v>
      </c>
      <c r="E739" t="s">
        <v>45</v>
      </c>
      <c r="F739" t="s">
        <v>25</v>
      </c>
      <c r="G739" t="s">
        <v>33</v>
      </c>
      <c r="H739" t="s">
        <v>34</v>
      </c>
      <c r="I739" t="s">
        <v>50</v>
      </c>
      <c r="J739" t="s">
        <v>29</v>
      </c>
      <c r="K739">
        <v>561</v>
      </c>
      <c r="L739">
        <v>29</v>
      </c>
      <c r="M739" s="2">
        <v>213</v>
      </c>
      <c r="N739" s="2">
        <v>88</v>
      </c>
      <c r="O739" s="2">
        <v>41</v>
      </c>
      <c r="P739" s="2">
        <v>105</v>
      </c>
      <c r="Q739" s="3">
        <v>0.49299999999999999</v>
      </c>
      <c r="R739" s="2">
        <v>230</v>
      </c>
      <c r="S739" s="2">
        <v>100</v>
      </c>
      <c r="T739" s="2">
        <v>90</v>
      </c>
      <c r="U739" s="3">
        <v>0.39129999999999998</v>
      </c>
      <c r="V739" s="2">
        <v>15</v>
      </c>
    </row>
    <row r="740" spans="1:22" x14ac:dyDescent="0.25">
      <c r="A740" t="s">
        <v>808</v>
      </c>
      <c r="B740" s="1">
        <v>45548</v>
      </c>
      <c r="C740">
        <v>716</v>
      </c>
      <c r="D740" t="s">
        <v>99</v>
      </c>
      <c r="E740" t="s">
        <v>79</v>
      </c>
      <c r="F740" t="s">
        <v>32</v>
      </c>
      <c r="G740" t="s">
        <v>26</v>
      </c>
      <c r="H740" t="s">
        <v>38</v>
      </c>
      <c r="I740" t="s">
        <v>66</v>
      </c>
      <c r="J740" t="s">
        <v>40</v>
      </c>
      <c r="K740">
        <v>5121</v>
      </c>
      <c r="L740">
        <v>74</v>
      </c>
      <c r="M740" s="2">
        <v>158</v>
      </c>
      <c r="N740" s="2">
        <v>241</v>
      </c>
      <c r="O740" s="2">
        <v>96</v>
      </c>
      <c r="P740" s="2">
        <v>-280</v>
      </c>
      <c r="Q740" s="3">
        <v>-1.7722</v>
      </c>
      <c r="R740" s="2">
        <v>100</v>
      </c>
      <c r="S740" s="2">
        <v>180</v>
      </c>
      <c r="T740" s="2">
        <v>-150</v>
      </c>
      <c r="U740" s="3">
        <v>-1.5</v>
      </c>
      <c r="V740" s="2">
        <v>-130</v>
      </c>
    </row>
    <row r="741" spans="1:22" x14ac:dyDescent="0.25">
      <c r="A741" t="s">
        <v>809</v>
      </c>
      <c r="B741" s="1">
        <v>45548</v>
      </c>
      <c r="C741">
        <v>253</v>
      </c>
      <c r="D741" t="s">
        <v>52</v>
      </c>
      <c r="E741" t="s">
        <v>53</v>
      </c>
      <c r="F741" t="s">
        <v>25</v>
      </c>
      <c r="G741" t="s">
        <v>33</v>
      </c>
      <c r="H741" t="s">
        <v>54</v>
      </c>
      <c r="I741" t="s">
        <v>55</v>
      </c>
      <c r="J741" t="s">
        <v>40</v>
      </c>
      <c r="K741">
        <v>1079</v>
      </c>
      <c r="L741">
        <v>24</v>
      </c>
      <c r="M741" s="2">
        <v>176</v>
      </c>
      <c r="N741" s="2">
        <v>80</v>
      </c>
      <c r="O741" s="2">
        <v>45</v>
      </c>
      <c r="P741" s="2">
        <v>51</v>
      </c>
      <c r="Q741" s="3">
        <v>0.2898</v>
      </c>
      <c r="R741" s="2">
        <v>170</v>
      </c>
      <c r="S741" s="2">
        <v>70</v>
      </c>
      <c r="T741" s="2">
        <v>60</v>
      </c>
      <c r="U741" s="3">
        <v>0.35289999999999999</v>
      </c>
      <c r="V741" s="2">
        <v>-9</v>
      </c>
    </row>
    <row r="742" spans="1:22" x14ac:dyDescent="0.25">
      <c r="A742" t="s">
        <v>810</v>
      </c>
      <c r="B742" s="1">
        <v>45548</v>
      </c>
      <c r="C742">
        <v>206</v>
      </c>
      <c r="D742" t="s">
        <v>52</v>
      </c>
      <c r="E742" t="s">
        <v>53</v>
      </c>
      <c r="F742" t="s">
        <v>25</v>
      </c>
      <c r="G742" t="s">
        <v>33</v>
      </c>
      <c r="H742" t="s">
        <v>34</v>
      </c>
      <c r="I742" t="s">
        <v>83</v>
      </c>
      <c r="J742" t="s">
        <v>40</v>
      </c>
      <c r="K742">
        <v>683</v>
      </c>
      <c r="L742">
        <v>87</v>
      </c>
      <c r="M742" s="2">
        <v>245</v>
      </c>
      <c r="N742" s="2">
        <v>96</v>
      </c>
      <c r="O742" s="2">
        <v>117</v>
      </c>
      <c r="P742" s="2">
        <v>25</v>
      </c>
      <c r="Q742" s="3">
        <v>0.10199999999999999</v>
      </c>
      <c r="R742" s="2">
        <v>330</v>
      </c>
      <c r="S742" s="2">
        <v>140</v>
      </c>
      <c r="T742" s="2">
        <v>100</v>
      </c>
      <c r="U742" s="3">
        <v>0.30299999999999999</v>
      </c>
      <c r="V742" s="2">
        <v>-75</v>
      </c>
    </row>
    <row r="743" spans="1:22" x14ac:dyDescent="0.25">
      <c r="A743" t="s">
        <v>811</v>
      </c>
      <c r="B743" s="1">
        <v>45548</v>
      </c>
      <c r="C743">
        <v>435</v>
      </c>
      <c r="D743" t="s">
        <v>95</v>
      </c>
      <c r="E743" t="s">
        <v>53</v>
      </c>
      <c r="F743" t="s">
        <v>25</v>
      </c>
      <c r="G743" t="s">
        <v>26</v>
      </c>
      <c r="H743" t="s">
        <v>27</v>
      </c>
      <c r="I743" t="s">
        <v>59</v>
      </c>
      <c r="J743" t="s">
        <v>29</v>
      </c>
      <c r="K743">
        <v>209</v>
      </c>
      <c r="L743">
        <v>9</v>
      </c>
      <c r="M743" s="2">
        <v>60</v>
      </c>
      <c r="N743" s="2">
        <v>25</v>
      </c>
      <c r="O743" s="2">
        <v>43</v>
      </c>
      <c r="P743" s="2">
        <v>-18</v>
      </c>
      <c r="Q743" s="3">
        <v>-0.3</v>
      </c>
      <c r="R743" s="2">
        <v>20</v>
      </c>
      <c r="S743" s="2">
        <v>0</v>
      </c>
      <c r="T743" s="2">
        <v>10</v>
      </c>
      <c r="U743" s="3">
        <v>0.5</v>
      </c>
      <c r="V743" s="2">
        <v>-28</v>
      </c>
    </row>
    <row r="744" spans="1:22" x14ac:dyDescent="0.25">
      <c r="A744" t="s">
        <v>812</v>
      </c>
      <c r="B744" s="1">
        <v>45549</v>
      </c>
      <c r="C744">
        <v>203</v>
      </c>
      <c r="D744" t="s">
        <v>135</v>
      </c>
      <c r="E744" t="s">
        <v>79</v>
      </c>
      <c r="F744" t="s">
        <v>25</v>
      </c>
      <c r="G744" t="s">
        <v>26</v>
      </c>
      <c r="H744" t="s">
        <v>38</v>
      </c>
      <c r="I744" t="s">
        <v>66</v>
      </c>
      <c r="J744" t="s">
        <v>40</v>
      </c>
      <c r="K744">
        <v>1075</v>
      </c>
      <c r="L744">
        <v>19</v>
      </c>
      <c r="M744" s="2">
        <v>148</v>
      </c>
      <c r="N744" s="2">
        <v>63</v>
      </c>
      <c r="O744" s="2">
        <v>40</v>
      </c>
      <c r="P744" s="2">
        <v>53</v>
      </c>
      <c r="Q744" s="3">
        <v>0.35809999999999997</v>
      </c>
      <c r="R744" s="2">
        <v>100</v>
      </c>
      <c r="S744" s="2">
        <v>40</v>
      </c>
      <c r="T744" s="2">
        <v>40</v>
      </c>
      <c r="U744" s="3">
        <v>0.4</v>
      </c>
      <c r="V744" s="2">
        <v>13</v>
      </c>
    </row>
    <row r="745" spans="1:22" x14ac:dyDescent="0.25">
      <c r="A745" t="s">
        <v>813</v>
      </c>
      <c r="B745" s="1">
        <v>45549</v>
      </c>
      <c r="C745">
        <v>318</v>
      </c>
      <c r="D745" t="s">
        <v>49</v>
      </c>
      <c r="E745" t="s">
        <v>45</v>
      </c>
      <c r="F745" t="s">
        <v>25</v>
      </c>
      <c r="G745" t="s">
        <v>33</v>
      </c>
      <c r="H745" t="s">
        <v>54</v>
      </c>
      <c r="I745" t="s">
        <v>55</v>
      </c>
      <c r="J745" t="s">
        <v>40</v>
      </c>
      <c r="K745">
        <v>466</v>
      </c>
      <c r="L745">
        <v>13</v>
      </c>
      <c r="M745" s="2">
        <v>113</v>
      </c>
      <c r="N745" s="2">
        <v>43</v>
      </c>
      <c r="O745" s="2">
        <v>36</v>
      </c>
      <c r="P745" s="2">
        <v>40</v>
      </c>
      <c r="Q745" s="3">
        <v>0.35399999999999998</v>
      </c>
      <c r="R745" s="2">
        <v>80</v>
      </c>
      <c r="S745" s="2">
        <v>30</v>
      </c>
      <c r="T745" s="2">
        <v>20</v>
      </c>
      <c r="U745" s="3">
        <v>0.25</v>
      </c>
      <c r="V745" s="2">
        <v>20</v>
      </c>
    </row>
    <row r="746" spans="1:22" x14ac:dyDescent="0.25">
      <c r="A746" t="s">
        <v>814</v>
      </c>
      <c r="B746" s="1">
        <v>45549</v>
      </c>
      <c r="C746">
        <v>702</v>
      </c>
      <c r="D746" t="s">
        <v>65</v>
      </c>
      <c r="E746" t="s">
        <v>53</v>
      </c>
      <c r="F746" t="s">
        <v>25</v>
      </c>
      <c r="G746" t="s">
        <v>33</v>
      </c>
      <c r="H746" t="s">
        <v>34</v>
      </c>
      <c r="I746" t="s">
        <v>83</v>
      </c>
      <c r="J746" t="s">
        <v>40</v>
      </c>
      <c r="K746">
        <v>1003</v>
      </c>
      <c r="L746">
        <v>8</v>
      </c>
      <c r="M746" s="2">
        <v>68</v>
      </c>
      <c r="N746" s="2">
        <v>29</v>
      </c>
      <c r="O746" s="2">
        <v>30</v>
      </c>
      <c r="P746" s="2">
        <v>7</v>
      </c>
      <c r="Q746" s="3">
        <v>0.10290000000000001</v>
      </c>
      <c r="R746" s="2">
        <v>70</v>
      </c>
      <c r="S746" s="2">
        <v>30</v>
      </c>
      <c r="T746" s="2">
        <v>20</v>
      </c>
      <c r="U746" s="3">
        <v>0.28570000000000001</v>
      </c>
      <c r="V746" s="2">
        <v>-13</v>
      </c>
    </row>
    <row r="747" spans="1:22" x14ac:dyDescent="0.25">
      <c r="A747" t="s">
        <v>815</v>
      </c>
      <c r="B747" s="1">
        <v>45550</v>
      </c>
      <c r="C747">
        <v>314</v>
      </c>
      <c r="D747" t="s">
        <v>58</v>
      </c>
      <c r="E747" t="s">
        <v>24</v>
      </c>
      <c r="F747" t="s">
        <v>25</v>
      </c>
      <c r="G747" t="s">
        <v>26</v>
      </c>
      <c r="H747" t="s">
        <v>27</v>
      </c>
      <c r="I747" t="s">
        <v>59</v>
      </c>
      <c r="J747" t="s">
        <v>29</v>
      </c>
      <c r="K747">
        <v>240</v>
      </c>
      <c r="L747">
        <v>12</v>
      </c>
      <c r="M747" s="2">
        <v>82</v>
      </c>
      <c r="N747" s="2">
        <v>34</v>
      </c>
      <c r="O747" s="2">
        <v>46</v>
      </c>
      <c r="P747" s="2">
        <v>-4</v>
      </c>
      <c r="Q747" s="3">
        <v>-4.8800000000000003E-2</v>
      </c>
      <c r="R747" s="2">
        <v>40</v>
      </c>
      <c r="S747" s="2">
        <v>10</v>
      </c>
      <c r="T747" s="2">
        <v>10</v>
      </c>
      <c r="U747" s="3">
        <v>0.25</v>
      </c>
      <c r="V747" s="2">
        <v>-14</v>
      </c>
    </row>
    <row r="748" spans="1:22" x14ac:dyDescent="0.25">
      <c r="A748" t="s">
        <v>816</v>
      </c>
      <c r="B748" s="1">
        <v>45550</v>
      </c>
      <c r="C748">
        <v>312</v>
      </c>
      <c r="D748" t="s">
        <v>37</v>
      </c>
      <c r="E748" t="s">
        <v>24</v>
      </c>
      <c r="F748" t="s">
        <v>32</v>
      </c>
      <c r="G748" t="s">
        <v>33</v>
      </c>
      <c r="H748" t="s">
        <v>54</v>
      </c>
      <c r="I748" t="s">
        <v>55</v>
      </c>
      <c r="J748" t="s">
        <v>40</v>
      </c>
      <c r="K748">
        <v>1755</v>
      </c>
      <c r="L748">
        <v>66</v>
      </c>
      <c r="M748" s="2">
        <v>478</v>
      </c>
      <c r="N748" s="2">
        <v>239</v>
      </c>
      <c r="O748" s="2">
        <v>90</v>
      </c>
      <c r="P748" s="2">
        <v>149</v>
      </c>
      <c r="Q748" s="3">
        <v>0.31169999999999998</v>
      </c>
      <c r="R748" s="2">
        <v>710</v>
      </c>
      <c r="S748" s="2">
        <v>340</v>
      </c>
      <c r="T748" s="2">
        <v>300</v>
      </c>
      <c r="U748" s="3">
        <v>0.42249999999999999</v>
      </c>
      <c r="V748" s="2">
        <v>-151</v>
      </c>
    </row>
    <row r="749" spans="1:22" x14ac:dyDescent="0.25">
      <c r="A749" t="s">
        <v>817</v>
      </c>
      <c r="B749" s="1">
        <v>45551</v>
      </c>
      <c r="C749">
        <v>603</v>
      </c>
      <c r="D749" t="s">
        <v>109</v>
      </c>
      <c r="E749" t="s">
        <v>79</v>
      </c>
      <c r="F749" t="s">
        <v>25</v>
      </c>
      <c r="G749" t="s">
        <v>33</v>
      </c>
      <c r="H749" t="s">
        <v>34</v>
      </c>
      <c r="I749" t="s">
        <v>50</v>
      </c>
      <c r="J749" t="s">
        <v>29</v>
      </c>
      <c r="K749">
        <v>452</v>
      </c>
      <c r="L749">
        <v>14</v>
      </c>
      <c r="M749" s="2">
        <v>109</v>
      </c>
      <c r="N749" s="2">
        <v>43</v>
      </c>
      <c r="O749" s="2">
        <v>46</v>
      </c>
      <c r="P749" s="2">
        <v>20</v>
      </c>
      <c r="Q749" s="3">
        <v>0.1835</v>
      </c>
      <c r="R749" s="2">
        <v>90</v>
      </c>
      <c r="S749" s="2">
        <v>30</v>
      </c>
      <c r="T749" s="2">
        <v>30</v>
      </c>
      <c r="U749" s="3">
        <v>0.33329999999999999</v>
      </c>
      <c r="V749" s="2">
        <v>-10</v>
      </c>
    </row>
    <row r="750" spans="1:22" x14ac:dyDescent="0.25">
      <c r="A750" t="s">
        <v>818</v>
      </c>
      <c r="B750" s="1">
        <v>45551</v>
      </c>
      <c r="C750">
        <v>515</v>
      </c>
      <c r="D750" t="s">
        <v>124</v>
      </c>
      <c r="E750" t="s">
        <v>24</v>
      </c>
      <c r="F750" t="s">
        <v>25</v>
      </c>
      <c r="G750" t="s">
        <v>33</v>
      </c>
      <c r="H750" t="s">
        <v>54</v>
      </c>
      <c r="I750" t="s">
        <v>55</v>
      </c>
      <c r="J750" t="s">
        <v>40</v>
      </c>
      <c r="K750">
        <v>387</v>
      </c>
      <c r="L750">
        <v>0</v>
      </c>
      <c r="M750" s="2">
        <v>46</v>
      </c>
      <c r="N750" s="2">
        <v>0</v>
      </c>
      <c r="O750" s="2">
        <v>12</v>
      </c>
      <c r="P750" s="2">
        <v>46</v>
      </c>
      <c r="Q750" s="3">
        <v>1</v>
      </c>
      <c r="R750" s="2">
        <v>50</v>
      </c>
      <c r="S750" s="2">
        <v>0</v>
      </c>
      <c r="T750" s="2">
        <v>40</v>
      </c>
      <c r="U750" s="3">
        <v>0.8</v>
      </c>
      <c r="V750" s="2">
        <v>6</v>
      </c>
    </row>
    <row r="751" spans="1:22" x14ac:dyDescent="0.25">
      <c r="A751" t="s">
        <v>819</v>
      </c>
      <c r="B751" s="1">
        <v>45551</v>
      </c>
      <c r="C751">
        <v>505</v>
      </c>
      <c r="D751" t="s">
        <v>44</v>
      </c>
      <c r="E751" t="s">
        <v>45</v>
      </c>
      <c r="F751" t="s">
        <v>25</v>
      </c>
      <c r="G751" t="s">
        <v>26</v>
      </c>
      <c r="H751" t="s">
        <v>38</v>
      </c>
      <c r="I751" t="s">
        <v>39</v>
      </c>
      <c r="J751" t="s">
        <v>40</v>
      </c>
      <c r="K751">
        <v>851</v>
      </c>
      <c r="L751">
        <v>4</v>
      </c>
      <c r="M751" s="2">
        <v>44</v>
      </c>
      <c r="N751" s="2">
        <v>16</v>
      </c>
      <c r="O751" s="2">
        <v>16</v>
      </c>
      <c r="P751" s="2">
        <v>13</v>
      </c>
      <c r="Q751" s="3">
        <v>0.29549999999999998</v>
      </c>
      <c r="R751" s="2">
        <v>30</v>
      </c>
      <c r="S751" s="2">
        <v>10</v>
      </c>
      <c r="T751" s="2">
        <v>10</v>
      </c>
      <c r="U751" s="3">
        <v>0.33329999999999999</v>
      </c>
      <c r="V751" s="2">
        <v>3</v>
      </c>
    </row>
    <row r="752" spans="1:22" x14ac:dyDescent="0.25">
      <c r="A752" t="s">
        <v>820</v>
      </c>
      <c r="B752" s="1">
        <v>45551</v>
      </c>
      <c r="C752">
        <v>567</v>
      </c>
      <c r="D752" t="s">
        <v>85</v>
      </c>
      <c r="E752" t="s">
        <v>24</v>
      </c>
      <c r="F752" t="s">
        <v>32</v>
      </c>
      <c r="G752" t="s">
        <v>33</v>
      </c>
      <c r="H752" t="s">
        <v>54</v>
      </c>
      <c r="I752" t="s">
        <v>68</v>
      </c>
      <c r="J752" t="s">
        <v>29</v>
      </c>
      <c r="K752">
        <v>1267</v>
      </c>
      <c r="L752">
        <v>45</v>
      </c>
      <c r="M752" s="2">
        <v>322</v>
      </c>
      <c r="N752" s="2">
        <v>161</v>
      </c>
      <c r="O752" s="2">
        <v>69</v>
      </c>
      <c r="P752" s="2">
        <v>92</v>
      </c>
      <c r="Q752" s="3">
        <v>0.28570000000000001</v>
      </c>
      <c r="R752" s="2">
        <v>470</v>
      </c>
      <c r="S752" s="2">
        <v>230</v>
      </c>
      <c r="T752" s="2">
        <v>190</v>
      </c>
      <c r="U752" s="3">
        <v>0.40429999999999999</v>
      </c>
      <c r="V752" s="2">
        <v>-98</v>
      </c>
    </row>
    <row r="753" spans="1:22" x14ac:dyDescent="0.25">
      <c r="A753" t="s">
        <v>821</v>
      </c>
      <c r="B753" s="1">
        <v>45551</v>
      </c>
      <c r="C753">
        <v>714</v>
      </c>
      <c r="D753" t="s">
        <v>62</v>
      </c>
      <c r="E753" t="s">
        <v>53</v>
      </c>
      <c r="F753" t="s">
        <v>32</v>
      </c>
      <c r="G753" t="s">
        <v>33</v>
      </c>
      <c r="H753" t="s">
        <v>54</v>
      </c>
      <c r="I753" t="s">
        <v>72</v>
      </c>
      <c r="J753" t="s">
        <v>29</v>
      </c>
      <c r="K753">
        <v>1755</v>
      </c>
      <c r="L753">
        <v>66</v>
      </c>
      <c r="M753" s="2">
        <v>509</v>
      </c>
      <c r="N753" s="2">
        <v>239</v>
      </c>
      <c r="O753" s="2">
        <v>90</v>
      </c>
      <c r="P753" s="2">
        <v>221</v>
      </c>
      <c r="Q753" s="3">
        <v>0.43419999999999997</v>
      </c>
      <c r="R753" s="2">
        <v>430</v>
      </c>
      <c r="S753" s="2">
        <v>210</v>
      </c>
      <c r="T753" s="2">
        <v>160</v>
      </c>
      <c r="U753" s="3">
        <v>0.37209999999999999</v>
      </c>
      <c r="V753" s="2">
        <v>61</v>
      </c>
    </row>
    <row r="754" spans="1:22" x14ac:dyDescent="0.25">
      <c r="A754" t="s">
        <v>822</v>
      </c>
      <c r="B754" s="1">
        <v>45552</v>
      </c>
      <c r="C754">
        <v>614</v>
      </c>
      <c r="D754" t="s">
        <v>85</v>
      </c>
      <c r="E754" t="s">
        <v>24</v>
      </c>
      <c r="F754" t="s">
        <v>32</v>
      </c>
      <c r="G754" t="s">
        <v>33</v>
      </c>
      <c r="H754" t="s">
        <v>34</v>
      </c>
      <c r="I754" t="s">
        <v>83</v>
      </c>
      <c r="J754" t="s">
        <v>40</v>
      </c>
      <c r="K754">
        <v>509</v>
      </c>
      <c r="L754">
        <v>47</v>
      </c>
      <c r="M754" s="2">
        <v>133</v>
      </c>
      <c r="N754" s="2">
        <v>52</v>
      </c>
      <c r="O754" s="2">
        <v>76</v>
      </c>
      <c r="P754" s="2">
        <v>-4</v>
      </c>
      <c r="Q754" s="3">
        <v>-3.0099999999999998E-2</v>
      </c>
      <c r="R754" s="2">
        <v>120</v>
      </c>
      <c r="S754" s="2">
        <v>50</v>
      </c>
      <c r="T754" s="2">
        <v>10</v>
      </c>
      <c r="U754" s="3">
        <v>8.3299999999999999E-2</v>
      </c>
      <c r="V754" s="2">
        <v>-14</v>
      </c>
    </row>
    <row r="755" spans="1:22" x14ac:dyDescent="0.25">
      <c r="A755" t="s">
        <v>823</v>
      </c>
      <c r="B755" s="1">
        <v>45552</v>
      </c>
      <c r="C755">
        <v>614</v>
      </c>
      <c r="D755" t="s">
        <v>85</v>
      </c>
      <c r="E755" t="s">
        <v>24</v>
      </c>
      <c r="F755" t="s">
        <v>32</v>
      </c>
      <c r="G755" t="s">
        <v>26</v>
      </c>
      <c r="H755" t="s">
        <v>27</v>
      </c>
      <c r="I755" t="s">
        <v>42</v>
      </c>
      <c r="J755" t="s">
        <v>29</v>
      </c>
      <c r="K755">
        <v>656</v>
      </c>
      <c r="L755">
        <v>28</v>
      </c>
      <c r="M755" s="2">
        <v>218</v>
      </c>
      <c r="N755" s="2">
        <v>91</v>
      </c>
      <c r="O755" s="2">
        <v>51</v>
      </c>
      <c r="P755" s="2">
        <v>76</v>
      </c>
      <c r="Q755" s="3">
        <v>0.34860000000000002</v>
      </c>
      <c r="R755" s="2">
        <v>150</v>
      </c>
      <c r="S755" s="2">
        <v>50</v>
      </c>
      <c r="T755" s="2">
        <v>80</v>
      </c>
      <c r="U755" s="3">
        <v>0.5333</v>
      </c>
      <c r="V755" s="2">
        <v>-4</v>
      </c>
    </row>
    <row r="756" spans="1:22" x14ac:dyDescent="0.25">
      <c r="A756" t="s">
        <v>824</v>
      </c>
      <c r="B756" s="1">
        <v>45552</v>
      </c>
      <c r="C756">
        <v>563</v>
      </c>
      <c r="D756" t="s">
        <v>124</v>
      </c>
      <c r="E756" t="s">
        <v>24</v>
      </c>
      <c r="F756" t="s">
        <v>25</v>
      </c>
      <c r="G756" t="s">
        <v>33</v>
      </c>
      <c r="H756" t="s">
        <v>34</v>
      </c>
      <c r="I756" t="s">
        <v>35</v>
      </c>
      <c r="J756" t="s">
        <v>29</v>
      </c>
      <c r="K756">
        <v>848</v>
      </c>
      <c r="L756">
        <v>4</v>
      </c>
      <c r="M756" s="2">
        <v>39</v>
      </c>
      <c r="N756" s="2">
        <v>15</v>
      </c>
      <c r="O756" s="2">
        <v>16</v>
      </c>
      <c r="P756" s="2">
        <v>8</v>
      </c>
      <c r="Q756" s="3">
        <v>0.2051</v>
      </c>
      <c r="R756" s="2">
        <v>30</v>
      </c>
      <c r="S756" s="2">
        <v>10</v>
      </c>
      <c r="T756" s="2">
        <v>10</v>
      </c>
      <c r="U756" s="3">
        <v>0.33329999999999999</v>
      </c>
      <c r="V756" s="2">
        <v>-2</v>
      </c>
    </row>
    <row r="757" spans="1:22" x14ac:dyDescent="0.25">
      <c r="A757" t="s">
        <v>825</v>
      </c>
      <c r="B757" s="1">
        <v>45552</v>
      </c>
      <c r="C757">
        <v>319</v>
      </c>
      <c r="D757" t="s">
        <v>124</v>
      </c>
      <c r="E757" t="s">
        <v>24</v>
      </c>
      <c r="F757" t="s">
        <v>25</v>
      </c>
      <c r="G757" t="s">
        <v>33</v>
      </c>
      <c r="H757" t="s">
        <v>34</v>
      </c>
      <c r="I757" t="s">
        <v>83</v>
      </c>
      <c r="J757" t="s">
        <v>40</v>
      </c>
      <c r="K757">
        <v>594</v>
      </c>
      <c r="L757">
        <v>3</v>
      </c>
      <c r="M757" s="2">
        <v>24</v>
      </c>
      <c r="N757" s="2">
        <v>10</v>
      </c>
      <c r="O757" s="2">
        <v>15</v>
      </c>
      <c r="P757" s="2">
        <v>-1</v>
      </c>
      <c r="Q757" s="3">
        <v>-4.1700000000000001E-2</v>
      </c>
      <c r="R757" s="2">
        <v>20</v>
      </c>
      <c r="S757" s="2">
        <v>0</v>
      </c>
      <c r="T757" s="2">
        <v>10</v>
      </c>
      <c r="U757" s="3">
        <v>0.5</v>
      </c>
      <c r="V757" s="2">
        <v>-11</v>
      </c>
    </row>
    <row r="758" spans="1:22" x14ac:dyDescent="0.25">
      <c r="A758" t="s">
        <v>826</v>
      </c>
      <c r="B758" s="1">
        <v>45553</v>
      </c>
      <c r="C758">
        <v>915</v>
      </c>
      <c r="D758" t="s">
        <v>76</v>
      </c>
      <c r="E758" t="s">
        <v>45</v>
      </c>
      <c r="F758" t="s">
        <v>32</v>
      </c>
      <c r="G758" t="s">
        <v>33</v>
      </c>
      <c r="H758" t="s">
        <v>34</v>
      </c>
      <c r="I758" t="s">
        <v>83</v>
      </c>
      <c r="J758" t="s">
        <v>40</v>
      </c>
      <c r="K758">
        <v>536</v>
      </c>
      <c r="L758">
        <v>13</v>
      </c>
      <c r="M758" s="2">
        <v>92</v>
      </c>
      <c r="N758" s="2">
        <v>40</v>
      </c>
      <c r="O758" s="2">
        <v>26</v>
      </c>
      <c r="P758" s="2">
        <v>26</v>
      </c>
      <c r="Q758" s="3">
        <v>0.28260000000000002</v>
      </c>
      <c r="R758" s="2">
        <v>100</v>
      </c>
      <c r="S758" s="2">
        <v>40</v>
      </c>
      <c r="T758" s="2">
        <v>40</v>
      </c>
      <c r="U758" s="3">
        <v>0.4</v>
      </c>
      <c r="V758" s="2">
        <v>-14</v>
      </c>
    </row>
    <row r="759" spans="1:22" x14ac:dyDescent="0.25">
      <c r="A759" t="s">
        <v>827</v>
      </c>
      <c r="B759" s="1">
        <v>45553</v>
      </c>
      <c r="C759">
        <v>775</v>
      </c>
      <c r="D759" t="s">
        <v>65</v>
      </c>
      <c r="E759" t="s">
        <v>53</v>
      </c>
      <c r="F759" t="s">
        <v>25</v>
      </c>
      <c r="G759" t="s">
        <v>33</v>
      </c>
      <c r="H759" t="s">
        <v>34</v>
      </c>
      <c r="I759" t="s">
        <v>50</v>
      </c>
      <c r="J759" t="s">
        <v>29</v>
      </c>
      <c r="K759">
        <v>250</v>
      </c>
      <c r="L759">
        <v>14</v>
      </c>
      <c r="M759" s="2">
        <v>88</v>
      </c>
      <c r="N759" s="2">
        <v>39</v>
      </c>
      <c r="O759" s="2">
        <v>48</v>
      </c>
      <c r="P759" s="2">
        <v>1</v>
      </c>
      <c r="Q759" s="3">
        <v>1.14E-2</v>
      </c>
      <c r="R759" s="2">
        <v>100</v>
      </c>
      <c r="S759" s="2">
        <v>40</v>
      </c>
      <c r="T759" s="2">
        <v>20</v>
      </c>
      <c r="U759" s="3">
        <v>0.2</v>
      </c>
      <c r="V759" s="2">
        <v>-19</v>
      </c>
    </row>
    <row r="760" spans="1:22" x14ac:dyDescent="0.25">
      <c r="A760" t="s">
        <v>828</v>
      </c>
      <c r="B760" s="1">
        <v>45553</v>
      </c>
      <c r="C760">
        <v>978</v>
      </c>
      <c r="D760" t="s">
        <v>78</v>
      </c>
      <c r="E760" t="s">
        <v>79</v>
      </c>
      <c r="F760" t="s">
        <v>32</v>
      </c>
      <c r="G760" t="s">
        <v>26</v>
      </c>
      <c r="H760" t="s">
        <v>27</v>
      </c>
      <c r="I760" t="s">
        <v>59</v>
      </c>
      <c r="J760" t="s">
        <v>29</v>
      </c>
      <c r="K760">
        <v>482</v>
      </c>
      <c r="L760">
        <v>8</v>
      </c>
      <c r="M760" s="2">
        <v>85</v>
      </c>
      <c r="N760" s="2">
        <v>32</v>
      </c>
      <c r="O760" s="2">
        <v>19</v>
      </c>
      <c r="P760" s="2">
        <v>43</v>
      </c>
      <c r="Q760" s="3">
        <v>0.50590000000000002</v>
      </c>
      <c r="R760" s="2">
        <v>80</v>
      </c>
      <c r="S760" s="2">
        <v>30</v>
      </c>
      <c r="T760" s="2">
        <v>40</v>
      </c>
      <c r="U760" s="3">
        <v>0.5</v>
      </c>
      <c r="V760" s="2">
        <v>3</v>
      </c>
    </row>
    <row r="761" spans="1:22" x14ac:dyDescent="0.25">
      <c r="A761" t="s">
        <v>829</v>
      </c>
      <c r="B761" s="1">
        <v>45553</v>
      </c>
      <c r="C761">
        <v>563</v>
      </c>
      <c r="D761" t="s">
        <v>124</v>
      </c>
      <c r="E761" t="s">
        <v>24</v>
      </c>
      <c r="F761" t="s">
        <v>25</v>
      </c>
      <c r="G761" t="s">
        <v>33</v>
      </c>
      <c r="H761" t="s">
        <v>34</v>
      </c>
      <c r="I761" t="s">
        <v>50</v>
      </c>
      <c r="J761" t="s">
        <v>29</v>
      </c>
      <c r="K761">
        <v>1003</v>
      </c>
      <c r="L761">
        <v>8</v>
      </c>
      <c r="M761" s="2">
        <v>64</v>
      </c>
      <c r="N761" s="2">
        <v>29</v>
      </c>
      <c r="O761" s="2">
        <v>30</v>
      </c>
      <c r="P761" s="2">
        <v>5</v>
      </c>
      <c r="Q761" s="3">
        <v>7.8100000000000003E-2</v>
      </c>
      <c r="R761" s="2">
        <v>60</v>
      </c>
      <c r="S761" s="2">
        <v>20</v>
      </c>
      <c r="T761" s="2">
        <v>20</v>
      </c>
      <c r="U761" s="3">
        <v>0.33329999999999999</v>
      </c>
      <c r="V761" s="2">
        <v>-15</v>
      </c>
    </row>
    <row r="762" spans="1:22" x14ac:dyDescent="0.25">
      <c r="A762" t="s">
        <v>830</v>
      </c>
      <c r="B762" s="1">
        <v>45553</v>
      </c>
      <c r="C762">
        <v>435</v>
      </c>
      <c r="D762" t="s">
        <v>95</v>
      </c>
      <c r="E762" t="s">
        <v>53</v>
      </c>
      <c r="F762" t="s">
        <v>25</v>
      </c>
      <c r="G762" t="s">
        <v>33</v>
      </c>
      <c r="H762" t="s">
        <v>54</v>
      </c>
      <c r="I762" t="s">
        <v>55</v>
      </c>
      <c r="J762" t="s">
        <v>40</v>
      </c>
      <c r="K762">
        <v>898</v>
      </c>
      <c r="L762">
        <v>14</v>
      </c>
      <c r="M762" s="2">
        <v>131</v>
      </c>
      <c r="N762" s="2">
        <v>50</v>
      </c>
      <c r="O762" s="2">
        <v>26</v>
      </c>
      <c r="P762" s="2">
        <v>70</v>
      </c>
      <c r="Q762" s="3">
        <v>0.53439999999999999</v>
      </c>
      <c r="R762" s="2">
        <v>110</v>
      </c>
      <c r="S762" s="2">
        <v>40</v>
      </c>
      <c r="T762" s="2">
        <v>50</v>
      </c>
      <c r="U762" s="3">
        <v>0.45450000000000002</v>
      </c>
      <c r="V762" s="2">
        <v>20</v>
      </c>
    </row>
    <row r="763" spans="1:22" x14ac:dyDescent="0.25">
      <c r="A763" t="s">
        <v>831</v>
      </c>
      <c r="B763" s="1">
        <v>45554</v>
      </c>
      <c r="C763">
        <v>505</v>
      </c>
      <c r="D763" t="s">
        <v>44</v>
      </c>
      <c r="E763" t="s">
        <v>45</v>
      </c>
      <c r="F763" t="s">
        <v>25</v>
      </c>
      <c r="G763" t="s">
        <v>26</v>
      </c>
      <c r="H763" t="s">
        <v>38</v>
      </c>
      <c r="I763" t="s">
        <v>46</v>
      </c>
      <c r="J763" t="s">
        <v>40</v>
      </c>
      <c r="K763">
        <v>1003</v>
      </c>
      <c r="L763">
        <v>8</v>
      </c>
      <c r="M763" s="2">
        <v>64</v>
      </c>
      <c r="N763" s="2">
        <v>29</v>
      </c>
      <c r="O763" s="2">
        <v>30</v>
      </c>
      <c r="P763" s="2">
        <v>5</v>
      </c>
      <c r="Q763" s="3">
        <v>7.8100000000000003E-2</v>
      </c>
      <c r="R763" s="2">
        <v>50</v>
      </c>
      <c r="S763" s="2">
        <v>20</v>
      </c>
      <c r="T763" s="2">
        <v>10</v>
      </c>
      <c r="U763" s="3">
        <v>0.2</v>
      </c>
      <c r="V763" s="2">
        <v>-5</v>
      </c>
    </row>
    <row r="764" spans="1:22" x14ac:dyDescent="0.25">
      <c r="A764" t="s">
        <v>832</v>
      </c>
      <c r="B764" s="1">
        <v>45554</v>
      </c>
      <c r="C764">
        <v>503</v>
      </c>
      <c r="D764" t="s">
        <v>71</v>
      </c>
      <c r="E764" t="s">
        <v>53</v>
      </c>
      <c r="F764" t="s">
        <v>25</v>
      </c>
      <c r="G764" t="s">
        <v>26</v>
      </c>
      <c r="H764" t="s">
        <v>38</v>
      </c>
      <c r="I764" t="s">
        <v>39</v>
      </c>
      <c r="J764" t="s">
        <v>40</v>
      </c>
      <c r="K764">
        <v>829</v>
      </c>
      <c r="L764">
        <v>6</v>
      </c>
      <c r="M764" s="2">
        <v>64</v>
      </c>
      <c r="N764" s="2">
        <v>24</v>
      </c>
      <c r="O764" s="2">
        <v>17</v>
      </c>
      <c r="P764" s="2">
        <v>28</v>
      </c>
      <c r="Q764" s="3">
        <v>0.4375</v>
      </c>
      <c r="R764" s="2">
        <v>50</v>
      </c>
      <c r="S764" s="2">
        <v>20</v>
      </c>
      <c r="T764" s="2">
        <v>20</v>
      </c>
      <c r="U764" s="3">
        <v>0.4</v>
      </c>
      <c r="V764" s="2">
        <v>8</v>
      </c>
    </row>
    <row r="765" spans="1:22" x14ac:dyDescent="0.25">
      <c r="A765" t="s">
        <v>833</v>
      </c>
      <c r="B765" s="1">
        <v>45554</v>
      </c>
      <c r="C765">
        <v>414</v>
      </c>
      <c r="D765" t="s">
        <v>23</v>
      </c>
      <c r="E765" t="s">
        <v>24</v>
      </c>
      <c r="F765" t="s">
        <v>25</v>
      </c>
      <c r="G765" t="s">
        <v>33</v>
      </c>
      <c r="H765" t="s">
        <v>34</v>
      </c>
      <c r="I765" t="s">
        <v>35</v>
      </c>
      <c r="J765" t="s">
        <v>29</v>
      </c>
      <c r="K765">
        <v>385</v>
      </c>
      <c r="L765">
        <v>21</v>
      </c>
      <c r="M765" s="2">
        <v>134</v>
      </c>
      <c r="N765" s="2">
        <v>56</v>
      </c>
      <c r="O765" s="2">
        <v>55</v>
      </c>
      <c r="P765" s="2">
        <v>22</v>
      </c>
      <c r="Q765" s="3">
        <v>0.16420000000000001</v>
      </c>
      <c r="R765" s="2">
        <v>120</v>
      </c>
      <c r="S765" s="2">
        <v>40</v>
      </c>
      <c r="T765" s="2">
        <v>50</v>
      </c>
      <c r="U765" s="3">
        <v>0.41670000000000001</v>
      </c>
      <c r="V765" s="2">
        <v>-28</v>
      </c>
    </row>
    <row r="766" spans="1:22" x14ac:dyDescent="0.25">
      <c r="A766" t="s">
        <v>834</v>
      </c>
      <c r="B766" s="1">
        <v>45554</v>
      </c>
      <c r="C766">
        <v>315</v>
      </c>
      <c r="D766" t="s">
        <v>99</v>
      </c>
      <c r="E766" t="s">
        <v>79</v>
      </c>
      <c r="F766" t="s">
        <v>32</v>
      </c>
      <c r="G766" t="s">
        <v>26</v>
      </c>
      <c r="H766" t="s">
        <v>27</v>
      </c>
      <c r="I766" t="s">
        <v>42</v>
      </c>
      <c r="J766" t="s">
        <v>29</v>
      </c>
      <c r="K766">
        <v>930</v>
      </c>
      <c r="L766">
        <v>33</v>
      </c>
      <c r="M766" s="2">
        <v>290</v>
      </c>
      <c r="N766" s="2">
        <v>118</v>
      </c>
      <c r="O766" s="2">
        <v>45</v>
      </c>
      <c r="P766" s="2">
        <v>127</v>
      </c>
      <c r="Q766" s="3">
        <v>0.43790000000000001</v>
      </c>
      <c r="R766" s="2">
        <v>290</v>
      </c>
      <c r="S766" s="2">
        <v>120</v>
      </c>
      <c r="T766" s="2">
        <v>130</v>
      </c>
      <c r="U766" s="3">
        <v>0.44829999999999998</v>
      </c>
      <c r="V766" s="2">
        <v>-3</v>
      </c>
    </row>
    <row r="767" spans="1:22" x14ac:dyDescent="0.25">
      <c r="A767" t="s">
        <v>835</v>
      </c>
      <c r="B767" s="1">
        <v>45554</v>
      </c>
      <c r="C767">
        <v>435</v>
      </c>
      <c r="D767" t="s">
        <v>95</v>
      </c>
      <c r="E767" t="s">
        <v>53</v>
      </c>
      <c r="F767" t="s">
        <v>25</v>
      </c>
      <c r="G767" t="s">
        <v>33</v>
      </c>
      <c r="H767" t="s">
        <v>34</v>
      </c>
      <c r="I767" t="s">
        <v>50</v>
      </c>
      <c r="J767" t="s">
        <v>29</v>
      </c>
      <c r="K767">
        <v>375</v>
      </c>
      <c r="L767">
        <v>15</v>
      </c>
      <c r="M767" s="2">
        <v>111</v>
      </c>
      <c r="N767" s="2">
        <v>47</v>
      </c>
      <c r="O767" s="2">
        <v>42</v>
      </c>
      <c r="P767" s="2">
        <v>22</v>
      </c>
      <c r="Q767" s="3">
        <v>0.19819999999999999</v>
      </c>
      <c r="R767" s="2">
        <v>150</v>
      </c>
      <c r="S767" s="2">
        <v>50</v>
      </c>
      <c r="T767" s="2">
        <v>80</v>
      </c>
      <c r="U767" s="3">
        <v>0.5333</v>
      </c>
      <c r="V767" s="2">
        <v>-58</v>
      </c>
    </row>
    <row r="768" spans="1:22" x14ac:dyDescent="0.25">
      <c r="A768" t="s">
        <v>836</v>
      </c>
      <c r="B768" s="1">
        <v>45554</v>
      </c>
      <c r="C768">
        <v>707</v>
      </c>
      <c r="D768" t="s">
        <v>62</v>
      </c>
      <c r="E768" t="s">
        <v>53</v>
      </c>
      <c r="F768" t="s">
        <v>32</v>
      </c>
      <c r="G768" t="s">
        <v>33</v>
      </c>
      <c r="H768" t="s">
        <v>34</v>
      </c>
      <c r="I768" t="s">
        <v>50</v>
      </c>
      <c r="J768" t="s">
        <v>29</v>
      </c>
      <c r="K768">
        <v>2642</v>
      </c>
      <c r="L768">
        <v>97</v>
      </c>
      <c r="M768" s="2">
        <v>699</v>
      </c>
      <c r="N768" s="2">
        <v>279</v>
      </c>
      <c r="O768" s="2">
        <v>149</v>
      </c>
      <c r="P768" s="2">
        <v>271</v>
      </c>
      <c r="Q768" s="3">
        <v>0.38769999999999999</v>
      </c>
      <c r="R768" s="2">
        <v>830</v>
      </c>
      <c r="S768" s="2">
        <v>330</v>
      </c>
      <c r="T768" s="2">
        <v>350</v>
      </c>
      <c r="U768" s="3">
        <v>0.42170000000000002</v>
      </c>
      <c r="V768" s="2">
        <v>-79</v>
      </c>
    </row>
    <row r="769" spans="1:22" x14ac:dyDescent="0.25">
      <c r="A769" t="s">
        <v>837</v>
      </c>
      <c r="B769" s="1">
        <v>45554</v>
      </c>
      <c r="C769">
        <v>831</v>
      </c>
      <c r="D769" t="s">
        <v>62</v>
      </c>
      <c r="E769" t="s">
        <v>53</v>
      </c>
      <c r="F769" t="s">
        <v>32</v>
      </c>
      <c r="G769" t="s">
        <v>26</v>
      </c>
      <c r="H769" t="s">
        <v>27</v>
      </c>
      <c r="I769" t="s">
        <v>28</v>
      </c>
      <c r="J769" t="s">
        <v>29</v>
      </c>
      <c r="K769">
        <v>915</v>
      </c>
      <c r="L769">
        <v>34</v>
      </c>
      <c r="M769" s="2">
        <v>322</v>
      </c>
      <c r="N769" s="2">
        <v>123</v>
      </c>
      <c r="O769" s="2">
        <v>45</v>
      </c>
      <c r="P769" s="2">
        <v>199</v>
      </c>
      <c r="Q769" s="3">
        <v>0.61799999999999999</v>
      </c>
      <c r="R769" s="2">
        <v>140</v>
      </c>
      <c r="S769" s="2">
        <v>50</v>
      </c>
      <c r="T769" s="2">
        <v>80</v>
      </c>
      <c r="U769" s="3">
        <v>0.57140000000000002</v>
      </c>
      <c r="V769" s="2">
        <v>119</v>
      </c>
    </row>
    <row r="770" spans="1:22" x14ac:dyDescent="0.25">
      <c r="A770" t="s">
        <v>838</v>
      </c>
      <c r="B770" s="1">
        <v>45555</v>
      </c>
      <c r="C770">
        <v>719</v>
      </c>
      <c r="D770" t="s">
        <v>31</v>
      </c>
      <c r="E770" t="s">
        <v>24</v>
      </c>
      <c r="F770" t="s">
        <v>32</v>
      </c>
      <c r="G770" t="s">
        <v>33</v>
      </c>
      <c r="H770" t="s">
        <v>34</v>
      </c>
      <c r="I770" t="s">
        <v>50</v>
      </c>
      <c r="J770" t="s">
        <v>29</v>
      </c>
      <c r="K770">
        <v>541</v>
      </c>
      <c r="L770">
        <v>12</v>
      </c>
      <c r="M770" s="2">
        <v>90</v>
      </c>
      <c r="N770" s="2">
        <v>39</v>
      </c>
      <c r="O770" s="2">
        <v>24</v>
      </c>
      <c r="P770" s="2">
        <v>27</v>
      </c>
      <c r="Q770" s="3">
        <v>0.3</v>
      </c>
      <c r="R770" s="2">
        <v>80</v>
      </c>
      <c r="S770" s="2">
        <v>30</v>
      </c>
      <c r="T770" s="2">
        <v>50</v>
      </c>
      <c r="U770" s="3">
        <v>0.625</v>
      </c>
      <c r="V770" s="2">
        <v>-23</v>
      </c>
    </row>
    <row r="771" spans="1:22" x14ac:dyDescent="0.25">
      <c r="A771" t="s">
        <v>839</v>
      </c>
      <c r="B771" s="1">
        <v>45555</v>
      </c>
      <c r="C771">
        <v>212</v>
      </c>
      <c r="D771" t="s">
        <v>99</v>
      </c>
      <c r="E771" t="s">
        <v>79</v>
      </c>
      <c r="F771" t="s">
        <v>32</v>
      </c>
      <c r="G771" t="s">
        <v>33</v>
      </c>
      <c r="H771" t="s">
        <v>54</v>
      </c>
      <c r="I771" t="s">
        <v>101</v>
      </c>
      <c r="J771" t="s">
        <v>29</v>
      </c>
      <c r="K771">
        <v>1197</v>
      </c>
      <c r="L771">
        <v>66</v>
      </c>
      <c r="M771" s="2">
        <v>815</v>
      </c>
      <c r="N771" s="2">
        <v>239</v>
      </c>
      <c r="O771" s="2">
        <v>91</v>
      </c>
      <c r="P771" s="2">
        <v>646</v>
      </c>
      <c r="Q771" s="3">
        <v>0.79259999999999997</v>
      </c>
      <c r="R771" s="2">
        <v>720</v>
      </c>
      <c r="S771" s="2">
        <v>210</v>
      </c>
      <c r="T771" s="2">
        <v>450</v>
      </c>
      <c r="U771" s="3">
        <v>0.625</v>
      </c>
      <c r="V771" s="2">
        <v>196</v>
      </c>
    </row>
    <row r="772" spans="1:22" x14ac:dyDescent="0.25">
      <c r="A772" t="s">
        <v>840</v>
      </c>
      <c r="B772" s="1">
        <v>45555</v>
      </c>
      <c r="C772">
        <v>312</v>
      </c>
      <c r="D772" t="s">
        <v>37</v>
      </c>
      <c r="E772" t="s">
        <v>24</v>
      </c>
      <c r="F772" t="s">
        <v>32</v>
      </c>
      <c r="G772" t="s">
        <v>33</v>
      </c>
      <c r="H772" t="s">
        <v>54</v>
      </c>
      <c r="I772" t="s">
        <v>68</v>
      </c>
      <c r="J772" t="s">
        <v>29</v>
      </c>
      <c r="K772">
        <v>1662</v>
      </c>
      <c r="L772">
        <v>84</v>
      </c>
      <c r="M772" s="2">
        <v>637</v>
      </c>
      <c r="N772" s="2">
        <v>257</v>
      </c>
      <c r="O772" s="2">
        <v>117</v>
      </c>
      <c r="P772" s="2">
        <v>332</v>
      </c>
      <c r="Q772" s="3">
        <v>0.5212</v>
      </c>
      <c r="R772" s="2">
        <v>890</v>
      </c>
      <c r="S772" s="2">
        <v>370</v>
      </c>
      <c r="T772" s="2">
        <v>420</v>
      </c>
      <c r="U772" s="3">
        <v>0.47189999999999999</v>
      </c>
      <c r="V772" s="2">
        <v>-88</v>
      </c>
    </row>
    <row r="773" spans="1:22" x14ac:dyDescent="0.25">
      <c r="A773" t="s">
        <v>841</v>
      </c>
      <c r="B773" s="1">
        <v>45556</v>
      </c>
      <c r="C773">
        <v>619</v>
      </c>
      <c r="D773" t="s">
        <v>62</v>
      </c>
      <c r="E773" t="s">
        <v>53</v>
      </c>
      <c r="F773" t="s">
        <v>32</v>
      </c>
      <c r="G773" t="s">
        <v>26</v>
      </c>
      <c r="H773" t="s">
        <v>27</v>
      </c>
      <c r="I773" t="s">
        <v>42</v>
      </c>
      <c r="J773" t="s">
        <v>29</v>
      </c>
      <c r="K773">
        <v>601</v>
      </c>
      <c r="L773">
        <v>15</v>
      </c>
      <c r="M773" s="2">
        <v>133</v>
      </c>
      <c r="N773" s="2">
        <v>54</v>
      </c>
      <c r="O773" s="2">
        <v>26</v>
      </c>
      <c r="P773" s="2">
        <v>53</v>
      </c>
      <c r="Q773" s="3">
        <v>0.39850000000000002</v>
      </c>
      <c r="R773" s="2">
        <v>90</v>
      </c>
      <c r="S773" s="2">
        <v>30</v>
      </c>
      <c r="T773" s="2">
        <v>50</v>
      </c>
      <c r="U773" s="3">
        <v>0.55559999999999998</v>
      </c>
      <c r="V773" s="2">
        <v>3</v>
      </c>
    </row>
    <row r="774" spans="1:22" x14ac:dyDescent="0.25">
      <c r="A774" t="s">
        <v>842</v>
      </c>
      <c r="B774" s="1">
        <v>45556</v>
      </c>
      <c r="C774">
        <v>505</v>
      </c>
      <c r="D774" t="s">
        <v>44</v>
      </c>
      <c r="E774" t="s">
        <v>45</v>
      </c>
      <c r="F774" t="s">
        <v>25</v>
      </c>
      <c r="G774" t="s">
        <v>33</v>
      </c>
      <c r="H774" t="s">
        <v>54</v>
      </c>
      <c r="I774" t="s">
        <v>68</v>
      </c>
      <c r="J774" t="s">
        <v>29</v>
      </c>
      <c r="K774">
        <v>335</v>
      </c>
      <c r="L774">
        <v>44</v>
      </c>
      <c r="M774" s="2">
        <v>118</v>
      </c>
      <c r="N774" s="2">
        <v>49</v>
      </c>
      <c r="O774" s="2">
        <v>74</v>
      </c>
      <c r="P774" s="2">
        <v>-5</v>
      </c>
      <c r="Q774" s="3">
        <v>-4.24E-2</v>
      </c>
      <c r="R774" s="2">
        <v>90</v>
      </c>
      <c r="S774" s="2">
        <v>30</v>
      </c>
      <c r="T774" s="2">
        <v>10</v>
      </c>
      <c r="U774" s="3">
        <v>0.1111</v>
      </c>
      <c r="V774" s="2">
        <v>-15</v>
      </c>
    </row>
    <row r="775" spans="1:22" x14ac:dyDescent="0.25">
      <c r="A775" t="s">
        <v>843</v>
      </c>
      <c r="B775" s="1">
        <v>45556</v>
      </c>
      <c r="C775">
        <v>603</v>
      </c>
      <c r="D775" t="s">
        <v>109</v>
      </c>
      <c r="E775" t="s">
        <v>79</v>
      </c>
      <c r="F775" t="s">
        <v>25</v>
      </c>
      <c r="G775" t="s">
        <v>26</v>
      </c>
      <c r="H775" t="s">
        <v>38</v>
      </c>
      <c r="I775" t="s">
        <v>46</v>
      </c>
      <c r="J775" t="s">
        <v>40</v>
      </c>
      <c r="K775">
        <v>243</v>
      </c>
      <c r="L775">
        <v>12</v>
      </c>
      <c r="M775" s="2">
        <v>74</v>
      </c>
      <c r="N775" s="2">
        <v>33</v>
      </c>
      <c r="O775" s="2">
        <v>45</v>
      </c>
      <c r="P775" s="2">
        <v>-4</v>
      </c>
      <c r="Q775" s="3">
        <v>-5.4100000000000002E-2</v>
      </c>
      <c r="R775" s="2">
        <v>50</v>
      </c>
      <c r="S775" s="2">
        <v>20</v>
      </c>
      <c r="T775" s="2">
        <v>0</v>
      </c>
      <c r="U775" s="3">
        <v>0</v>
      </c>
      <c r="V775" s="2">
        <v>-4</v>
      </c>
    </row>
    <row r="776" spans="1:22" x14ac:dyDescent="0.25">
      <c r="A776" t="s">
        <v>844</v>
      </c>
      <c r="B776" s="1">
        <v>45556</v>
      </c>
      <c r="C776">
        <v>505</v>
      </c>
      <c r="D776" t="s">
        <v>44</v>
      </c>
      <c r="E776" t="s">
        <v>45</v>
      </c>
      <c r="F776" t="s">
        <v>25</v>
      </c>
      <c r="G776" t="s">
        <v>26</v>
      </c>
      <c r="H776" t="s">
        <v>38</v>
      </c>
      <c r="I776" t="s">
        <v>39</v>
      </c>
      <c r="J776" t="s">
        <v>40</v>
      </c>
      <c r="K776">
        <v>848</v>
      </c>
      <c r="L776">
        <v>4</v>
      </c>
      <c r="M776" s="2">
        <v>42</v>
      </c>
      <c r="N776" s="2">
        <v>15</v>
      </c>
      <c r="O776" s="2">
        <v>15</v>
      </c>
      <c r="P776" s="2">
        <v>13</v>
      </c>
      <c r="Q776" s="3">
        <v>0.3095</v>
      </c>
      <c r="R776" s="2">
        <v>30</v>
      </c>
      <c r="S776" s="2">
        <v>10</v>
      </c>
      <c r="T776" s="2">
        <v>10</v>
      </c>
      <c r="U776" s="3">
        <v>0.33329999999999999</v>
      </c>
      <c r="V776" s="2">
        <v>3</v>
      </c>
    </row>
    <row r="777" spans="1:22" x14ac:dyDescent="0.25">
      <c r="A777" t="s">
        <v>845</v>
      </c>
      <c r="B777" s="1">
        <v>45557</v>
      </c>
      <c r="C777">
        <v>914</v>
      </c>
      <c r="D777" t="s">
        <v>99</v>
      </c>
      <c r="E777" t="s">
        <v>79</v>
      </c>
      <c r="F777" t="s">
        <v>32</v>
      </c>
      <c r="G777" t="s">
        <v>26</v>
      </c>
      <c r="H777" t="s">
        <v>38</v>
      </c>
      <c r="I777" t="s">
        <v>66</v>
      </c>
      <c r="J777" t="s">
        <v>40</v>
      </c>
      <c r="K777">
        <v>4742</v>
      </c>
      <c r="L777">
        <v>69</v>
      </c>
      <c r="M777" s="2">
        <v>160</v>
      </c>
      <c r="N777" s="2">
        <v>225</v>
      </c>
      <c r="O777" s="2">
        <v>91</v>
      </c>
      <c r="P777" s="2">
        <v>-156</v>
      </c>
      <c r="Q777" s="3">
        <v>-0.97499999999999998</v>
      </c>
      <c r="R777" s="2">
        <v>110</v>
      </c>
      <c r="S777" s="2">
        <v>160</v>
      </c>
      <c r="T777" s="2">
        <v>-120</v>
      </c>
      <c r="U777" s="3">
        <v>-1.0909</v>
      </c>
      <c r="V777" s="2">
        <v>-36</v>
      </c>
    </row>
    <row r="778" spans="1:22" x14ac:dyDescent="0.25">
      <c r="A778" t="s">
        <v>846</v>
      </c>
      <c r="B778" s="1">
        <v>45558</v>
      </c>
      <c r="C778">
        <v>718</v>
      </c>
      <c r="D778" t="s">
        <v>99</v>
      </c>
      <c r="E778" t="s">
        <v>79</v>
      </c>
      <c r="F778" t="s">
        <v>32</v>
      </c>
      <c r="G778" t="s">
        <v>26</v>
      </c>
      <c r="H778" t="s">
        <v>27</v>
      </c>
      <c r="I778" t="s">
        <v>42</v>
      </c>
      <c r="J778" t="s">
        <v>29</v>
      </c>
      <c r="K778">
        <v>915</v>
      </c>
      <c r="L778">
        <v>34</v>
      </c>
      <c r="M778" s="2">
        <v>322</v>
      </c>
      <c r="N778" s="2">
        <v>123</v>
      </c>
      <c r="O778" s="2">
        <v>45</v>
      </c>
      <c r="P778" s="2">
        <v>199</v>
      </c>
      <c r="Q778" s="3">
        <v>0.61799999999999999</v>
      </c>
      <c r="R778" s="2">
        <v>320</v>
      </c>
      <c r="S778" s="2">
        <v>130</v>
      </c>
      <c r="T778" s="2">
        <v>160</v>
      </c>
      <c r="U778" s="3">
        <v>0.5</v>
      </c>
      <c r="V778" s="2">
        <v>39</v>
      </c>
    </row>
    <row r="779" spans="1:22" x14ac:dyDescent="0.25">
      <c r="A779" t="s">
        <v>847</v>
      </c>
      <c r="B779" s="1">
        <v>45558</v>
      </c>
      <c r="C779">
        <v>719</v>
      </c>
      <c r="D779" t="s">
        <v>31</v>
      </c>
      <c r="E779" t="s">
        <v>24</v>
      </c>
      <c r="F779" t="s">
        <v>32</v>
      </c>
      <c r="G779" t="s">
        <v>33</v>
      </c>
      <c r="H779" t="s">
        <v>34</v>
      </c>
      <c r="I779" t="s">
        <v>35</v>
      </c>
      <c r="J779" t="s">
        <v>29</v>
      </c>
      <c r="K779">
        <v>930</v>
      </c>
      <c r="L779">
        <v>33</v>
      </c>
      <c r="M779" s="2">
        <v>309</v>
      </c>
      <c r="N779" s="2">
        <v>118</v>
      </c>
      <c r="O779" s="2">
        <v>44</v>
      </c>
      <c r="P779" s="2">
        <v>190</v>
      </c>
      <c r="Q779" s="3">
        <v>0.6149</v>
      </c>
      <c r="R779" s="2">
        <v>280</v>
      </c>
      <c r="S779" s="2">
        <v>110</v>
      </c>
      <c r="T779" s="2">
        <v>130</v>
      </c>
      <c r="U779" s="3">
        <v>0.46429999999999999</v>
      </c>
      <c r="V779" s="2">
        <v>60</v>
      </c>
    </row>
    <row r="780" spans="1:22" x14ac:dyDescent="0.25">
      <c r="A780" t="s">
        <v>848</v>
      </c>
      <c r="B780" s="1">
        <v>45558</v>
      </c>
      <c r="C780">
        <v>805</v>
      </c>
      <c r="D780" t="s">
        <v>62</v>
      </c>
      <c r="E780" t="s">
        <v>53</v>
      </c>
      <c r="F780" t="s">
        <v>32</v>
      </c>
      <c r="G780" t="s">
        <v>26</v>
      </c>
      <c r="H780" t="s">
        <v>27</v>
      </c>
      <c r="I780" t="s">
        <v>28</v>
      </c>
      <c r="J780" t="s">
        <v>29</v>
      </c>
      <c r="K780">
        <v>930</v>
      </c>
      <c r="L780">
        <v>33</v>
      </c>
      <c r="M780" s="2">
        <v>309</v>
      </c>
      <c r="N780" s="2">
        <v>118</v>
      </c>
      <c r="O780" s="2">
        <v>44</v>
      </c>
      <c r="P780" s="2">
        <v>190</v>
      </c>
      <c r="Q780" s="3">
        <v>0.6149</v>
      </c>
      <c r="R780" s="2">
        <v>210</v>
      </c>
      <c r="S780" s="2">
        <v>80</v>
      </c>
      <c r="T780" s="2">
        <v>110</v>
      </c>
      <c r="U780" s="3">
        <v>0.52380000000000004</v>
      </c>
      <c r="V780" s="2">
        <v>80</v>
      </c>
    </row>
    <row r="781" spans="1:22" x14ac:dyDescent="0.25">
      <c r="A781" t="s">
        <v>849</v>
      </c>
      <c r="B781" s="1">
        <v>45559</v>
      </c>
      <c r="C781">
        <v>775</v>
      </c>
      <c r="D781" t="s">
        <v>65</v>
      </c>
      <c r="E781" t="s">
        <v>53</v>
      </c>
      <c r="F781" t="s">
        <v>25</v>
      </c>
      <c r="G781" t="s">
        <v>33</v>
      </c>
      <c r="H781" t="s">
        <v>34</v>
      </c>
      <c r="I781" t="s">
        <v>83</v>
      </c>
      <c r="J781" t="s">
        <v>40</v>
      </c>
      <c r="K781">
        <v>1000</v>
      </c>
      <c r="L781">
        <v>9</v>
      </c>
      <c r="M781" s="2">
        <v>68</v>
      </c>
      <c r="N781" s="2">
        <v>31</v>
      </c>
      <c r="O781" s="2">
        <v>30</v>
      </c>
      <c r="P781" s="2">
        <v>7</v>
      </c>
      <c r="Q781" s="3">
        <v>0.10290000000000001</v>
      </c>
      <c r="R781" s="2">
        <v>90</v>
      </c>
      <c r="S781" s="2">
        <v>30</v>
      </c>
      <c r="T781" s="2">
        <v>50</v>
      </c>
      <c r="U781" s="3">
        <v>0.55559999999999998</v>
      </c>
      <c r="V781" s="2">
        <v>-43</v>
      </c>
    </row>
    <row r="782" spans="1:22" x14ac:dyDescent="0.25">
      <c r="A782" t="s">
        <v>850</v>
      </c>
      <c r="B782" s="1">
        <v>45559</v>
      </c>
      <c r="C782">
        <v>339</v>
      </c>
      <c r="D782" t="s">
        <v>78</v>
      </c>
      <c r="E782" t="s">
        <v>79</v>
      </c>
      <c r="F782" t="s">
        <v>32</v>
      </c>
      <c r="G782" t="s">
        <v>26</v>
      </c>
      <c r="H782" t="s">
        <v>27</v>
      </c>
      <c r="I782" t="s">
        <v>28</v>
      </c>
      <c r="J782" t="s">
        <v>29</v>
      </c>
      <c r="K782">
        <v>862</v>
      </c>
      <c r="L782">
        <v>10</v>
      </c>
      <c r="M782" s="2">
        <v>88</v>
      </c>
      <c r="N782" s="2">
        <v>36</v>
      </c>
      <c r="O782" s="2">
        <v>21</v>
      </c>
      <c r="P782" s="2">
        <v>31</v>
      </c>
      <c r="Q782" s="3">
        <v>0.3523</v>
      </c>
      <c r="R782" s="2">
        <v>90</v>
      </c>
      <c r="S782" s="2">
        <v>30</v>
      </c>
      <c r="T782" s="2">
        <v>40</v>
      </c>
      <c r="U782" s="3">
        <v>0.44440000000000002</v>
      </c>
      <c r="V782" s="2">
        <v>-9</v>
      </c>
    </row>
    <row r="783" spans="1:22" x14ac:dyDescent="0.25">
      <c r="A783" t="s">
        <v>851</v>
      </c>
      <c r="B783" s="1">
        <v>45559</v>
      </c>
      <c r="C783">
        <v>203</v>
      </c>
      <c r="D783" t="s">
        <v>135</v>
      </c>
      <c r="E783" t="s">
        <v>79</v>
      </c>
      <c r="F783" t="s">
        <v>25</v>
      </c>
      <c r="G783" t="s">
        <v>26</v>
      </c>
      <c r="H783" t="s">
        <v>27</v>
      </c>
      <c r="I783" t="s">
        <v>59</v>
      </c>
      <c r="J783" t="s">
        <v>29</v>
      </c>
      <c r="K783">
        <v>809</v>
      </c>
      <c r="L783">
        <v>10</v>
      </c>
      <c r="M783" s="2">
        <v>96</v>
      </c>
      <c r="N783" s="2">
        <v>36</v>
      </c>
      <c r="O783" s="2">
        <v>21</v>
      </c>
      <c r="P783" s="2">
        <v>49</v>
      </c>
      <c r="Q783" s="3">
        <v>0.51039999999999996</v>
      </c>
      <c r="R783" s="2">
        <v>90</v>
      </c>
      <c r="S783" s="2">
        <v>30</v>
      </c>
      <c r="T783" s="2">
        <v>40</v>
      </c>
      <c r="U783" s="3">
        <v>0.44440000000000002</v>
      </c>
      <c r="V783" s="2">
        <v>9</v>
      </c>
    </row>
    <row r="784" spans="1:22" x14ac:dyDescent="0.25">
      <c r="A784" t="s">
        <v>852</v>
      </c>
      <c r="B784" s="1">
        <v>45559</v>
      </c>
      <c r="C784">
        <v>225</v>
      </c>
      <c r="D784" t="s">
        <v>49</v>
      </c>
      <c r="E784" t="s">
        <v>45</v>
      </c>
      <c r="F784" t="s">
        <v>25</v>
      </c>
      <c r="G784" t="s">
        <v>33</v>
      </c>
      <c r="H784" t="s">
        <v>54</v>
      </c>
      <c r="I784" t="s">
        <v>68</v>
      </c>
      <c r="J784" t="s">
        <v>29</v>
      </c>
      <c r="K784">
        <v>329</v>
      </c>
      <c r="L784">
        <v>18</v>
      </c>
      <c r="M784" s="2">
        <v>169</v>
      </c>
      <c r="N784" s="2">
        <v>60</v>
      </c>
      <c r="O784" s="2">
        <v>41</v>
      </c>
      <c r="P784" s="2">
        <v>86</v>
      </c>
      <c r="Q784" s="3">
        <v>0.50890000000000002</v>
      </c>
      <c r="R784" s="2">
        <v>100</v>
      </c>
      <c r="S784" s="2">
        <v>30</v>
      </c>
      <c r="T784" s="2">
        <v>70</v>
      </c>
      <c r="U784" s="3">
        <v>0.7</v>
      </c>
      <c r="V784" s="2">
        <v>16</v>
      </c>
    </row>
    <row r="785" spans="1:22" x14ac:dyDescent="0.25">
      <c r="A785" t="s">
        <v>853</v>
      </c>
      <c r="B785" s="1">
        <v>45559</v>
      </c>
      <c r="C785">
        <v>417</v>
      </c>
      <c r="D785" t="s">
        <v>58</v>
      </c>
      <c r="E785" t="s">
        <v>24</v>
      </c>
      <c r="F785" t="s">
        <v>25</v>
      </c>
      <c r="G785" t="s">
        <v>26</v>
      </c>
      <c r="H785" t="s">
        <v>38</v>
      </c>
      <c r="I785" t="s">
        <v>46</v>
      </c>
      <c r="J785" t="s">
        <v>40</v>
      </c>
      <c r="K785">
        <v>1698</v>
      </c>
      <c r="L785">
        <v>26</v>
      </c>
      <c r="M785" s="2">
        <v>116</v>
      </c>
      <c r="N785" s="2">
        <v>86</v>
      </c>
      <c r="O785" s="2">
        <v>49</v>
      </c>
      <c r="P785" s="2">
        <v>-39</v>
      </c>
      <c r="Q785" s="3">
        <v>-0.3362</v>
      </c>
      <c r="R785" s="2">
        <v>80</v>
      </c>
      <c r="S785" s="2">
        <v>60</v>
      </c>
      <c r="T785" s="2">
        <v>10</v>
      </c>
      <c r="U785" s="3">
        <v>0.125</v>
      </c>
      <c r="V785" s="2">
        <v>-49</v>
      </c>
    </row>
    <row r="786" spans="1:22" x14ac:dyDescent="0.25">
      <c r="A786" t="s">
        <v>854</v>
      </c>
      <c r="B786" s="1">
        <v>45560</v>
      </c>
      <c r="C786">
        <v>970</v>
      </c>
      <c r="D786" t="s">
        <v>31</v>
      </c>
      <c r="E786" t="s">
        <v>24</v>
      </c>
      <c r="F786" t="s">
        <v>32</v>
      </c>
      <c r="G786" t="s">
        <v>33</v>
      </c>
      <c r="H786" t="s">
        <v>34</v>
      </c>
      <c r="I786" t="s">
        <v>50</v>
      </c>
      <c r="J786" t="s">
        <v>29</v>
      </c>
      <c r="K786">
        <v>536</v>
      </c>
      <c r="L786">
        <v>13</v>
      </c>
      <c r="M786" s="2">
        <v>92</v>
      </c>
      <c r="N786" s="2">
        <v>40</v>
      </c>
      <c r="O786" s="2">
        <v>25</v>
      </c>
      <c r="P786" s="2">
        <v>27</v>
      </c>
      <c r="Q786" s="3">
        <v>0.29349999999999998</v>
      </c>
      <c r="R786" s="2">
        <v>90</v>
      </c>
      <c r="S786" s="2">
        <v>30</v>
      </c>
      <c r="T786" s="2">
        <v>40</v>
      </c>
      <c r="U786" s="3">
        <v>0.44440000000000002</v>
      </c>
      <c r="V786" s="2">
        <v>-13</v>
      </c>
    </row>
    <row r="787" spans="1:22" x14ac:dyDescent="0.25">
      <c r="A787" t="s">
        <v>855</v>
      </c>
      <c r="B787" s="1">
        <v>45561</v>
      </c>
      <c r="C787">
        <v>563</v>
      </c>
      <c r="D787" t="s">
        <v>124</v>
      </c>
      <c r="E787" t="s">
        <v>24</v>
      </c>
      <c r="F787" t="s">
        <v>25</v>
      </c>
      <c r="G787" t="s">
        <v>33</v>
      </c>
      <c r="H787" t="s">
        <v>34</v>
      </c>
      <c r="I787" t="s">
        <v>35</v>
      </c>
      <c r="J787" t="s">
        <v>29</v>
      </c>
      <c r="K787">
        <v>851</v>
      </c>
      <c r="L787">
        <v>4</v>
      </c>
      <c r="M787" s="2">
        <v>44</v>
      </c>
      <c r="N787" s="2">
        <v>16</v>
      </c>
      <c r="O787" s="2">
        <v>15</v>
      </c>
      <c r="P787" s="2">
        <v>15</v>
      </c>
      <c r="Q787" s="3">
        <v>0.34089999999999998</v>
      </c>
      <c r="R787" s="2">
        <v>40</v>
      </c>
      <c r="S787" s="2">
        <v>10</v>
      </c>
      <c r="T787" s="2">
        <v>20</v>
      </c>
      <c r="U787" s="3">
        <v>0.5</v>
      </c>
      <c r="V787" s="2">
        <v>-5</v>
      </c>
    </row>
    <row r="788" spans="1:22" x14ac:dyDescent="0.25">
      <c r="A788" t="s">
        <v>856</v>
      </c>
      <c r="B788" s="1">
        <v>45561</v>
      </c>
      <c r="C788">
        <v>719</v>
      </c>
      <c r="D788" t="s">
        <v>31</v>
      </c>
      <c r="E788" t="s">
        <v>24</v>
      </c>
      <c r="F788" t="s">
        <v>32</v>
      </c>
      <c r="G788" t="s">
        <v>33</v>
      </c>
      <c r="H788" t="s">
        <v>34</v>
      </c>
      <c r="I788" t="s">
        <v>83</v>
      </c>
      <c r="J788" t="s">
        <v>40</v>
      </c>
      <c r="K788">
        <v>971</v>
      </c>
      <c r="L788">
        <v>30</v>
      </c>
      <c r="M788" s="2">
        <v>265</v>
      </c>
      <c r="N788" s="2">
        <v>108</v>
      </c>
      <c r="O788" s="2">
        <v>41</v>
      </c>
      <c r="P788" s="2">
        <v>116</v>
      </c>
      <c r="Q788" s="3">
        <v>0.43769999999999998</v>
      </c>
      <c r="R788" s="2">
        <v>260</v>
      </c>
      <c r="S788" s="2">
        <v>100</v>
      </c>
      <c r="T788" s="2">
        <v>150</v>
      </c>
      <c r="U788" s="3">
        <v>0.57689999999999997</v>
      </c>
      <c r="V788" s="2">
        <v>-34</v>
      </c>
    </row>
    <row r="789" spans="1:22" x14ac:dyDescent="0.25">
      <c r="A789" t="s">
        <v>857</v>
      </c>
      <c r="B789" s="1">
        <v>45561</v>
      </c>
      <c r="C789">
        <v>513</v>
      </c>
      <c r="D789" t="s">
        <v>85</v>
      </c>
      <c r="E789" t="s">
        <v>24</v>
      </c>
      <c r="F789" t="s">
        <v>32</v>
      </c>
      <c r="G789" t="s">
        <v>26</v>
      </c>
      <c r="H789" t="s">
        <v>27</v>
      </c>
      <c r="I789" t="s">
        <v>42</v>
      </c>
      <c r="J789" t="s">
        <v>29</v>
      </c>
      <c r="K789">
        <v>690</v>
      </c>
      <c r="L789">
        <v>41</v>
      </c>
      <c r="M789" s="2">
        <v>341</v>
      </c>
      <c r="N789" s="2">
        <v>134</v>
      </c>
      <c r="O789" s="2">
        <v>65</v>
      </c>
      <c r="P789" s="2">
        <v>180</v>
      </c>
      <c r="Q789" s="3">
        <v>0.52790000000000004</v>
      </c>
      <c r="R789" s="2">
        <v>260</v>
      </c>
      <c r="S789" s="2">
        <v>110</v>
      </c>
      <c r="T789" s="2">
        <v>90</v>
      </c>
      <c r="U789" s="3">
        <v>0.34620000000000001</v>
      </c>
      <c r="V789" s="2">
        <v>90</v>
      </c>
    </row>
    <row r="790" spans="1:22" x14ac:dyDescent="0.25">
      <c r="A790" t="s">
        <v>858</v>
      </c>
      <c r="B790" s="1">
        <v>45562</v>
      </c>
      <c r="C790">
        <v>409</v>
      </c>
      <c r="D790" t="s">
        <v>76</v>
      </c>
      <c r="E790" t="s">
        <v>45</v>
      </c>
      <c r="F790" t="s">
        <v>32</v>
      </c>
      <c r="G790" t="s">
        <v>33</v>
      </c>
      <c r="H790" t="s">
        <v>54</v>
      </c>
      <c r="I790" t="s">
        <v>68</v>
      </c>
      <c r="J790" t="s">
        <v>29</v>
      </c>
      <c r="K790">
        <v>930</v>
      </c>
      <c r="L790">
        <v>33</v>
      </c>
      <c r="M790" s="2">
        <v>290</v>
      </c>
      <c r="N790" s="2">
        <v>118</v>
      </c>
      <c r="O790" s="2">
        <v>45</v>
      </c>
      <c r="P790" s="2">
        <v>127</v>
      </c>
      <c r="Q790" s="3">
        <v>0.43790000000000001</v>
      </c>
      <c r="R790" s="2">
        <v>220</v>
      </c>
      <c r="S790" s="2">
        <v>90</v>
      </c>
      <c r="T790" s="2">
        <v>100</v>
      </c>
      <c r="U790" s="3">
        <v>0.45450000000000002</v>
      </c>
      <c r="V790" s="2">
        <v>27</v>
      </c>
    </row>
    <row r="791" spans="1:22" x14ac:dyDescent="0.25">
      <c r="A791" t="s">
        <v>859</v>
      </c>
      <c r="B791" s="1">
        <v>45562</v>
      </c>
      <c r="C791">
        <v>203</v>
      </c>
      <c r="D791" t="s">
        <v>135</v>
      </c>
      <c r="E791" t="s">
        <v>79</v>
      </c>
      <c r="F791" t="s">
        <v>25</v>
      </c>
      <c r="G791" t="s">
        <v>33</v>
      </c>
      <c r="H791" t="s">
        <v>34</v>
      </c>
      <c r="I791" t="s">
        <v>50</v>
      </c>
      <c r="J791" t="s">
        <v>29</v>
      </c>
      <c r="K791">
        <v>1134</v>
      </c>
      <c r="L791">
        <v>42</v>
      </c>
      <c r="M791" s="2">
        <v>325</v>
      </c>
      <c r="N791" s="2">
        <v>130</v>
      </c>
      <c r="O791" s="2">
        <v>73</v>
      </c>
      <c r="P791" s="2">
        <v>122</v>
      </c>
      <c r="Q791" s="3">
        <v>0.37540000000000001</v>
      </c>
      <c r="R791" s="2">
        <v>290</v>
      </c>
      <c r="S791" s="2">
        <v>110</v>
      </c>
      <c r="T791" s="2">
        <v>130</v>
      </c>
      <c r="U791" s="3">
        <v>0.44829999999999998</v>
      </c>
      <c r="V791" s="2">
        <v>-8</v>
      </c>
    </row>
    <row r="792" spans="1:22" x14ac:dyDescent="0.25">
      <c r="A792" t="s">
        <v>860</v>
      </c>
      <c r="B792" s="1">
        <v>45563</v>
      </c>
      <c r="C792">
        <v>206</v>
      </c>
      <c r="D792" t="s">
        <v>52</v>
      </c>
      <c r="E792" t="s">
        <v>53</v>
      </c>
      <c r="F792" t="s">
        <v>25</v>
      </c>
      <c r="G792" t="s">
        <v>26</v>
      </c>
      <c r="H792" t="s">
        <v>27</v>
      </c>
      <c r="I792" t="s">
        <v>59</v>
      </c>
      <c r="J792" t="s">
        <v>29</v>
      </c>
      <c r="K792">
        <v>606</v>
      </c>
      <c r="L792">
        <v>54</v>
      </c>
      <c r="M792" s="2">
        <v>144</v>
      </c>
      <c r="N792" s="2">
        <v>60</v>
      </c>
      <c r="O792" s="2">
        <v>84</v>
      </c>
      <c r="P792" s="2">
        <v>0</v>
      </c>
      <c r="Q792" s="3">
        <v>0</v>
      </c>
      <c r="R792" s="2">
        <v>60</v>
      </c>
      <c r="S792" s="2">
        <v>20</v>
      </c>
      <c r="T792" s="2">
        <v>10</v>
      </c>
      <c r="U792" s="3">
        <v>0.16669999999999999</v>
      </c>
      <c r="V792" s="2">
        <v>-10</v>
      </c>
    </row>
    <row r="793" spans="1:22" x14ac:dyDescent="0.25">
      <c r="A793" t="s">
        <v>861</v>
      </c>
      <c r="B793" s="1">
        <v>45563</v>
      </c>
      <c r="C793">
        <v>510</v>
      </c>
      <c r="D793" t="s">
        <v>62</v>
      </c>
      <c r="E793" t="s">
        <v>53</v>
      </c>
      <c r="F793" t="s">
        <v>32</v>
      </c>
      <c r="G793" t="s">
        <v>26</v>
      </c>
      <c r="H793" t="s">
        <v>38</v>
      </c>
      <c r="I793" t="s">
        <v>46</v>
      </c>
      <c r="J793" t="s">
        <v>40</v>
      </c>
      <c r="K793">
        <v>1272</v>
      </c>
      <c r="L793">
        <v>69</v>
      </c>
      <c r="M793" s="2">
        <v>522</v>
      </c>
      <c r="N793" s="2">
        <v>225</v>
      </c>
      <c r="O793" s="2">
        <v>91</v>
      </c>
      <c r="P793" s="2">
        <v>258</v>
      </c>
      <c r="Q793" s="3">
        <v>0.49430000000000002</v>
      </c>
      <c r="R793" s="2">
        <v>450</v>
      </c>
      <c r="S793" s="2">
        <v>210</v>
      </c>
      <c r="T793" s="2">
        <v>160</v>
      </c>
      <c r="U793" s="3">
        <v>0.35560000000000003</v>
      </c>
      <c r="V793" s="2">
        <v>98</v>
      </c>
    </row>
    <row r="794" spans="1:22" x14ac:dyDescent="0.25">
      <c r="A794" t="s">
        <v>862</v>
      </c>
      <c r="B794" s="1">
        <v>45563</v>
      </c>
      <c r="C794">
        <v>360</v>
      </c>
      <c r="D794" t="s">
        <v>52</v>
      </c>
      <c r="E794" t="s">
        <v>53</v>
      </c>
      <c r="F794" t="s">
        <v>25</v>
      </c>
      <c r="G794" t="s">
        <v>33</v>
      </c>
      <c r="H794" t="s">
        <v>34</v>
      </c>
      <c r="I794" t="s">
        <v>50</v>
      </c>
      <c r="J794" t="s">
        <v>29</v>
      </c>
      <c r="K794">
        <v>461</v>
      </c>
      <c r="L794">
        <v>23</v>
      </c>
      <c r="M794" s="2">
        <v>188</v>
      </c>
      <c r="N794" s="2">
        <v>72</v>
      </c>
      <c r="O794" s="2">
        <v>46</v>
      </c>
      <c r="P794" s="2">
        <v>86</v>
      </c>
      <c r="Q794" s="3">
        <v>0.45739999999999997</v>
      </c>
      <c r="R794" s="2">
        <v>200</v>
      </c>
      <c r="S794" s="2">
        <v>80</v>
      </c>
      <c r="T794" s="2">
        <v>80</v>
      </c>
      <c r="U794" s="3">
        <v>0.4</v>
      </c>
      <c r="V794" s="2">
        <v>6</v>
      </c>
    </row>
    <row r="795" spans="1:22" x14ac:dyDescent="0.25">
      <c r="A795" t="s">
        <v>863</v>
      </c>
      <c r="B795" s="1">
        <v>45566</v>
      </c>
      <c r="C795">
        <v>580</v>
      </c>
      <c r="D795" t="s">
        <v>148</v>
      </c>
      <c r="E795" t="s">
        <v>45</v>
      </c>
      <c r="F795" t="s">
        <v>25</v>
      </c>
      <c r="G795" t="s">
        <v>33</v>
      </c>
      <c r="H795" t="s">
        <v>34</v>
      </c>
      <c r="I795" t="s">
        <v>83</v>
      </c>
      <c r="J795" t="s">
        <v>40</v>
      </c>
      <c r="K795">
        <v>862</v>
      </c>
      <c r="L795">
        <v>10</v>
      </c>
      <c r="M795" s="2">
        <v>88</v>
      </c>
      <c r="N795" s="2">
        <v>36</v>
      </c>
      <c r="O795" s="2">
        <v>22</v>
      </c>
      <c r="P795" s="2">
        <v>30</v>
      </c>
      <c r="Q795" s="3">
        <v>0.34089999999999998</v>
      </c>
      <c r="R795" s="2">
        <v>100</v>
      </c>
      <c r="S795" s="2">
        <v>40</v>
      </c>
      <c r="T795" s="2">
        <v>40</v>
      </c>
      <c r="U795" s="3">
        <v>0.4</v>
      </c>
      <c r="V795" s="2">
        <v>-10</v>
      </c>
    </row>
    <row r="796" spans="1:22" x14ac:dyDescent="0.25">
      <c r="A796" t="s">
        <v>864</v>
      </c>
      <c r="B796" s="1">
        <v>45566</v>
      </c>
      <c r="C796">
        <v>475</v>
      </c>
      <c r="D796" t="s">
        <v>135</v>
      </c>
      <c r="E796" t="s">
        <v>79</v>
      </c>
      <c r="F796" t="s">
        <v>25</v>
      </c>
      <c r="G796" t="s">
        <v>26</v>
      </c>
      <c r="H796" t="s">
        <v>38</v>
      </c>
      <c r="I796" t="s">
        <v>66</v>
      </c>
      <c r="J796" t="s">
        <v>40</v>
      </c>
      <c r="K796">
        <v>1075</v>
      </c>
      <c r="L796">
        <v>19</v>
      </c>
      <c r="M796" s="2">
        <v>139</v>
      </c>
      <c r="N796" s="2">
        <v>63</v>
      </c>
      <c r="O796" s="2">
        <v>40</v>
      </c>
      <c r="P796" s="2">
        <v>36</v>
      </c>
      <c r="Q796" s="3">
        <v>0.25900000000000001</v>
      </c>
      <c r="R796" s="2">
        <v>100</v>
      </c>
      <c r="S796" s="2">
        <v>40</v>
      </c>
      <c r="T796" s="2">
        <v>40</v>
      </c>
      <c r="U796" s="3">
        <v>0.4</v>
      </c>
      <c r="V796" s="2">
        <v>-4</v>
      </c>
    </row>
    <row r="797" spans="1:22" x14ac:dyDescent="0.25">
      <c r="A797" t="s">
        <v>865</v>
      </c>
      <c r="B797" s="1">
        <v>45566</v>
      </c>
      <c r="C797">
        <v>435</v>
      </c>
      <c r="D797" t="s">
        <v>95</v>
      </c>
      <c r="E797" t="s">
        <v>53</v>
      </c>
      <c r="F797" t="s">
        <v>25</v>
      </c>
      <c r="G797" t="s">
        <v>26</v>
      </c>
      <c r="H797" t="s">
        <v>27</v>
      </c>
      <c r="I797" t="s">
        <v>42</v>
      </c>
      <c r="J797" t="s">
        <v>29</v>
      </c>
      <c r="K797">
        <v>256</v>
      </c>
      <c r="L797">
        <v>12</v>
      </c>
      <c r="M797" s="2">
        <v>95</v>
      </c>
      <c r="N797" s="2">
        <v>38</v>
      </c>
      <c r="O797" s="2">
        <v>39</v>
      </c>
      <c r="P797" s="2">
        <v>18</v>
      </c>
      <c r="Q797" s="3">
        <v>0.1895</v>
      </c>
      <c r="R797" s="2">
        <v>60</v>
      </c>
      <c r="S797" s="2">
        <v>20</v>
      </c>
      <c r="T797" s="2">
        <v>10</v>
      </c>
      <c r="U797" s="3">
        <v>0.16669999999999999</v>
      </c>
      <c r="V797" s="2">
        <v>8</v>
      </c>
    </row>
    <row r="798" spans="1:22" x14ac:dyDescent="0.25">
      <c r="A798" t="s">
        <v>866</v>
      </c>
      <c r="B798" s="1">
        <v>45567</v>
      </c>
      <c r="C798">
        <v>541</v>
      </c>
      <c r="D798" t="s">
        <v>71</v>
      </c>
      <c r="E798" t="s">
        <v>53</v>
      </c>
      <c r="F798" t="s">
        <v>25</v>
      </c>
      <c r="G798" t="s">
        <v>26</v>
      </c>
      <c r="H798" t="s">
        <v>38</v>
      </c>
      <c r="I798" t="s">
        <v>39</v>
      </c>
      <c r="J798" t="s">
        <v>40</v>
      </c>
      <c r="K798">
        <v>829</v>
      </c>
      <c r="L798">
        <v>6</v>
      </c>
      <c r="M798" s="2">
        <v>60</v>
      </c>
      <c r="N798" s="2">
        <v>24</v>
      </c>
      <c r="O798" s="2">
        <v>17</v>
      </c>
      <c r="P798" s="2">
        <v>19</v>
      </c>
      <c r="Q798" s="3">
        <v>0.31669999999999998</v>
      </c>
      <c r="R798" s="2">
        <v>50</v>
      </c>
      <c r="S798" s="2">
        <v>20</v>
      </c>
      <c r="T798" s="2">
        <v>20</v>
      </c>
      <c r="U798" s="3">
        <v>0.4</v>
      </c>
      <c r="V798" s="2">
        <v>-1</v>
      </c>
    </row>
    <row r="799" spans="1:22" x14ac:dyDescent="0.25">
      <c r="A799" t="s">
        <v>867</v>
      </c>
      <c r="B799" s="1">
        <v>45567</v>
      </c>
      <c r="C799">
        <v>718</v>
      </c>
      <c r="D799" t="s">
        <v>99</v>
      </c>
      <c r="E799" t="s">
        <v>79</v>
      </c>
      <c r="F799" t="s">
        <v>32</v>
      </c>
      <c r="G799" t="s">
        <v>26</v>
      </c>
      <c r="H799" t="s">
        <v>27</v>
      </c>
      <c r="I799" t="s">
        <v>28</v>
      </c>
      <c r="J799" t="s">
        <v>29</v>
      </c>
      <c r="K799">
        <v>1003</v>
      </c>
      <c r="L799">
        <v>24</v>
      </c>
      <c r="M799" s="2">
        <v>224</v>
      </c>
      <c r="N799" s="2">
        <v>86</v>
      </c>
      <c r="O799" s="2">
        <v>35</v>
      </c>
      <c r="P799" s="2">
        <v>132</v>
      </c>
      <c r="Q799" s="3">
        <v>0.58930000000000005</v>
      </c>
      <c r="R799" s="2">
        <v>210</v>
      </c>
      <c r="S799" s="2">
        <v>90</v>
      </c>
      <c r="T799" s="2">
        <v>90</v>
      </c>
      <c r="U799" s="3">
        <v>0.42859999999999998</v>
      </c>
      <c r="V799" s="2">
        <v>42</v>
      </c>
    </row>
    <row r="800" spans="1:22" x14ac:dyDescent="0.25">
      <c r="A800" t="s">
        <v>868</v>
      </c>
      <c r="B800" s="1">
        <v>45568</v>
      </c>
      <c r="C800">
        <v>303</v>
      </c>
      <c r="D800" t="s">
        <v>31</v>
      </c>
      <c r="E800" t="s">
        <v>24</v>
      </c>
      <c r="F800" t="s">
        <v>32</v>
      </c>
      <c r="G800" t="s">
        <v>26</v>
      </c>
      <c r="H800" t="s">
        <v>27</v>
      </c>
      <c r="I800" t="s">
        <v>28</v>
      </c>
      <c r="J800" t="s">
        <v>29</v>
      </c>
      <c r="K800">
        <v>404</v>
      </c>
      <c r="L800">
        <v>20</v>
      </c>
      <c r="M800" s="2">
        <v>120</v>
      </c>
      <c r="N800" s="2">
        <v>54</v>
      </c>
      <c r="O800" s="2">
        <v>53</v>
      </c>
      <c r="P800" s="2">
        <v>13</v>
      </c>
      <c r="Q800" s="3">
        <v>0.10829999999999999</v>
      </c>
      <c r="R800" s="2">
        <v>80</v>
      </c>
      <c r="S800" s="2">
        <v>30</v>
      </c>
      <c r="T800" s="2">
        <v>30</v>
      </c>
      <c r="U800" s="3">
        <v>0.375</v>
      </c>
      <c r="V800" s="2">
        <v>-17</v>
      </c>
    </row>
    <row r="801" spans="1:22" x14ac:dyDescent="0.25">
      <c r="A801" t="s">
        <v>869</v>
      </c>
      <c r="B801" s="1">
        <v>45568</v>
      </c>
      <c r="C801">
        <v>775</v>
      </c>
      <c r="D801" t="s">
        <v>65</v>
      </c>
      <c r="E801" t="s">
        <v>53</v>
      </c>
      <c r="F801" t="s">
        <v>25</v>
      </c>
      <c r="G801" t="s">
        <v>33</v>
      </c>
      <c r="H801" t="s">
        <v>34</v>
      </c>
      <c r="I801" t="s">
        <v>50</v>
      </c>
      <c r="J801" t="s">
        <v>29</v>
      </c>
      <c r="K801">
        <v>243</v>
      </c>
      <c r="L801">
        <v>12</v>
      </c>
      <c r="M801" s="2">
        <v>74</v>
      </c>
      <c r="N801" s="2">
        <v>33</v>
      </c>
      <c r="O801" s="2">
        <v>45</v>
      </c>
      <c r="P801" s="2">
        <v>-4</v>
      </c>
      <c r="Q801" s="3">
        <v>-5.4100000000000002E-2</v>
      </c>
      <c r="R801" s="2">
        <v>80</v>
      </c>
      <c r="S801" s="2">
        <v>30</v>
      </c>
      <c r="T801" s="2">
        <v>10</v>
      </c>
      <c r="U801" s="3">
        <v>0.125</v>
      </c>
      <c r="V801" s="2">
        <v>-14</v>
      </c>
    </row>
    <row r="802" spans="1:22" x14ac:dyDescent="0.25">
      <c r="A802" t="s">
        <v>870</v>
      </c>
      <c r="B802" s="1">
        <v>45568</v>
      </c>
      <c r="C802">
        <v>716</v>
      </c>
      <c r="D802" t="s">
        <v>99</v>
      </c>
      <c r="E802" t="s">
        <v>79</v>
      </c>
      <c r="F802" t="s">
        <v>32</v>
      </c>
      <c r="G802" t="s">
        <v>26</v>
      </c>
      <c r="H802" t="s">
        <v>27</v>
      </c>
      <c r="I802" t="s">
        <v>42</v>
      </c>
      <c r="J802" t="s">
        <v>29</v>
      </c>
      <c r="K802">
        <v>915</v>
      </c>
      <c r="L802">
        <v>34</v>
      </c>
      <c r="M802" s="2">
        <v>302</v>
      </c>
      <c r="N802" s="2">
        <v>123</v>
      </c>
      <c r="O802" s="2">
        <v>45</v>
      </c>
      <c r="P802" s="2">
        <v>134</v>
      </c>
      <c r="Q802" s="3">
        <v>0.44369999999999998</v>
      </c>
      <c r="R802" s="2">
        <v>320</v>
      </c>
      <c r="S802" s="2">
        <v>130</v>
      </c>
      <c r="T802" s="2">
        <v>160</v>
      </c>
      <c r="U802" s="3">
        <v>0.5</v>
      </c>
      <c r="V802" s="2">
        <v>-26</v>
      </c>
    </row>
    <row r="803" spans="1:22" x14ac:dyDescent="0.25">
      <c r="A803" t="s">
        <v>871</v>
      </c>
      <c r="B803" s="1">
        <v>45568</v>
      </c>
      <c r="C803">
        <v>702</v>
      </c>
      <c r="D803" t="s">
        <v>65</v>
      </c>
      <c r="E803" t="s">
        <v>53</v>
      </c>
      <c r="F803" t="s">
        <v>25</v>
      </c>
      <c r="G803" t="s">
        <v>26</v>
      </c>
      <c r="H803" t="s">
        <v>27</v>
      </c>
      <c r="I803" t="s">
        <v>28</v>
      </c>
      <c r="J803" t="s">
        <v>29</v>
      </c>
      <c r="K803">
        <v>1691</v>
      </c>
      <c r="L803">
        <v>75</v>
      </c>
      <c r="M803" s="2">
        <v>532</v>
      </c>
      <c r="N803" s="2">
        <v>228</v>
      </c>
      <c r="O803" s="2">
        <v>108</v>
      </c>
      <c r="P803" s="2">
        <v>196</v>
      </c>
      <c r="Q803" s="3">
        <v>0.36840000000000001</v>
      </c>
      <c r="R803" s="2">
        <v>380</v>
      </c>
      <c r="S803" s="2">
        <v>160</v>
      </c>
      <c r="T803" s="2">
        <v>140</v>
      </c>
      <c r="U803" s="3">
        <v>0.36840000000000001</v>
      </c>
      <c r="V803" s="2">
        <v>56</v>
      </c>
    </row>
    <row r="804" spans="1:22" x14ac:dyDescent="0.25">
      <c r="A804" t="s">
        <v>872</v>
      </c>
      <c r="B804" s="1">
        <v>45570</v>
      </c>
      <c r="C804">
        <v>970</v>
      </c>
      <c r="D804" t="s">
        <v>31</v>
      </c>
      <c r="E804" t="s">
        <v>24</v>
      </c>
      <c r="F804" t="s">
        <v>32</v>
      </c>
      <c r="G804" t="s">
        <v>26</v>
      </c>
      <c r="H804" t="s">
        <v>38</v>
      </c>
      <c r="I804" t="s">
        <v>66</v>
      </c>
      <c r="J804" t="s">
        <v>40</v>
      </c>
      <c r="K804">
        <v>405</v>
      </c>
      <c r="L804">
        <v>17</v>
      </c>
      <c r="M804" s="2">
        <v>123</v>
      </c>
      <c r="N804" s="2">
        <v>52</v>
      </c>
      <c r="O804" s="2">
        <v>45</v>
      </c>
      <c r="P804" s="2">
        <v>26</v>
      </c>
      <c r="Q804" s="3">
        <v>0.2114</v>
      </c>
      <c r="R804" s="2">
        <v>90</v>
      </c>
      <c r="S804" s="2">
        <v>30</v>
      </c>
      <c r="T804" s="2">
        <v>50</v>
      </c>
      <c r="U804" s="3">
        <v>0.55559999999999998</v>
      </c>
      <c r="V804" s="2">
        <v>-24</v>
      </c>
    </row>
    <row r="805" spans="1:22" x14ac:dyDescent="0.25">
      <c r="A805" t="s">
        <v>873</v>
      </c>
      <c r="B805" s="1">
        <v>45570</v>
      </c>
      <c r="C805">
        <v>573</v>
      </c>
      <c r="D805" t="s">
        <v>58</v>
      </c>
      <c r="E805" t="s">
        <v>24</v>
      </c>
      <c r="F805" t="s">
        <v>25</v>
      </c>
      <c r="G805" t="s">
        <v>26</v>
      </c>
      <c r="H805" t="s">
        <v>38</v>
      </c>
      <c r="I805" t="s">
        <v>46</v>
      </c>
      <c r="J805" t="s">
        <v>40</v>
      </c>
      <c r="K805">
        <v>1804</v>
      </c>
      <c r="L805">
        <v>25</v>
      </c>
      <c r="M805" s="2">
        <v>122</v>
      </c>
      <c r="N805" s="2">
        <v>82</v>
      </c>
      <c r="O805" s="2">
        <v>49</v>
      </c>
      <c r="P805" s="2">
        <v>-9</v>
      </c>
      <c r="Q805" s="3">
        <v>-7.3800000000000004E-2</v>
      </c>
      <c r="R805" s="2">
        <v>110</v>
      </c>
      <c r="S805" s="2">
        <v>70</v>
      </c>
      <c r="T805" s="2">
        <v>0</v>
      </c>
      <c r="U805" s="3">
        <v>0</v>
      </c>
      <c r="V805" s="2">
        <v>-9</v>
      </c>
    </row>
    <row r="806" spans="1:22" x14ac:dyDescent="0.25">
      <c r="A806" t="s">
        <v>874</v>
      </c>
      <c r="B806" s="1">
        <v>45570</v>
      </c>
      <c r="C806">
        <v>603</v>
      </c>
      <c r="D806" t="s">
        <v>109</v>
      </c>
      <c r="E806" t="s">
        <v>79</v>
      </c>
      <c r="F806" t="s">
        <v>25</v>
      </c>
      <c r="G806" t="s">
        <v>26</v>
      </c>
      <c r="H806" t="s">
        <v>27</v>
      </c>
      <c r="I806" t="s">
        <v>28</v>
      </c>
      <c r="J806" t="s">
        <v>29</v>
      </c>
      <c r="K806">
        <v>846</v>
      </c>
      <c r="L806">
        <v>5</v>
      </c>
      <c r="M806" s="2">
        <v>52</v>
      </c>
      <c r="N806" s="2">
        <v>21</v>
      </c>
      <c r="O806" s="2">
        <v>17</v>
      </c>
      <c r="P806" s="2">
        <v>14</v>
      </c>
      <c r="Q806" s="3">
        <v>0.26919999999999999</v>
      </c>
      <c r="R806" s="2">
        <v>50</v>
      </c>
      <c r="S806" s="2">
        <v>20</v>
      </c>
      <c r="T806" s="2">
        <v>30</v>
      </c>
      <c r="U806" s="3">
        <v>0.6</v>
      </c>
      <c r="V806" s="2">
        <v>-16</v>
      </c>
    </row>
    <row r="807" spans="1:22" x14ac:dyDescent="0.25">
      <c r="A807" t="s">
        <v>875</v>
      </c>
      <c r="B807" s="1">
        <v>45570</v>
      </c>
      <c r="C807">
        <v>707</v>
      </c>
      <c r="D807" t="s">
        <v>62</v>
      </c>
      <c r="E807" t="s">
        <v>53</v>
      </c>
      <c r="F807" t="s">
        <v>32</v>
      </c>
      <c r="G807" t="s">
        <v>33</v>
      </c>
      <c r="H807" t="s">
        <v>54</v>
      </c>
      <c r="I807" t="s">
        <v>55</v>
      </c>
      <c r="J807" t="s">
        <v>40</v>
      </c>
      <c r="K807">
        <v>1691</v>
      </c>
      <c r="L807">
        <v>75</v>
      </c>
      <c r="M807" s="2">
        <v>532</v>
      </c>
      <c r="N807" s="2">
        <v>228</v>
      </c>
      <c r="O807" s="2">
        <v>107</v>
      </c>
      <c r="P807" s="2">
        <v>197</v>
      </c>
      <c r="Q807" s="3">
        <v>0.37030000000000002</v>
      </c>
      <c r="R807" s="2">
        <v>510</v>
      </c>
      <c r="S807" s="2">
        <v>220</v>
      </c>
      <c r="T807" s="2">
        <v>190</v>
      </c>
      <c r="U807" s="3">
        <v>0.3725</v>
      </c>
      <c r="V807" s="2">
        <v>7</v>
      </c>
    </row>
    <row r="808" spans="1:22" x14ac:dyDescent="0.25">
      <c r="A808" t="s">
        <v>876</v>
      </c>
      <c r="B808" s="1">
        <v>45570</v>
      </c>
      <c r="C808">
        <v>503</v>
      </c>
      <c r="D808" t="s">
        <v>71</v>
      </c>
      <c r="E808" t="s">
        <v>53</v>
      </c>
      <c r="F808" t="s">
        <v>25</v>
      </c>
      <c r="G808" t="s">
        <v>33</v>
      </c>
      <c r="H808" t="s">
        <v>54</v>
      </c>
      <c r="I808" t="s">
        <v>55</v>
      </c>
      <c r="J808" t="s">
        <v>40</v>
      </c>
      <c r="K808">
        <v>1283</v>
      </c>
      <c r="L808">
        <v>50</v>
      </c>
      <c r="M808" s="2">
        <v>363</v>
      </c>
      <c r="N808" s="2">
        <v>181</v>
      </c>
      <c r="O808" s="2">
        <v>74</v>
      </c>
      <c r="P808" s="2">
        <v>108</v>
      </c>
      <c r="Q808" s="3">
        <v>0.29749999999999999</v>
      </c>
      <c r="R808" s="2">
        <v>350</v>
      </c>
      <c r="S808" s="2">
        <v>170</v>
      </c>
      <c r="T808" s="2">
        <v>120</v>
      </c>
      <c r="U808" s="3">
        <v>0.34289999999999998</v>
      </c>
      <c r="V808" s="2">
        <v>-12</v>
      </c>
    </row>
    <row r="809" spans="1:22" x14ac:dyDescent="0.25">
      <c r="A809" t="s">
        <v>877</v>
      </c>
      <c r="B809" s="1">
        <v>45571</v>
      </c>
      <c r="C809">
        <v>971</v>
      </c>
      <c r="D809" t="s">
        <v>71</v>
      </c>
      <c r="E809" t="s">
        <v>53</v>
      </c>
      <c r="F809" t="s">
        <v>25</v>
      </c>
      <c r="G809" t="s">
        <v>26</v>
      </c>
      <c r="H809" t="s">
        <v>27</v>
      </c>
      <c r="I809" t="s">
        <v>59</v>
      </c>
      <c r="J809" t="s">
        <v>29</v>
      </c>
      <c r="K809">
        <v>656</v>
      </c>
      <c r="L809">
        <v>28</v>
      </c>
      <c r="M809" s="2">
        <v>218</v>
      </c>
      <c r="N809" s="2">
        <v>91</v>
      </c>
      <c r="O809" s="2">
        <v>51</v>
      </c>
      <c r="P809" s="2">
        <v>76</v>
      </c>
      <c r="Q809" s="3">
        <v>0.34860000000000002</v>
      </c>
      <c r="R809" s="2">
        <v>100</v>
      </c>
      <c r="S809" s="2">
        <v>40</v>
      </c>
      <c r="T809" s="2">
        <v>50</v>
      </c>
      <c r="U809" s="3">
        <v>0.5</v>
      </c>
      <c r="V809" s="2">
        <v>26</v>
      </c>
    </row>
    <row r="810" spans="1:22" x14ac:dyDescent="0.25">
      <c r="A810" t="s">
        <v>878</v>
      </c>
      <c r="B810" s="1">
        <v>45571</v>
      </c>
      <c r="C810">
        <v>435</v>
      </c>
      <c r="D810" t="s">
        <v>95</v>
      </c>
      <c r="E810" t="s">
        <v>53</v>
      </c>
      <c r="F810" t="s">
        <v>25</v>
      </c>
      <c r="G810" t="s">
        <v>33</v>
      </c>
      <c r="H810" t="s">
        <v>54</v>
      </c>
      <c r="I810" t="s">
        <v>55</v>
      </c>
      <c r="J810" t="s">
        <v>40</v>
      </c>
      <c r="K810">
        <v>885</v>
      </c>
      <c r="L810">
        <v>15</v>
      </c>
      <c r="M810" s="2">
        <v>132</v>
      </c>
      <c r="N810" s="2">
        <v>54</v>
      </c>
      <c r="O810" s="2">
        <v>26</v>
      </c>
      <c r="P810" s="2">
        <v>52</v>
      </c>
      <c r="Q810" s="3">
        <v>0.39389999999999997</v>
      </c>
      <c r="R810" s="2">
        <v>120</v>
      </c>
      <c r="S810" s="2">
        <v>50</v>
      </c>
      <c r="T810" s="2">
        <v>50</v>
      </c>
      <c r="U810" s="3">
        <v>0.41670000000000001</v>
      </c>
      <c r="V810" s="2">
        <v>2</v>
      </c>
    </row>
    <row r="811" spans="1:22" x14ac:dyDescent="0.25">
      <c r="A811" t="s">
        <v>879</v>
      </c>
      <c r="B811" s="1">
        <v>45571</v>
      </c>
      <c r="C811">
        <v>475</v>
      </c>
      <c r="D811" t="s">
        <v>135</v>
      </c>
      <c r="E811" t="s">
        <v>79</v>
      </c>
      <c r="F811" t="s">
        <v>25</v>
      </c>
      <c r="G811" t="s">
        <v>26</v>
      </c>
      <c r="H811" t="s">
        <v>38</v>
      </c>
      <c r="I811" t="s">
        <v>46</v>
      </c>
      <c r="J811" t="s">
        <v>40</v>
      </c>
      <c r="K811">
        <v>601</v>
      </c>
      <c r="L811">
        <v>31</v>
      </c>
      <c r="M811" s="2">
        <v>196</v>
      </c>
      <c r="N811" s="2">
        <v>82</v>
      </c>
      <c r="O811" s="2">
        <v>64</v>
      </c>
      <c r="P811" s="2">
        <v>56</v>
      </c>
      <c r="Q811" s="3">
        <v>0.28570000000000001</v>
      </c>
      <c r="R811" s="2">
        <v>130</v>
      </c>
      <c r="S811" s="2">
        <v>60</v>
      </c>
      <c r="T811" s="2">
        <v>30</v>
      </c>
      <c r="U811" s="3">
        <v>0.23080000000000001</v>
      </c>
      <c r="V811" s="2">
        <v>26</v>
      </c>
    </row>
    <row r="812" spans="1:22" x14ac:dyDescent="0.25">
      <c r="A812" t="s">
        <v>880</v>
      </c>
      <c r="B812" s="1">
        <v>45571</v>
      </c>
      <c r="C812">
        <v>405</v>
      </c>
      <c r="D812" t="s">
        <v>148</v>
      </c>
      <c r="E812" t="s">
        <v>45</v>
      </c>
      <c r="F812" t="s">
        <v>25</v>
      </c>
      <c r="G812" t="s">
        <v>33</v>
      </c>
      <c r="H812" t="s">
        <v>34</v>
      </c>
      <c r="I812" t="s">
        <v>50</v>
      </c>
      <c r="J812" t="s">
        <v>29</v>
      </c>
      <c r="K812">
        <v>551</v>
      </c>
      <c r="L812">
        <v>26</v>
      </c>
      <c r="M812" s="2">
        <v>185</v>
      </c>
      <c r="N812" s="2">
        <v>81</v>
      </c>
      <c r="O812" s="2">
        <v>38</v>
      </c>
      <c r="P812" s="2">
        <v>66</v>
      </c>
      <c r="Q812" s="3">
        <v>0.35680000000000001</v>
      </c>
      <c r="R812" s="2">
        <v>220</v>
      </c>
      <c r="S812" s="2">
        <v>90</v>
      </c>
      <c r="T812" s="2">
        <v>100</v>
      </c>
      <c r="U812" s="3">
        <v>0.45450000000000002</v>
      </c>
      <c r="V812" s="2">
        <v>-34</v>
      </c>
    </row>
    <row r="813" spans="1:22" x14ac:dyDescent="0.25">
      <c r="A813" t="s">
        <v>881</v>
      </c>
      <c r="B813" s="1">
        <v>45571</v>
      </c>
      <c r="C813">
        <v>815</v>
      </c>
      <c r="D813" t="s">
        <v>37</v>
      </c>
      <c r="E813" t="s">
        <v>24</v>
      </c>
      <c r="F813" t="s">
        <v>32</v>
      </c>
      <c r="G813" t="s">
        <v>33</v>
      </c>
      <c r="H813" t="s">
        <v>34</v>
      </c>
      <c r="I813" t="s">
        <v>83</v>
      </c>
      <c r="J813" t="s">
        <v>40</v>
      </c>
      <c r="K813">
        <v>803</v>
      </c>
      <c r="L813">
        <v>36</v>
      </c>
      <c r="M813" s="2">
        <v>278</v>
      </c>
      <c r="N813" s="2">
        <v>113</v>
      </c>
      <c r="O813" s="2">
        <v>59</v>
      </c>
      <c r="P813" s="2">
        <v>106</v>
      </c>
      <c r="Q813" s="3">
        <v>0.38129999999999997</v>
      </c>
      <c r="R813" s="2">
        <v>270</v>
      </c>
      <c r="S813" s="2">
        <v>110</v>
      </c>
      <c r="T813" s="2">
        <v>110</v>
      </c>
      <c r="U813" s="3">
        <v>0.40739999999999998</v>
      </c>
      <c r="V813" s="2">
        <v>-4</v>
      </c>
    </row>
    <row r="814" spans="1:22" x14ac:dyDescent="0.25">
      <c r="A814" t="s">
        <v>882</v>
      </c>
      <c r="B814" s="1">
        <v>45571</v>
      </c>
      <c r="C814">
        <v>916</v>
      </c>
      <c r="D814" t="s">
        <v>62</v>
      </c>
      <c r="E814" t="s">
        <v>53</v>
      </c>
      <c r="F814" t="s">
        <v>32</v>
      </c>
      <c r="G814" t="s">
        <v>33</v>
      </c>
      <c r="H814" t="s">
        <v>34</v>
      </c>
      <c r="I814" t="s">
        <v>35</v>
      </c>
      <c r="J814" t="s">
        <v>29</v>
      </c>
      <c r="K814">
        <v>2758</v>
      </c>
      <c r="L814">
        <v>36</v>
      </c>
      <c r="M814" s="2">
        <v>124</v>
      </c>
      <c r="N814" s="2">
        <v>113</v>
      </c>
      <c r="O814" s="2">
        <v>59</v>
      </c>
      <c r="P814" s="2">
        <v>-83</v>
      </c>
      <c r="Q814" s="3">
        <v>-0.6694</v>
      </c>
      <c r="R814" s="2">
        <v>130</v>
      </c>
      <c r="S814" s="2">
        <v>130</v>
      </c>
      <c r="T814" s="2">
        <v>-50</v>
      </c>
      <c r="U814" s="3">
        <v>-0.3846</v>
      </c>
      <c r="V814" s="2">
        <v>-33</v>
      </c>
    </row>
    <row r="815" spans="1:22" x14ac:dyDescent="0.25">
      <c r="A815" t="s">
        <v>883</v>
      </c>
      <c r="B815" s="1">
        <v>45572</v>
      </c>
      <c r="C815">
        <v>234</v>
      </c>
      <c r="D815" t="s">
        <v>85</v>
      </c>
      <c r="E815" t="s">
        <v>24</v>
      </c>
      <c r="F815" t="s">
        <v>32</v>
      </c>
      <c r="G815" t="s">
        <v>33</v>
      </c>
      <c r="H815" t="s">
        <v>54</v>
      </c>
      <c r="I815" t="s">
        <v>68</v>
      </c>
      <c r="J815" t="s">
        <v>29</v>
      </c>
      <c r="K815">
        <v>1283</v>
      </c>
      <c r="L815">
        <v>50</v>
      </c>
      <c r="M815" s="2">
        <v>387</v>
      </c>
      <c r="N815" s="2">
        <v>181</v>
      </c>
      <c r="O815" s="2">
        <v>75</v>
      </c>
      <c r="P815" s="2">
        <v>159</v>
      </c>
      <c r="Q815" s="3">
        <v>0.41089999999999999</v>
      </c>
      <c r="R815" s="2">
        <v>460</v>
      </c>
      <c r="S815" s="2">
        <v>230</v>
      </c>
      <c r="T815" s="2">
        <v>170</v>
      </c>
      <c r="U815" s="3">
        <v>0.36959999999999998</v>
      </c>
      <c r="V815" s="2">
        <v>-11</v>
      </c>
    </row>
    <row r="816" spans="1:22" x14ac:dyDescent="0.25">
      <c r="A816" t="s">
        <v>884</v>
      </c>
      <c r="B816" s="1">
        <v>45572</v>
      </c>
      <c r="C816">
        <v>415</v>
      </c>
      <c r="D816" t="s">
        <v>62</v>
      </c>
      <c r="E816" t="s">
        <v>53</v>
      </c>
      <c r="F816" t="s">
        <v>32</v>
      </c>
      <c r="G816" t="s">
        <v>26</v>
      </c>
      <c r="H816" t="s">
        <v>38</v>
      </c>
      <c r="I816" t="s">
        <v>46</v>
      </c>
      <c r="J816" t="s">
        <v>40</v>
      </c>
      <c r="K816">
        <v>1321</v>
      </c>
      <c r="L816">
        <v>74</v>
      </c>
      <c r="M816" s="2">
        <v>525</v>
      </c>
      <c r="N816" s="2">
        <v>241</v>
      </c>
      <c r="O816" s="2">
        <v>96</v>
      </c>
      <c r="P816" s="2">
        <v>188</v>
      </c>
      <c r="Q816" s="3">
        <v>0.35809999999999997</v>
      </c>
      <c r="R816" s="2">
        <v>480</v>
      </c>
      <c r="S816" s="2">
        <v>220</v>
      </c>
      <c r="T816" s="2">
        <v>170</v>
      </c>
      <c r="U816" s="3">
        <v>0.35420000000000001</v>
      </c>
      <c r="V816" s="2">
        <v>18</v>
      </c>
    </row>
    <row r="817" spans="1:22" x14ac:dyDescent="0.25">
      <c r="A817" t="s">
        <v>885</v>
      </c>
      <c r="B817" s="1">
        <v>45572</v>
      </c>
      <c r="C817">
        <v>775</v>
      </c>
      <c r="D817" t="s">
        <v>65</v>
      </c>
      <c r="E817" t="s">
        <v>53</v>
      </c>
      <c r="F817" t="s">
        <v>25</v>
      </c>
      <c r="G817" t="s">
        <v>26</v>
      </c>
      <c r="H817" t="s">
        <v>38</v>
      </c>
      <c r="I817" t="s">
        <v>46</v>
      </c>
      <c r="J817" t="s">
        <v>40</v>
      </c>
      <c r="K817">
        <v>1191</v>
      </c>
      <c r="L817">
        <v>73</v>
      </c>
      <c r="M817" s="2">
        <v>534</v>
      </c>
      <c r="N817" s="2">
        <v>224</v>
      </c>
      <c r="O817" s="2">
        <v>116</v>
      </c>
      <c r="P817" s="2">
        <v>194</v>
      </c>
      <c r="Q817" s="3">
        <v>0.36330000000000001</v>
      </c>
      <c r="R817" s="2">
        <v>490</v>
      </c>
      <c r="S817" s="2">
        <v>210</v>
      </c>
      <c r="T817" s="2">
        <v>170</v>
      </c>
      <c r="U817" s="3">
        <v>0.34689999999999999</v>
      </c>
      <c r="V817" s="2">
        <v>24</v>
      </c>
    </row>
    <row r="818" spans="1:22" x14ac:dyDescent="0.25">
      <c r="A818" t="s">
        <v>886</v>
      </c>
      <c r="B818" s="1">
        <v>45574</v>
      </c>
      <c r="C818">
        <v>503</v>
      </c>
      <c r="D818" t="s">
        <v>71</v>
      </c>
      <c r="E818" t="s">
        <v>53</v>
      </c>
      <c r="F818" t="s">
        <v>25</v>
      </c>
      <c r="G818" t="s">
        <v>33</v>
      </c>
      <c r="H818" t="s">
        <v>54</v>
      </c>
      <c r="I818" t="s">
        <v>68</v>
      </c>
      <c r="J818" t="s">
        <v>29</v>
      </c>
      <c r="K818">
        <v>411</v>
      </c>
      <c r="L818">
        <v>19</v>
      </c>
      <c r="M818" s="2">
        <v>138</v>
      </c>
      <c r="N818" s="2">
        <v>59</v>
      </c>
      <c r="O818" s="2">
        <v>46</v>
      </c>
      <c r="P818" s="2">
        <v>33</v>
      </c>
      <c r="Q818" s="3">
        <v>0.23910000000000001</v>
      </c>
      <c r="R818" s="2">
        <v>130</v>
      </c>
      <c r="S818" s="2">
        <v>50</v>
      </c>
      <c r="T818" s="2">
        <v>50</v>
      </c>
      <c r="U818" s="3">
        <v>0.3846</v>
      </c>
      <c r="V818" s="2">
        <v>-17</v>
      </c>
    </row>
    <row r="819" spans="1:22" x14ac:dyDescent="0.25">
      <c r="A819" t="s">
        <v>887</v>
      </c>
      <c r="B819" s="1">
        <v>45574</v>
      </c>
      <c r="C819">
        <v>419</v>
      </c>
      <c r="D819" t="s">
        <v>85</v>
      </c>
      <c r="E819" t="s">
        <v>24</v>
      </c>
      <c r="F819" t="s">
        <v>32</v>
      </c>
      <c r="G819" t="s">
        <v>33</v>
      </c>
      <c r="H819" t="s">
        <v>54</v>
      </c>
      <c r="I819" t="s">
        <v>55</v>
      </c>
      <c r="J819" t="s">
        <v>40</v>
      </c>
      <c r="K819">
        <v>422</v>
      </c>
      <c r="L819">
        <v>17</v>
      </c>
      <c r="M819" s="2">
        <v>110</v>
      </c>
      <c r="N819" s="2">
        <v>46</v>
      </c>
      <c r="O819" s="2">
        <v>51</v>
      </c>
      <c r="P819" s="2">
        <v>9</v>
      </c>
      <c r="Q819" s="3">
        <v>8.1799999999999998E-2</v>
      </c>
      <c r="R819" s="2">
        <v>130</v>
      </c>
      <c r="S819" s="2">
        <v>50</v>
      </c>
      <c r="T819" s="2">
        <v>40</v>
      </c>
      <c r="U819" s="3">
        <v>0.30769999999999997</v>
      </c>
      <c r="V819" s="2">
        <v>-31</v>
      </c>
    </row>
    <row r="820" spans="1:22" x14ac:dyDescent="0.25">
      <c r="A820" t="s">
        <v>888</v>
      </c>
      <c r="B820" s="1">
        <v>45574</v>
      </c>
      <c r="C820">
        <v>641</v>
      </c>
      <c r="D820" t="s">
        <v>124</v>
      </c>
      <c r="E820" t="s">
        <v>24</v>
      </c>
      <c r="F820" t="s">
        <v>25</v>
      </c>
      <c r="G820" t="s">
        <v>26</v>
      </c>
      <c r="H820" t="s">
        <v>27</v>
      </c>
      <c r="I820" t="s">
        <v>42</v>
      </c>
      <c r="J820" t="s">
        <v>29</v>
      </c>
      <c r="K820">
        <v>1838</v>
      </c>
      <c r="L820">
        <v>111</v>
      </c>
      <c r="M820" s="2">
        <v>654</v>
      </c>
      <c r="N820" s="2">
        <v>294</v>
      </c>
      <c r="O820" s="2">
        <v>144</v>
      </c>
      <c r="P820" s="2">
        <v>216</v>
      </c>
      <c r="Q820" s="3">
        <v>0.33029999999999998</v>
      </c>
      <c r="R820" s="2">
        <v>540</v>
      </c>
      <c r="S820" s="2">
        <v>240</v>
      </c>
      <c r="T820" s="2">
        <v>170</v>
      </c>
      <c r="U820" s="3">
        <v>0.31480000000000002</v>
      </c>
      <c r="V820" s="2">
        <v>46</v>
      </c>
    </row>
    <row r="821" spans="1:22" x14ac:dyDescent="0.25">
      <c r="A821" t="s">
        <v>889</v>
      </c>
      <c r="B821" s="1">
        <v>45574</v>
      </c>
      <c r="C821">
        <v>213</v>
      </c>
      <c r="D821" t="s">
        <v>62</v>
      </c>
      <c r="E821" t="s">
        <v>53</v>
      </c>
      <c r="F821" t="s">
        <v>32</v>
      </c>
      <c r="G821" t="s">
        <v>33</v>
      </c>
      <c r="H821" t="s">
        <v>34</v>
      </c>
      <c r="I821" t="s">
        <v>50</v>
      </c>
      <c r="J821" t="s">
        <v>29</v>
      </c>
      <c r="K821">
        <v>2580</v>
      </c>
      <c r="L821">
        <v>87</v>
      </c>
      <c r="M821" s="2">
        <v>664</v>
      </c>
      <c r="N821" s="2">
        <v>249</v>
      </c>
      <c r="O821" s="2">
        <v>139</v>
      </c>
      <c r="P821" s="2">
        <v>349</v>
      </c>
      <c r="Q821" s="3">
        <v>0.52559999999999996</v>
      </c>
      <c r="R821" s="2">
        <v>740</v>
      </c>
      <c r="S821" s="2">
        <v>290</v>
      </c>
      <c r="T821" s="2">
        <v>310</v>
      </c>
      <c r="U821" s="3">
        <v>0.41889999999999999</v>
      </c>
      <c r="V821" s="2">
        <v>39</v>
      </c>
    </row>
    <row r="822" spans="1:22" x14ac:dyDescent="0.25">
      <c r="A822" t="s">
        <v>890</v>
      </c>
      <c r="B822" s="1">
        <v>45575</v>
      </c>
      <c r="C822">
        <v>847</v>
      </c>
      <c r="D822" t="s">
        <v>37</v>
      </c>
      <c r="E822" t="s">
        <v>24</v>
      </c>
      <c r="F822" t="s">
        <v>32</v>
      </c>
      <c r="G822" t="s">
        <v>33</v>
      </c>
      <c r="H822" t="s">
        <v>34</v>
      </c>
      <c r="I822" t="s">
        <v>83</v>
      </c>
      <c r="J822" t="s">
        <v>40</v>
      </c>
      <c r="K822">
        <v>803</v>
      </c>
      <c r="L822">
        <v>36</v>
      </c>
      <c r="M822" s="2">
        <v>296</v>
      </c>
      <c r="N822" s="2">
        <v>113</v>
      </c>
      <c r="O822" s="2">
        <v>59</v>
      </c>
      <c r="P822" s="2">
        <v>157</v>
      </c>
      <c r="Q822" s="3">
        <v>0.53039999999999998</v>
      </c>
      <c r="R822" s="2">
        <v>270</v>
      </c>
      <c r="S822" s="2">
        <v>110</v>
      </c>
      <c r="T822" s="2">
        <v>110</v>
      </c>
      <c r="U822" s="3">
        <v>0.40739999999999998</v>
      </c>
      <c r="V822" s="2">
        <v>47</v>
      </c>
    </row>
    <row r="823" spans="1:22" x14ac:dyDescent="0.25">
      <c r="A823" t="s">
        <v>891</v>
      </c>
      <c r="B823" s="1">
        <v>45576</v>
      </c>
      <c r="C823">
        <v>904</v>
      </c>
      <c r="D823" t="s">
        <v>117</v>
      </c>
      <c r="E823" t="s">
        <v>79</v>
      </c>
      <c r="F823" t="s">
        <v>32</v>
      </c>
      <c r="G823" t="s">
        <v>33</v>
      </c>
      <c r="H823" t="s">
        <v>34</v>
      </c>
      <c r="I823" t="s">
        <v>83</v>
      </c>
      <c r="J823" t="s">
        <v>40</v>
      </c>
      <c r="K823">
        <v>666</v>
      </c>
      <c r="L823">
        <v>31</v>
      </c>
      <c r="M823" s="2">
        <v>261</v>
      </c>
      <c r="N823" s="2">
        <v>102</v>
      </c>
      <c r="O823" s="2">
        <v>54</v>
      </c>
      <c r="P823" s="2">
        <v>132</v>
      </c>
      <c r="Q823" s="3">
        <v>0.50570000000000004</v>
      </c>
      <c r="R823" s="2">
        <v>220</v>
      </c>
      <c r="S823" s="2">
        <v>90</v>
      </c>
      <c r="T823" s="2">
        <v>90</v>
      </c>
      <c r="U823" s="3">
        <v>0.40910000000000002</v>
      </c>
      <c r="V823" s="2">
        <v>42</v>
      </c>
    </row>
    <row r="824" spans="1:22" x14ac:dyDescent="0.25">
      <c r="A824" t="s">
        <v>892</v>
      </c>
      <c r="B824" s="1">
        <v>45577</v>
      </c>
      <c r="C824">
        <v>475</v>
      </c>
      <c r="D824" t="s">
        <v>135</v>
      </c>
      <c r="E824" t="s">
        <v>79</v>
      </c>
      <c r="F824" t="s">
        <v>25</v>
      </c>
      <c r="G824" t="s">
        <v>26</v>
      </c>
      <c r="H824" t="s">
        <v>27</v>
      </c>
      <c r="I824" t="s">
        <v>28</v>
      </c>
      <c r="J824" t="s">
        <v>29</v>
      </c>
      <c r="K824">
        <v>881</v>
      </c>
      <c r="L824">
        <v>11</v>
      </c>
      <c r="M824" s="2">
        <v>106</v>
      </c>
      <c r="N824" s="2">
        <v>40</v>
      </c>
      <c r="O824" s="2">
        <v>23</v>
      </c>
      <c r="P824" s="2">
        <v>53</v>
      </c>
      <c r="Q824" s="3">
        <v>0.5</v>
      </c>
      <c r="R824" s="2">
        <v>100</v>
      </c>
      <c r="S824" s="2">
        <v>40</v>
      </c>
      <c r="T824" s="2">
        <v>50</v>
      </c>
      <c r="U824" s="3">
        <v>0.5</v>
      </c>
      <c r="V824" s="2">
        <v>3</v>
      </c>
    </row>
    <row r="825" spans="1:22" x14ac:dyDescent="0.25">
      <c r="A825" t="s">
        <v>893</v>
      </c>
      <c r="B825" s="1">
        <v>45577</v>
      </c>
      <c r="C825">
        <v>603</v>
      </c>
      <c r="D825" t="s">
        <v>109</v>
      </c>
      <c r="E825" t="s">
        <v>79</v>
      </c>
      <c r="F825" t="s">
        <v>25</v>
      </c>
      <c r="G825" t="s">
        <v>26</v>
      </c>
      <c r="H825" t="s">
        <v>27</v>
      </c>
      <c r="I825" t="s">
        <v>28</v>
      </c>
      <c r="J825" t="s">
        <v>29</v>
      </c>
      <c r="K825">
        <v>848</v>
      </c>
      <c r="L825">
        <v>4</v>
      </c>
      <c r="M825" s="2">
        <v>39</v>
      </c>
      <c r="N825" s="2">
        <v>15</v>
      </c>
      <c r="O825" s="2">
        <v>16</v>
      </c>
      <c r="P825" s="2">
        <v>8</v>
      </c>
      <c r="Q825" s="3">
        <v>0.2051</v>
      </c>
      <c r="R825" s="2">
        <v>40</v>
      </c>
      <c r="S825" s="2">
        <v>10</v>
      </c>
      <c r="T825" s="2">
        <v>20</v>
      </c>
      <c r="U825" s="3">
        <v>0.5</v>
      </c>
      <c r="V825" s="2">
        <v>-12</v>
      </c>
    </row>
    <row r="826" spans="1:22" x14ac:dyDescent="0.25">
      <c r="A826" t="s">
        <v>894</v>
      </c>
      <c r="B826" s="1">
        <v>45577</v>
      </c>
      <c r="C826">
        <v>505</v>
      </c>
      <c r="D826" t="s">
        <v>44</v>
      </c>
      <c r="E826" t="s">
        <v>45</v>
      </c>
      <c r="F826" t="s">
        <v>25</v>
      </c>
      <c r="G826" t="s">
        <v>33</v>
      </c>
      <c r="H826" t="s">
        <v>54</v>
      </c>
      <c r="I826" t="s">
        <v>72</v>
      </c>
      <c r="J826" t="s">
        <v>29</v>
      </c>
      <c r="K826">
        <v>-466</v>
      </c>
      <c r="L826">
        <v>9</v>
      </c>
      <c r="M826" s="2">
        <v>60</v>
      </c>
      <c r="N826" s="2">
        <v>25</v>
      </c>
      <c r="O826" s="2">
        <v>43</v>
      </c>
      <c r="P826" s="2">
        <v>-18</v>
      </c>
      <c r="Q826" s="3">
        <v>-0.3</v>
      </c>
      <c r="R826" s="2">
        <v>30</v>
      </c>
      <c r="S826" s="2">
        <v>10</v>
      </c>
      <c r="T826" s="2">
        <v>10</v>
      </c>
      <c r="U826" s="3">
        <v>0.33329999999999999</v>
      </c>
      <c r="V826" s="2">
        <v>-28</v>
      </c>
    </row>
    <row r="827" spans="1:22" x14ac:dyDescent="0.25">
      <c r="A827" t="s">
        <v>895</v>
      </c>
      <c r="B827" s="1">
        <v>45577</v>
      </c>
      <c r="C827">
        <v>914</v>
      </c>
      <c r="D827" t="s">
        <v>99</v>
      </c>
      <c r="E827" t="s">
        <v>79</v>
      </c>
      <c r="F827" t="s">
        <v>32</v>
      </c>
      <c r="G827" t="s">
        <v>26</v>
      </c>
      <c r="H827" t="s">
        <v>27</v>
      </c>
      <c r="I827" t="s">
        <v>42</v>
      </c>
      <c r="J827" t="s">
        <v>29</v>
      </c>
      <c r="K827">
        <v>930</v>
      </c>
      <c r="L827">
        <v>33</v>
      </c>
      <c r="M827" s="2">
        <v>309</v>
      </c>
      <c r="N827" s="2">
        <v>118</v>
      </c>
      <c r="O827" s="2">
        <v>45</v>
      </c>
      <c r="P827" s="2">
        <v>188</v>
      </c>
      <c r="Q827" s="3">
        <v>0.60840000000000005</v>
      </c>
      <c r="R827" s="2">
        <v>290</v>
      </c>
      <c r="S827" s="2">
        <v>120</v>
      </c>
      <c r="T827" s="2">
        <v>130</v>
      </c>
      <c r="U827" s="3">
        <v>0.44829999999999998</v>
      </c>
      <c r="V827" s="2">
        <v>58</v>
      </c>
    </row>
    <row r="828" spans="1:22" x14ac:dyDescent="0.25">
      <c r="A828" t="s">
        <v>896</v>
      </c>
      <c r="B828" s="1">
        <v>45577</v>
      </c>
      <c r="C828">
        <v>650</v>
      </c>
      <c r="D828" t="s">
        <v>62</v>
      </c>
      <c r="E828" t="s">
        <v>53</v>
      </c>
      <c r="F828" t="s">
        <v>32</v>
      </c>
      <c r="G828" t="s">
        <v>33</v>
      </c>
      <c r="H828" t="s">
        <v>34</v>
      </c>
      <c r="I828" t="s">
        <v>83</v>
      </c>
      <c r="J828" t="s">
        <v>40</v>
      </c>
      <c r="K828">
        <v>3654</v>
      </c>
      <c r="L828">
        <v>50</v>
      </c>
      <c r="M828" s="2">
        <v>139</v>
      </c>
      <c r="N828" s="2">
        <v>154</v>
      </c>
      <c r="O828" s="2">
        <v>93</v>
      </c>
      <c r="P828" s="2">
        <v>-174</v>
      </c>
      <c r="Q828" s="3">
        <v>-1.2518</v>
      </c>
      <c r="R828" s="2">
        <v>190</v>
      </c>
      <c r="S828" s="2">
        <v>220</v>
      </c>
      <c r="T828" s="2">
        <v>-100</v>
      </c>
      <c r="U828" s="3">
        <v>-0.52629999999999999</v>
      </c>
      <c r="V828" s="2">
        <v>-74</v>
      </c>
    </row>
    <row r="829" spans="1:22" x14ac:dyDescent="0.25">
      <c r="A829" t="s">
        <v>897</v>
      </c>
      <c r="B829" s="1">
        <v>45578</v>
      </c>
      <c r="C829">
        <v>719</v>
      </c>
      <c r="D829" t="s">
        <v>31</v>
      </c>
      <c r="E829" t="s">
        <v>24</v>
      </c>
      <c r="F829" t="s">
        <v>32</v>
      </c>
      <c r="G829" t="s">
        <v>33</v>
      </c>
      <c r="H829" t="s">
        <v>34</v>
      </c>
      <c r="I829" t="s">
        <v>50</v>
      </c>
      <c r="J829" t="s">
        <v>29</v>
      </c>
      <c r="K829">
        <v>536</v>
      </c>
      <c r="L829">
        <v>13</v>
      </c>
      <c r="M829" s="2">
        <v>98</v>
      </c>
      <c r="N829" s="2">
        <v>40</v>
      </c>
      <c r="O829" s="2">
        <v>25</v>
      </c>
      <c r="P829" s="2">
        <v>40</v>
      </c>
      <c r="Q829" s="3">
        <v>0.40820000000000001</v>
      </c>
      <c r="R829" s="2">
        <v>90</v>
      </c>
      <c r="S829" s="2">
        <v>30</v>
      </c>
      <c r="T829" s="2">
        <v>40</v>
      </c>
      <c r="U829" s="3">
        <v>0.44440000000000002</v>
      </c>
      <c r="V829" s="2">
        <v>0</v>
      </c>
    </row>
    <row r="830" spans="1:22" x14ac:dyDescent="0.25">
      <c r="A830" t="s">
        <v>898</v>
      </c>
      <c r="B830" s="1">
        <v>45578</v>
      </c>
      <c r="C830">
        <v>417</v>
      </c>
      <c r="D830" t="s">
        <v>58</v>
      </c>
      <c r="E830" t="s">
        <v>24</v>
      </c>
      <c r="F830" t="s">
        <v>25</v>
      </c>
      <c r="G830" t="s">
        <v>26</v>
      </c>
      <c r="H830" t="s">
        <v>38</v>
      </c>
      <c r="I830" t="s">
        <v>46</v>
      </c>
      <c r="J830" t="s">
        <v>40</v>
      </c>
      <c r="K830">
        <v>1898</v>
      </c>
      <c r="L830">
        <v>28</v>
      </c>
      <c r="M830" s="2">
        <v>171</v>
      </c>
      <c r="N830" s="2">
        <v>92</v>
      </c>
      <c r="O830" s="2">
        <v>52</v>
      </c>
      <c r="P830" s="2">
        <v>24</v>
      </c>
      <c r="Q830" s="3">
        <v>0.1404</v>
      </c>
      <c r="R830" s="2">
        <v>140</v>
      </c>
      <c r="S830" s="2">
        <v>80</v>
      </c>
      <c r="T830" s="2">
        <v>20</v>
      </c>
      <c r="U830" s="3">
        <v>0.1429</v>
      </c>
      <c r="V830" s="2">
        <v>4</v>
      </c>
    </row>
    <row r="831" spans="1:22" x14ac:dyDescent="0.25">
      <c r="A831" t="s">
        <v>899</v>
      </c>
      <c r="B831" s="1">
        <v>45578</v>
      </c>
      <c r="C831">
        <v>425</v>
      </c>
      <c r="D831" t="s">
        <v>52</v>
      </c>
      <c r="E831" t="s">
        <v>53</v>
      </c>
      <c r="F831" t="s">
        <v>25</v>
      </c>
      <c r="G831" t="s">
        <v>33</v>
      </c>
      <c r="H831" t="s">
        <v>54</v>
      </c>
      <c r="I831" t="s">
        <v>68</v>
      </c>
      <c r="J831" t="s">
        <v>29</v>
      </c>
      <c r="K831">
        <v>385</v>
      </c>
      <c r="L831">
        <v>21</v>
      </c>
      <c r="M831" s="2">
        <v>134</v>
      </c>
      <c r="N831" s="2">
        <v>56</v>
      </c>
      <c r="O831" s="2">
        <v>54</v>
      </c>
      <c r="P831" s="2">
        <v>24</v>
      </c>
      <c r="Q831" s="3">
        <v>0.17910000000000001</v>
      </c>
      <c r="R831" s="2">
        <v>110</v>
      </c>
      <c r="S831" s="2">
        <v>40</v>
      </c>
      <c r="T831" s="2">
        <v>50</v>
      </c>
      <c r="U831" s="3">
        <v>0.45450000000000002</v>
      </c>
      <c r="V831" s="2">
        <v>-26</v>
      </c>
    </row>
    <row r="832" spans="1:22" x14ac:dyDescent="0.25">
      <c r="A832" t="s">
        <v>900</v>
      </c>
      <c r="B832" s="1">
        <v>45578</v>
      </c>
      <c r="C832">
        <v>715</v>
      </c>
      <c r="D832" t="s">
        <v>23</v>
      </c>
      <c r="E832" t="s">
        <v>24</v>
      </c>
      <c r="F832" t="s">
        <v>25</v>
      </c>
      <c r="G832" t="s">
        <v>33</v>
      </c>
      <c r="H832" t="s">
        <v>34</v>
      </c>
      <c r="I832" t="s">
        <v>83</v>
      </c>
      <c r="J832" t="s">
        <v>40</v>
      </c>
      <c r="K832">
        <v>547</v>
      </c>
      <c r="L832">
        <v>28</v>
      </c>
      <c r="M832" s="2">
        <v>202</v>
      </c>
      <c r="N832" s="2">
        <v>86</v>
      </c>
      <c r="O832" s="2">
        <v>55</v>
      </c>
      <c r="P832" s="2">
        <v>61</v>
      </c>
      <c r="Q832" s="3">
        <v>0.30199999999999999</v>
      </c>
      <c r="R832" s="2">
        <v>200</v>
      </c>
      <c r="S832" s="2">
        <v>80</v>
      </c>
      <c r="T832" s="2">
        <v>100</v>
      </c>
      <c r="U832" s="3">
        <v>0.5</v>
      </c>
      <c r="V832" s="2">
        <v>-39</v>
      </c>
    </row>
    <row r="833" spans="1:22" x14ac:dyDescent="0.25">
      <c r="A833" t="s">
        <v>901</v>
      </c>
      <c r="B833" s="1">
        <v>45578</v>
      </c>
      <c r="C833">
        <v>503</v>
      </c>
      <c r="D833" t="s">
        <v>71</v>
      </c>
      <c r="E833" t="s">
        <v>53</v>
      </c>
      <c r="F833" t="s">
        <v>25</v>
      </c>
      <c r="G833" t="s">
        <v>33</v>
      </c>
      <c r="H833" t="s">
        <v>34</v>
      </c>
      <c r="I833" t="s">
        <v>35</v>
      </c>
      <c r="J833" t="s">
        <v>29</v>
      </c>
      <c r="K833">
        <v>503</v>
      </c>
      <c r="L833">
        <v>46</v>
      </c>
      <c r="M833" s="2">
        <v>130</v>
      </c>
      <c r="N833" s="2">
        <v>51</v>
      </c>
      <c r="O833" s="2">
        <v>76</v>
      </c>
      <c r="P833" s="2">
        <v>-7</v>
      </c>
      <c r="Q833" s="3">
        <v>-5.3800000000000001E-2</v>
      </c>
      <c r="R833" s="2">
        <v>170</v>
      </c>
      <c r="S833" s="2">
        <v>70</v>
      </c>
      <c r="T833" s="2">
        <v>50</v>
      </c>
      <c r="U833" s="3">
        <v>0.29409999999999997</v>
      </c>
      <c r="V833" s="2">
        <v>-57</v>
      </c>
    </row>
    <row r="834" spans="1:22" x14ac:dyDescent="0.25">
      <c r="A834" t="s">
        <v>902</v>
      </c>
      <c r="B834" s="1">
        <v>45579</v>
      </c>
      <c r="C834">
        <v>775</v>
      </c>
      <c r="D834" t="s">
        <v>65</v>
      </c>
      <c r="E834" t="s">
        <v>53</v>
      </c>
      <c r="F834" t="s">
        <v>25</v>
      </c>
      <c r="G834" t="s">
        <v>33</v>
      </c>
      <c r="H834" t="s">
        <v>54</v>
      </c>
      <c r="I834" t="s">
        <v>72</v>
      </c>
      <c r="J834" t="s">
        <v>29</v>
      </c>
      <c r="K834">
        <v>387</v>
      </c>
      <c r="L834">
        <v>0</v>
      </c>
      <c r="M834" s="2">
        <v>43</v>
      </c>
      <c r="N834" s="2">
        <v>0</v>
      </c>
      <c r="O834" s="2">
        <v>12</v>
      </c>
      <c r="P834" s="2">
        <v>31</v>
      </c>
      <c r="Q834" s="3">
        <v>0.72089999999999999</v>
      </c>
      <c r="R834" s="2">
        <v>40</v>
      </c>
      <c r="S834" s="2">
        <v>0</v>
      </c>
      <c r="T834" s="2">
        <v>30</v>
      </c>
      <c r="U834" s="3">
        <v>0.75</v>
      </c>
      <c r="V834" s="2">
        <v>1</v>
      </c>
    </row>
    <row r="835" spans="1:22" x14ac:dyDescent="0.25">
      <c r="A835" t="s">
        <v>903</v>
      </c>
      <c r="B835" s="1">
        <v>45579</v>
      </c>
      <c r="C835">
        <v>580</v>
      </c>
      <c r="D835" t="s">
        <v>148</v>
      </c>
      <c r="E835" t="s">
        <v>45</v>
      </c>
      <c r="F835" t="s">
        <v>25</v>
      </c>
      <c r="G835" t="s">
        <v>33</v>
      </c>
      <c r="H835" t="s">
        <v>54</v>
      </c>
      <c r="I835" t="s">
        <v>68</v>
      </c>
      <c r="J835" t="s">
        <v>29</v>
      </c>
      <c r="K835">
        <v>482</v>
      </c>
      <c r="L835">
        <v>8</v>
      </c>
      <c r="M835" s="2">
        <v>85</v>
      </c>
      <c r="N835" s="2">
        <v>32</v>
      </c>
      <c r="O835" s="2">
        <v>19</v>
      </c>
      <c r="P835" s="2">
        <v>43</v>
      </c>
      <c r="Q835" s="3">
        <v>0.50590000000000002</v>
      </c>
      <c r="R835" s="2">
        <v>60</v>
      </c>
      <c r="S835" s="2">
        <v>20</v>
      </c>
      <c r="T835" s="2">
        <v>30</v>
      </c>
      <c r="U835" s="3">
        <v>0.5</v>
      </c>
      <c r="V835" s="2">
        <v>13</v>
      </c>
    </row>
    <row r="836" spans="1:22" x14ac:dyDescent="0.25">
      <c r="A836" t="s">
        <v>904</v>
      </c>
      <c r="B836" s="1">
        <v>45580</v>
      </c>
      <c r="C836">
        <v>719</v>
      </c>
      <c r="D836" t="s">
        <v>31</v>
      </c>
      <c r="E836" t="s">
        <v>24</v>
      </c>
      <c r="F836" t="s">
        <v>32</v>
      </c>
      <c r="G836" t="s">
        <v>26</v>
      </c>
      <c r="H836" t="s">
        <v>27</v>
      </c>
      <c r="I836" t="s">
        <v>42</v>
      </c>
      <c r="J836" t="s">
        <v>29</v>
      </c>
      <c r="K836">
        <v>1042</v>
      </c>
      <c r="L836">
        <v>17</v>
      </c>
      <c r="M836" s="2">
        <v>125</v>
      </c>
      <c r="N836" s="2">
        <v>57</v>
      </c>
      <c r="O836" s="2">
        <v>39</v>
      </c>
      <c r="P836" s="2">
        <v>29</v>
      </c>
      <c r="Q836" s="3">
        <v>0.23200000000000001</v>
      </c>
      <c r="R836" s="2">
        <v>100</v>
      </c>
      <c r="S836" s="2">
        <v>40</v>
      </c>
      <c r="T836" s="2">
        <v>30</v>
      </c>
      <c r="U836" s="3">
        <v>0.3</v>
      </c>
      <c r="V836" s="2">
        <v>-1</v>
      </c>
    </row>
    <row r="837" spans="1:22" x14ac:dyDescent="0.25">
      <c r="A837" t="s">
        <v>905</v>
      </c>
      <c r="B837" s="1">
        <v>45580</v>
      </c>
      <c r="C837">
        <v>505</v>
      </c>
      <c r="D837" t="s">
        <v>44</v>
      </c>
      <c r="E837" t="s">
        <v>45</v>
      </c>
      <c r="F837" t="s">
        <v>25</v>
      </c>
      <c r="G837" t="s">
        <v>33</v>
      </c>
      <c r="H837" t="s">
        <v>34</v>
      </c>
      <c r="I837" t="s">
        <v>83</v>
      </c>
      <c r="J837" t="s">
        <v>40</v>
      </c>
      <c r="K837">
        <v>1698</v>
      </c>
      <c r="L837">
        <v>26</v>
      </c>
      <c r="M837" s="2">
        <v>116</v>
      </c>
      <c r="N837" s="2">
        <v>86</v>
      </c>
      <c r="O837" s="2">
        <v>49</v>
      </c>
      <c r="P837" s="2">
        <v>-39</v>
      </c>
      <c r="Q837" s="3">
        <v>-0.3362</v>
      </c>
      <c r="R837" s="2">
        <v>150</v>
      </c>
      <c r="S837" s="2">
        <v>110</v>
      </c>
      <c r="T837" s="2">
        <v>10</v>
      </c>
      <c r="U837" s="3">
        <v>6.6699999999999995E-2</v>
      </c>
      <c r="V837" s="2">
        <v>-49</v>
      </c>
    </row>
    <row r="838" spans="1:22" x14ac:dyDescent="0.25">
      <c r="A838" t="s">
        <v>906</v>
      </c>
      <c r="B838" s="1">
        <v>45580</v>
      </c>
      <c r="C838">
        <v>708</v>
      </c>
      <c r="D838" t="s">
        <v>37</v>
      </c>
      <c r="E838" t="s">
        <v>24</v>
      </c>
      <c r="F838" t="s">
        <v>32</v>
      </c>
      <c r="G838" t="s">
        <v>33</v>
      </c>
      <c r="H838" t="s">
        <v>54</v>
      </c>
      <c r="I838" t="s">
        <v>68</v>
      </c>
      <c r="J838" t="s">
        <v>29</v>
      </c>
      <c r="K838">
        <v>1744</v>
      </c>
      <c r="L838">
        <v>81</v>
      </c>
      <c r="M838" s="2">
        <v>614</v>
      </c>
      <c r="N838" s="2">
        <v>247</v>
      </c>
      <c r="O838" s="2">
        <v>113</v>
      </c>
      <c r="P838" s="2">
        <v>321</v>
      </c>
      <c r="Q838" s="3">
        <v>0.52280000000000004</v>
      </c>
      <c r="R838" s="2">
        <v>730</v>
      </c>
      <c r="S838" s="2">
        <v>310</v>
      </c>
      <c r="T838" s="2">
        <v>320</v>
      </c>
      <c r="U838" s="3">
        <v>0.43840000000000001</v>
      </c>
      <c r="V838" s="2">
        <v>1</v>
      </c>
    </row>
    <row r="839" spans="1:22" x14ac:dyDescent="0.25">
      <c r="A839" t="s">
        <v>907</v>
      </c>
      <c r="B839" s="1">
        <v>45580</v>
      </c>
      <c r="C839">
        <v>253</v>
      </c>
      <c r="D839" t="s">
        <v>52</v>
      </c>
      <c r="E839" t="s">
        <v>53</v>
      </c>
      <c r="F839" t="s">
        <v>25</v>
      </c>
      <c r="G839" t="s">
        <v>33</v>
      </c>
      <c r="H839" t="s">
        <v>54</v>
      </c>
      <c r="I839" t="s">
        <v>55</v>
      </c>
      <c r="J839" t="s">
        <v>40</v>
      </c>
      <c r="K839">
        <v>1055</v>
      </c>
      <c r="L839">
        <v>24</v>
      </c>
      <c r="M839" s="2">
        <v>174</v>
      </c>
      <c r="N839" s="2">
        <v>80</v>
      </c>
      <c r="O839" s="2">
        <v>46</v>
      </c>
      <c r="P839" s="2">
        <v>48</v>
      </c>
      <c r="Q839" s="3">
        <v>0.27589999999999998</v>
      </c>
      <c r="R839" s="2">
        <v>150</v>
      </c>
      <c r="S839" s="2">
        <v>60</v>
      </c>
      <c r="T839" s="2">
        <v>80</v>
      </c>
      <c r="U839" s="3">
        <v>0.5333</v>
      </c>
      <c r="V839" s="2">
        <v>-32</v>
      </c>
    </row>
    <row r="840" spans="1:22" x14ac:dyDescent="0.25">
      <c r="A840" t="s">
        <v>908</v>
      </c>
      <c r="B840" s="1">
        <v>45580</v>
      </c>
      <c r="C840">
        <v>775</v>
      </c>
      <c r="D840" t="s">
        <v>65</v>
      </c>
      <c r="E840" t="s">
        <v>53</v>
      </c>
      <c r="F840" t="s">
        <v>25</v>
      </c>
      <c r="G840" t="s">
        <v>33</v>
      </c>
      <c r="H840" t="s">
        <v>54</v>
      </c>
      <c r="I840" t="s">
        <v>68</v>
      </c>
      <c r="J840" t="s">
        <v>29</v>
      </c>
      <c r="K840">
        <v>848</v>
      </c>
      <c r="L840">
        <v>4</v>
      </c>
      <c r="M840" s="2">
        <v>39</v>
      </c>
      <c r="N840" s="2">
        <v>15</v>
      </c>
      <c r="O840" s="2">
        <v>15</v>
      </c>
      <c r="P840" s="2">
        <v>9</v>
      </c>
      <c r="Q840" s="3">
        <v>0.23080000000000001</v>
      </c>
      <c r="R840" s="2">
        <v>30</v>
      </c>
      <c r="S840" s="2">
        <v>10</v>
      </c>
      <c r="T840" s="2">
        <v>10</v>
      </c>
      <c r="U840" s="3">
        <v>0.33329999999999999</v>
      </c>
      <c r="V840" s="2">
        <v>-1</v>
      </c>
    </row>
    <row r="841" spans="1:22" x14ac:dyDescent="0.25">
      <c r="A841" t="s">
        <v>909</v>
      </c>
      <c r="B841" s="1">
        <v>45581</v>
      </c>
      <c r="C841">
        <v>203</v>
      </c>
      <c r="D841" t="s">
        <v>135</v>
      </c>
      <c r="E841" t="s">
        <v>79</v>
      </c>
      <c r="F841" t="s">
        <v>25</v>
      </c>
      <c r="G841" t="s">
        <v>33</v>
      </c>
      <c r="H841" t="s">
        <v>54</v>
      </c>
      <c r="I841" t="s">
        <v>68</v>
      </c>
      <c r="J841" t="s">
        <v>29</v>
      </c>
      <c r="K841">
        <v>613</v>
      </c>
      <c r="L841">
        <v>55</v>
      </c>
      <c r="M841" s="2">
        <v>147</v>
      </c>
      <c r="N841" s="2">
        <v>61</v>
      </c>
      <c r="O841" s="2">
        <v>84</v>
      </c>
      <c r="P841" s="2">
        <v>2</v>
      </c>
      <c r="Q841" s="3">
        <v>1.3599999999999999E-2</v>
      </c>
      <c r="R841" s="2">
        <v>140</v>
      </c>
      <c r="S841" s="2">
        <v>60</v>
      </c>
      <c r="T841" s="2">
        <v>10</v>
      </c>
      <c r="U841" s="3">
        <v>7.1400000000000005E-2</v>
      </c>
      <c r="V841" s="2">
        <v>-8</v>
      </c>
    </row>
    <row r="842" spans="1:22" x14ac:dyDescent="0.25">
      <c r="A842" t="s">
        <v>910</v>
      </c>
      <c r="B842" s="1">
        <v>45582</v>
      </c>
      <c r="C842">
        <v>303</v>
      </c>
      <c r="D842" t="s">
        <v>31</v>
      </c>
      <c r="E842" t="s">
        <v>24</v>
      </c>
      <c r="F842" t="s">
        <v>32</v>
      </c>
      <c r="G842" t="s">
        <v>26</v>
      </c>
      <c r="H842" t="s">
        <v>38</v>
      </c>
      <c r="I842" t="s">
        <v>46</v>
      </c>
      <c r="J842" t="s">
        <v>40</v>
      </c>
      <c r="K842">
        <v>503</v>
      </c>
      <c r="L842">
        <v>46</v>
      </c>
      <c r="M842" s="2">
        <v>122</v>
      </c>
      <c r="N842" s="2">
        <v>51</v>
      </c>
      <c r="O842" s="2">
        <v>76</v>
      </c>
      <c r="P842" s="2">
        <v>-5</v>
      </c>
      <c r="Q842" s="3">
        <v>-4.1000000000000002E-2</v>
      </c>
      <c r="R842" s="2">
        <v>90</v>
      </c>
      <c r="S842" s="2">
        <v>30</v>
      </c>
      <c r="T842" s="2">
        <v>30</v>
      </c>
      <c r="U842" s="3">
        <v>0.33329999999999999</v>
      </c>
      <c r="V842" s="2">
        <v>-35</v>
      </c>
    </row>
    <row r="843" spans="1:22" x14ac:dyDescent="0.25">
      <c r="A843" t="s">
        <v>911</v>
      </c>
      <c r="B843" s="1">
        <v>45582</v>
      </c>
      <c r="C843">
        <v>708</v>
      </c>
      <c r="D843" t="s">
        <v>37</v>
      </c>
      <c r="E843" t="s">
        <v>24</v>
      </c>
      <c r="F843" t="s">
        <v>32</v>
      </c>
      <c r="G843" t="s">
        <v>26</v>
      </c>
      <c r="H843" t="s">
        <v>38</v>
      </c>
      <c r="I843" t="s">
        <v>39</v>
      </c>
      <c r="J843" t="s">
        <v>40</v>
      </c>
      <c r="K843">
        <v>915</v>
      </c>
      <c r="L843">
        <v>34</v>
      </c>
      <c r="M843" s="2">
        <v>302</v>
      </c>
      <c r="N843" s="2">
        <v>123</v>
      </c>
      <c r="O843" s="2">
        <v>46</v>
      </c>
      <c r="P843" s="2">
        <v>133</v>
      </c>
      <c r="Q843" s="3">
        <v>0.44040000000000001</v>
      </c>
      <c r="R843" s="2">
        <v>240</v>
      </c>
      <c r="S843" s="2">
        <v>90</v>
      </c>
      <c r="T843" s="2">
        <v>140</v>
      </c>
      <c r="U843" s="3">
        <v>0.58330000000000004</v>
      </c>
      <c r="V843" s="2">
        <v>-7</v>
      </c>
    </row>
    <row r="844" spans="1:22" x14ac:dyDescent="0.25">
      <c r="A844" t="s">
        <v>912</v>
      </c>
      <c r="B844" s="1">
        <v>45582</v>
      </c>
      <c r="C844">
        <v>323</v>
      </c>
      <c r="D844" t="s">
        <v>62</v>
      </c>
      <c r="E844" t="s">
        <v>53</v>
      </c>
      <c r="F844" t="s">
        <v>32</v>
      </c>
      <c r="G844" t="s">
        <v>26</v>
      </c>
      <c r="H844" t="s">
        <v>27</v>
      </c>
      <c r="I844" t="s">
        <v>28</v>
      </c>
      <c r="J844" t="s">
        <v>29</v>
      </c>
      <c r="K844">
        <v>959</v>
      </c>
      <c r="L844">
        <v>34</v>
      </c>
      <c r="M844" s="2">
        <v>322</v>
      </c>
      <c r="N844" s="2">
        <v>123</v>
      </c>
      <c r="O844" s="2">
        <v>45</v>
      </c>
      <c r="P844" s="2">
        <v>199</v>
      </c>
      <c r="Q844" s="3">
        <v>0.61799999999999999</v>
      </c>
      <c r="R844" s="2">
        <v>220</v>
      </c>
      <c r="S844" s="2">
        <v>90</v>
      </c>
      <c r="T844" s="2">
        <v>110</v>
      </c>
      <c r="U844" s="3">
        <v>0.5</v>
      </c>
      <c r="V844" s="2">
        <v>89</v>
      </c>
    </row>
    <row r="845" spans="1:22" x14ac:dyDescent="0.25">
      <c r="A845" t="s">
        <v>913</v>
      </c>
      <c r="B845" s="1">
        <v>45583</v>
      </c>
      <c r="C845">
        <v>515</v>
      </c>
      <c r="D845" t="s">
        <v>124</v>
      </c>
      <c r="E845" t="s">
        <v>24</v>
      </c>
      <c r="F845" t="s">
        <v>25</v>
      </c>
      <c r="G845" t="s">
        <v>33</v>
      </c>
      <c r="H845" t="s">
        <v>34</v>
      </c>
      <c r="I845" t="s">
        <v>50</v>
      </c>
      <c r="J845" t="s">
        <v>29</v>
      </c>
      <c r="K845">
        <v>1003</v>
      </c>
      <c r="L845">
        <v>8</v>
      </c>
      <c r="M845" s="2">
        <v>68</v>
      </c>
      <c r="N845" s="2">
        <v>29</v>
      </c>
      <c r="O845" s="2">
        <v>30</v>
      </c>
      <c r="P845" s="2">
        <v>7</v>
      </c>
      <c r="Q845" s="3">
        <v>0.10290000000000001</v>
      </c>
      <c r="R845" s="2">
        <v>60</v>
      </c>
      <c r="S845" s="2">
        <v>20</v>
      </c>
      <c r="T845" s="2">
        <v>20</v>
      </c>
      <c r="U845" s="3">
        <v>0.33329999999999999</v>
      </c>
      <c r="V845" s="2">
        <v>-13</v>
      </c>
    </row>
    <row r="846" spans="1:22" x14ac:dyDescent="0.25">
      <c r="A846" t="s">
        <v>914</v>
      </c>
      <c r="B846" s="1">
        <v>45584</v>
      </c>
      <c r="C846">
        <v>702</v>
      </c>
      <c r="D846" t="s">
        <v>65</v>
      </c>
      <c r="E846" t="s">
        <v>53</v>
      </c>
      <c r="F846" t="s">
        <v>25</v>
      </c>
      <c r="G846" t="s">
        <v>33</v>
      </c>
      <c r="H846" t="s">
        <v>34</v>
      </c>
      <c r="I846" t="s">
        <v>50</v>
      </c>
      <c r="J846" t="s">
        <v>29</v>
      </c>
      <c r="K846">
        <v>250</v>
      </c>
      <c r="L846">
        <v>14</v>
      </c>
      <c r="M846" s="2">
        <v>94</v>
      </c>
      <c r="N846" s="2">
        <v>39</v>
      </c>
      <c r="O846" s="2">
        <v>48</v>
      </c>
      <c r="P846" s="2">
        <v>1</v>
      </c>
      <c r="Q846" s="3">
        <v>1.06E-2</v>
      </c>
      <c r="R846" s="2">
        <v>100</v>
      </c>
      <c r="S846" s="2">
        <v>40</v>
      </c>
      <c r="T846" s="2">
        <v>20</v>
      </c>
      <c r="U846" s="3">
        <v>0.2</v>
      </c>
      <c r="V846" s="2">
        <v>-19</v>
      </c>
    </row>
    <row r="847" spans="1:22" x14ac:dyDescent="0.25">
      <c r="A847" t="s">
        <v>915</v>
      </c>
      <c r="B847" s="1">
        <v>45584</v>
      </c>
      <c r="C847">
        <v>567</v>
      </c>
      <c r="D847" t="s">
        <v>85</v>
      </c>
      <c r="E847" t="s">
        <v>24</v>
      </c>
      <c r="F847" t="s">
        <v>32</v>
      </c>
      <c r="G847" t="s">
        <v>33</v>
      </c>
      <c r="H847" t="s">
        <v>34</v>
      </c>
      <c r="I847" t="s">
        <v>83</v>
      </c>
      <c r="J847" t="s">
        <v>40</v>
      </c>
      <c r="K847">
        <v>509</v>
      </c>
      <c r="L847">
        <v>47</v>
      </c>
      <c r="M847" s="2">
        <v>125</v>
      </c>
      <c r="N847" s="2">
        <v>52</v>
      </c>
      <c r="O847" s="2">
        <v>76</v>
      </c>
      <c r="P847" s="2">
        <v>-3</v>
      </c>
      <c r="Q847" s="3">
        <v>-2.4E-2</v>
      </c>
      <c r="R847" s="2">
        <v>120</v>
      </c>
      <c r="S847" s="2">
        <v>50</v>
      </c>
      <c r="T847" s="2">
        <v>10</v>
      </c>
      <c r="U847" s="3">
        <v>8.3299999999999999E-2</v>
      </c>
      <c r="V847" s="2">
        <v>-13</v>
      </c>
    </row>
    <row r="848" spans="1:22" x14ac:dyDescent="0.25">
      <c r="A848" t="s">
        <v>916</v>
      </c>
      <c r="B848" s="1">
        <v>45584</v>
      </c>
      <c r="C848">
        <v>435</v>
      </c>
      <c r="D848" t="s">
        <v>95</v>
      </c>
      <c r="E848" t="s">
        <v>53</v>
      </c>
      <c r="F848" t="s">
        <v>25</v>
      </c>
      <c r="G848" t="s">
        <v>26</v>
      </c>
      <c r="H848" t="s">
        <v>27</v>
      </c>
      <c r="I848" t="s">
        <v>42</v>
      </c>
      <c r="J848" t="s">
        <v>29</v>
      </c>
      <c r="K848">
        <v>248</v>
      </c>
      <c r="L848">
        <v>11</v>
      </c>
      <c r="M848" s="2">
        <v>82</v>
      </c>
      <c r="N848" s="2">
        <v>35</v>
      </c>
      <c r="O848" s="2">
        <v>38</v>
      </c>
      <c r="P848" s="2">
        <v>9</v>
      </c>
      <c r="Q848" s="3">
        <v>0.10979999999999999</v>
      </c>
      <c r="R848" s="2">
        <v>50</v>
      </c>
      <c r="S848" s="2">
        <v>20</v>
      </c>
      <c r="T848" s="2">
        <v>10</v>
      </c>
      <c r="U848" s="3">
        <v>0.2</v>
      </c>
      <c r="V848" s="2">
        <v>-1</v>
      </c>
    </row>
    <row r="849" spans="1:22" x14ac:dyDescent="0.25">
      <c r="A849" t="s">
        <v>917</v>
      </c>
      <c r="B849" s="1">
        <v>45586</v>
      </c>
      <c r="C849">
        <v>719</v>
      </c>
      <c r="D849" t="s">
        <v>31</v>
      </c>
      <c r="E849" t="s">
        <v>24</v>
      </c>
      <c r="F849" t="s">
        <v>32</v>
      </c>
      <c r="G849" t="s">
        <v>26</v>
      </c>
      <c r="H849" t="s">
        <v>27</v>
      </c>
      <c r="I849" t="s">
        <v>28</v>
      </c>
      <c r="J849" t="s">
        <v>29</v>
      </c>
      <c r="K849">
        <v>410</v>
      </c>
      <c r="L849">
        <v>20</v>
      </c>
      <c r="M849" s="2">
        <v>124</v>
      </c>
      <c r="N849" s="2">
        <v>55</v>
      </c>
      <c r="O849" s="2">
        <v>54</v>
      </c>
      <c r="P849" s="2">
        <v>15</v>
      </c>
      <c r="Q849" s="3">
        <v>0.121</v>
      </c>
      <c r="R849" s="2">
        <v>100</v>
      </c>
      <c r="S849" s="2">
        <v>40</v>
      </c>
      <c r="T849" s="2">
        <v>20</v>
      </c>
      <c r="U849" s="3">
        <v>0.2</v>
      </c>
      <c r="V849" s="2">
        <v>-5</v>
      </c>
    </row>
    <row r="850" spans="1:22" x14ac:dyDescent="0.25">
      <c r="A850" t="s">
        <v>918</v>
      </c>
      <c r="B850" s="1">
        <v>45586</v>
      </c>
      <c r="C850">
        <v>314</v>
      </c>
      <c r="D850" t="s">
        <v>58</v>
      </c>
      <c r="E850" t="s">
        <v>24</v>
      </c>
      <c r="F850" t="s">
        <v>25</v>
      </c>
      <c r="G850" t="s">
        <v>26</v>
      </c>
      <c r="H850" t="s">
        <v>38</v>
      </c>
      <c r="I850" t="s">
        <v>39</v>
      </c>
      <c r="J850" t="s">
        <v>40</v>
      </c>
      <c r="K850">
        <v>325</v>
      </c>
      <c r="L850">
        <v>40</v>
      </c>
      <c r="M850" s="2">
        <v>113</v>
      </c>
      <c r="N850" s="2">
        <v>44</v>
      </c>
      <c r="O850" s="2">
        <v>70</v>
      </c>
      <c r="P850" s="2">
        <v>-12</v>
      </c>
      <c r="Q850" s="3">
        <v>-0.1062</v>
      </c>
      <c r="R850" s="2">
        <v>90</v>
      </c>
      <c r="S850" s="2">
        <v>40</v>
      </c>
      <c r="T850" s="2">
        <v>0</v>
      </c>
      <c r="U850" s="3">
        <v>0</v>
      </c>
      <c r="V850" s="2">
        <v>-12</v>
      </c>
    </row>
    <row r="851" spans="1:22" x14ac:dyDescent="0.25">
      <c r="A851" t="s">
        <v>919</v>
      </c>
      <c r="B851" s="1">
        <v>45586</v>
      </c>
      <c r="C851">
        <v>262</v>
      </c>
      <c r="D851" t="s">
        <v>23</v>
      </c>
      <c r="E851" t="s">
        <v>24</v>
      </c>
      <c r="F851" t="s">
        <v>25</v>
      </c>
      <c r="G851" t="s">
        <v>26</v>
      </c>
      <c r="H851" t="s">
        <v>27</v>
      </c>
      <c r="I851" t="s">
        <v>28</v>
      </c>
      <c r="J851" t="s">
        <v>29</v>
      </c>
      <c r="K851">
        <v>466</v>
      </c>
      <c r="L851">
        <v>13</v>
      </c>
      <c r="M851" s="2">
        <v>113</v>
      </c>
      <c r="N851" s="2">
        <v>43</v>
      </c>
      <c r="O851" s="2">
        <v>35</v>
      </c>
      <c r="P851" s="2">
        <v>42</v>
      </c>
      <c r="Q851" s="3">
        <v>0.37169999999999997</v>
      </c>
      <c r="R851" s="2">
        <v>80</v>
      </c>
      <c r="S851" s="2">
        <v>30</v>
      </c>
      <c r="T851" s="2">
        <v>20</v>
      </c>
      <c r="U851" s="3">
        <v>0.25</v>
      </c>
      <c r="V851" s="2">
        <v>22</v>
      </c>
    </row>
    <row r="852" spans="1:22" x14ac:dyDescent="0.25">
      <c r="A852" t="s">
        <v>920</v>
      </c>
      <c r="B852" s="1">
        <v>45586</v>
      </c>
      <c r="C852">
        <v>407</v>
      </c>
      <c r="D852" t="s">
        <v>117</v>
      </c>
      <c r="E852" t="s">
        <v>79</v>
      </c>
      <c r="F852" t="s">
        <v>32</v>
      </c>
      <c r="G852" t="s">
        <v>26</v>
      </c>
      <c r="H852" t="s">
        <v>38</v>
      </c>
      <c r="I852" t="s">
        <v>46</v>
      </c>
      <c r="J852" t="s">
        <v>40</v>
      </c>
      <c r="K852">
        <v>391</v>
      </c>
      <c r="L852">
        <v>20</v>
      </c>
      <c r="M852" s="2">
        <v>121</v>
      </c>
      <c r="N852" s="2">
        <v>54</v>
      </c>
      <c r="O852" s="2">
        <v>54</v>
      </c>
      <c r="P852" s="2">
        <v>13</v>
      </c>
      <c r="Q852" s="3">
        <v>0.1074</v>
      </c>
      <c r="R852" s="2">
        <v>80</v>
      </c>
      <c r="S852" s="2">
        <v>40</v>
      </c>
      <c r="T852" s="2">
        <v>10</v>
      </c>
      <c r="U852" s="3">
        <v>0.125</v>
      </c>
      <c r="V852" s="2">
        <v>3</v>
      </c>
    </row>
    <row r="853" spans="1:22" x14ac:dyDescent="0.25">
      <c r="A853" t="s">
        <v>921</v>
      </c>
      <c r="B853" s="1">
        <v>45586</v>
      </c>
      <c r="C853">
        <v>562</v>
      </c>
      <c r="D853" t="s">
        <v>62</v>
      </c>
      <c r="E853" t="s">
        <v>53</v>
      </c>
      <c r="F853" t="s">
        <v>32</v>
      </c>
      <c r="G853" t="s">
        <v>26</v>
      </c>
      <c r="H853" t="s">
        <v>27</v>
      </c>
      <c r="I853" t="s">
        <v>28</v>
      </c>
      <c r="J853" t="s">
        <v>29</v>
      </c>
      <c r="K853">
        <v>915</v>
      </c>
      <c r="L853">
        <v>34</v>
      </c>
      <c r="M853" s="2">
        <v>302</v>
      </c>
      <c r="N853" s="2">
        <v>123</v>
      </c>
      <c r="O853" s="2">
        <v>45</v>
      </c>
      <c r="P853" s="2">
        <v>134</v>
      </c>
      <c r="Q853" s="3">
        <v>0.44369999999999998</v>
      </c>
      <c r="R853" s="2">
        <v>140</v>
      </c>
      <c r="S853" s="2">
        <v>50</v>
      </c>
      <c r="T853" s="2">
        <v>80</v>
      </c>
      <c r="U853" s="3">
        <v>0.57140000000000002</v>
      </c>
      <c r="V853" s="2">
        <v>54</v>
      </c>
    </row>
    <row r="854" spans="1:22" x14ac:dyDescent="0.25">
      <c r="A854" t="s">
        <v>922</v>
      </c>
      <c r="B854" s="1">
        <v>45587</v>
      </c>
      <c r="C854">
        <v>435</v>
      </c>
      <c r="D854" t="s">
        <v>95</v>
      </c>
      <c r="E854" t="s">
        <v>53</v>
      </c>
      <c r="F854" t="s">
        <v>25</v>
      </c>
      <c r="G854" t="s">
        <v>26</v>
      </c>
      <c r="H854" t="s">
        <v>27</v>
      </c>
      <c r="I854" t="s">
        <v>28</v>
      </c>
      <c r="J854" t="s">
        <v>29</v>
      </c>
      <c r="K854">
        <v>325</v>
      </c>
      <c r="L854">
        <v>40</v>
      </c>
      <c r="M854" s="2">
        <v>106</v>
      </c>
      <c r="N854" s="2">
        <v>44</v>
      </c>
      <c r="O854" s="2">
        <v>69</v>
      </c>
      <c r="P854" s="2">
        <v>-7</v>
      </c>
      <c r="Q854" s="3">
        <v>-6.6000000000000003E-2</v>
      </c>
      <c r="R854" s="2">
        <v>70</v>
      </c>
      <c r="S854" s="2">
        <v>30</v>
      </c>
      <c r="T854" s="2">
        <v>-10</v>
      </c>
      <c r="U854" s="3">
        <v>-0.1429</v>
      </c>
      <c r="V854" s="2">
        <v>3</v>
      </c>
    </row>
    <row r="855" spans="1:22" x14ac:dyDescent="0.25">
      <c r="A855" t="s">
        <v>923</v>
      </c>
      <c r="B855" s="1">
        <v>45587</v>
      </c>
      <c r="C855">
        <v>774</v>
      </c>
      <c r="D855" t="s">
        <v>78</v>
      </c>
      <c r="E855" t="s">
        <v>79</v>
      </c>
      <c r="F855" t="s">
        <v>32</v>
      </c>
      <c r="G855" t="s">
        <v>26</v>
      </c>
      <c r="H855" t="s">
        <v>27</v>
      </c>
      <c r="I855" t="s">
        <v>59</v>
      </c>
      <c r="J855" t="s">
        <v>29</v>
      </c>
      <c r="K855">
        <v>490</v>
      </c>
      <c r="L855">
        <v>8</v>
      </c>
      <c r="M855" s="2">
        <v>78</v>
      </c>
      <c r="N855" s="2">
        <v>29</v>
      </c>
      <c r="O855" s="2">
        <v>19</v>
      </c>
      <c r="P855" s="2">
        <v>37</v>
      </c>
      <c r="Q855" s="3">
        <v>0.47439999999999999</v>
      </c>
      <c r="R855" s="2">
        <v>70</v>
      </c>
      <c r="S855" s="2">
        <v>30</v>
      </c>
      <c r="T855" s="2">
        <v>30</v>
      </c>
      <c r="U855" s="3">
        <v>0.42859999999999998</v>
      </c>
      <c r="V855" s="2">
        <v>7</v>
      </c>
    </row>
    <row r="856" spans="1:22" x14ac:dyDescent="0.25">
      <c r="A856" t="s">
        <v>924</v>
      </c>
      <c r="B856" s="1">
        <v>45587</v>
      </c>
      <c r="C856">
        <v>817</v>
      </c>
      <c r="D856" t="s">
        <v>76</v>
      </c>
      <c r="E856" t="s">
        <v>45</v>
      </c>
      <c r="F856" t="s">
        <v>32</v>
      </c>
      <c r="G856" t="s">
        <v>33</v>
      </c>
      <c r="H856" t="s">
        <v>54</v>
      </c>
      <c r="I856" t="s">
        <v>68</v>
      </c>
      <c r="J856" t="s">
        <v>29</v>
      </c>
      <c r="K856">
        <v>915</v>
      </c>
      <c r="L856">
        <v>34</v>
      </c>
      <c r="M856" s="2">
        <v>322</v>
      </c>
      <c r="N856" s="2">
        <v>123</v>
      </c>
      <c r="O856" s="2">
        <v>46</v>
      </c>
      <c r="P856" s="2">
        <v>197</v>
      </c>
      <c r="Q856" s="3">
        <v>0.61180000000000001</v>
      </c>
      <c r="R856" s="2">
        <v>190</v>
      </c>
      <c r="S856" s="2">
        <v>70</v>
      </c>
      <c r="T856" s="2">
        <v>100</v>
      </c>
      <c r="U856" s="3">
        <v>0.52629999999999999</v>
      </c>
      <c r="V856" s="2">
        <v>97</v>
      </c>
    </row>
    <row r="857" spans="1:22" x14ac:dyDescent="0.25">
      <c r="A857" t="s">
        <v>925</v>
      </c>
      <c r="B857" s="1">
        <v>45588</v>
      </c>
      <c r="C857">
        <v>509</v>
      </c>
      <c r="D857" t="s">
        <v>52</v>
      </c>
      <c r="E857" t="s">
        <v>53</v>
      </c>
      <c r="F857" t="s">
        <v>25</v>
      </c>
      <c r="G857" t="s">
        <v>26</v>
      </c>
      <c r="H857" t="s">
        <v>38</v>
      </c>
      <c r="I857" t="s">
        <v>46</v>
      </c>
      <c r="J857" t="s">
        <v>40</v>
      </c>
      <c r="K857">
        <v>834</v>
      </c>
      <c r="L857">
        <v>13</v>
      </c>
      <c r="M857" s="2">
        <v>115</v>
      </c>
      <c r="N857" s="2">
        <v>47</v>
      </c>
      <c r="O857" s="2">
        <v>24</v>
      </c>
      <c r="P857" s="2">
        <v>44</v>
      </c>
      <c r="Q857" s="3">
        <v>0.3826</v>
      </c>
      <c r="R857" s="2">
        <v>100</v>
      </c>
      <c r="S857" s="2">
        <v>40</v>
      </c>
      <c r="T857" s="2">
        <v>40</v>
      </c>
      <c r="U857" s="3">
        <v>0.4</v>
      </c>
      <c r="V857" s="2">
        <v>4</v>
      </c>
    </row>
    <row r="858" spans="1:22" x14ac:dyDescent="0.25">
      <c r="A858" t="s">
        <v>926</v>
      </c>
      <c r="B858" s="1">
        <v>45588</v>
      </c>
      <c r="C858">
        <v>971</v>
      </c>
      <c r="D858" t="s">
        <v>71</v>
      </c>
      <c r="E858" t="s">
        <v>53</v>
      </c>
      <c r="F858" t="s">
        <v>25</v>
      </c>
      <c r="G858" t="s">
        <v>33</v>
      </c>
      <c r="H858" t="s">
        <v>34</v>
      </c>
      <c r="I858" t="s">
        <v>50</v>
      </c>
      <c r="J858" t="s">
        <v>29</v>
      </c>
      <c r="K858">
        <v>463</v>
      </c>
      <c r="L858">
        <v>19</v>
      </c>
      <c r="M858" s="2">
        <v>144</v>
      </c>
      <c r="N858" s="2">
        <v>60</v>
      </c>
      <c r="O858" s="2">
        <v>63</v>
      </c>
      <c r="P858" s="2">
        <v>21</v>
      </c>
      <c r="Q858" s="3">
        <v>0.14580000000000001</v>
      </c>
      <c r="R858" s="2">
        <v>210</v>
      </c>
      <c r="S858" s="2">
        <v>80</v>
      </c>
      <c r="T858" s="2">
        <v>90</v>
      </c>
      <c r="U858" s="3">
        <v>0.42859999999999998</v>
      </c>
      <c r="V858" s="2">
        <v>-69</v>
      </c>
    </row>
    <row r="859" spans="1:22" x14ac:dyDescent="0.25">
      <c r="A859" t="s">
        <v>927</v>
      </c>
      <c r="B859" s="1">
        <v>45588</v>
      </c>
      <c r="C859">
        <v>818</v>
      </c>
      <c r="D859" t="s">
        <v>62</v>
      </c>
      <c r="E859" t="s">
        <v>53</v>
      </c>
      <c r="F859" t="s">
        <v>32</v>
      </c>
      <c r="G859" t="s">
        <v>33</v>
      </c>
      <c r="H859" t="s">
        <v>34</v>
      </c>
      <c r="I859" t="s">
        <v>50</v>
      </c>
      <c r="J859" t="s">
        <v>29</v>
      </c>
      <c r="K859">
        <v>2548</v>
      </c>
      <c r="L859">
        <v>91</v>
      </c>
      <c r="M859" s="2">
        <v>693</v>
      </c>
      <c r="N859" s="2">
        <v>260</v>
      </c>
      <c r="O859" s="2">
        <v>143</v>
      </c>
      <c r="P859" s="2">
        <v>367</v>
      </c>
      <c r="Q859" s="3">
        <v>0.52959999999999996</v>
      </c>
      <c r="R859" s="2">
        <v>960</v>
      </c>
      <c r="S859" s="2">
        <v>380</v>
      </c>
      <c r="T859" s="2">
        <v>470</v>
      </c>
      <c r="U859" s="3">
        <v>0.48959999999999998</v>
      </c>
      <c r="V859" s="2">
        <v>-103</v>
      </c>
    </row>
    <row r="860" spans="1:22" x14ac:dyDescent="0.25">
      <c r="A860" t="s">
        <v>928</v>
      </c>
      <c r="B860" s="1">
        <v>45589</v>
      </c>
      <c r="C860">
        <v>262</v>
      </c>
      <c r="D860" t="s">
        <v>23</v>
      </c>
      <c r="E860" t="s">
        <v>24</v>
      </c>
      <c r="F860" t="s">
        <v>25</v>
      </c>
      <c r="G860" t="s">
        <v>26</v>
      </c>
      <c r="H860" t="s">
        <v>27</v>
      </c>
      <c r="I860" t="s">
        <v>28</v>
      </c>
      <c r="J860" t="s">
        <v>29</v>
      </c>
      <c r="K860">
        <v>449</v>
      </c>
      <c r="L860">
        <v>14</v>
      </c>
      <c r="M860" s="2">
        <v>113</v>
      </c>
      <c r="N860" s="2">
        <v>46</v>
      </c>
      <c r="O860" s="2">
        <v>37</v>
      </c>
      <c r="P860" s="2">
        <v>30</v>
      </c>
      <c r="Q860" s="3">
        <v>0.26550000000000001</v>
      </c>
      <c r="R860" s="2">
        <v>70</v>
      </c>
      <c r="S860" s="2">
        <v>20</v>
      </c>
      <c r="T860" s="2">
        <v>40</v>
      </c>
      <c r="U860" s="3">
        <v>0.57140000000000002</v>
      </c>
      <c r="V860" s="2">
        <v>-10</v>
      </c>
    </row>
    <row r="861" spans="1:22" x14ac:dyDescent="0.25">
      <c r="A861" t="s">
        <v>929</v>
      </c>
      <c r="B861" s="1">
        <v>45589</v>
      </c>
      <c r="C861">
        <v>971</v>
      </c>
      <c r="D861" t="s">
        <v>71</v>
      </c>
      <c r="E861" t="s">
        <v>53</v>
      </c>
      <c r="F861" t="s">
        <v>25</v>
      </c>
      <c r="G861" t="s">
        <v>26</v>
      </c>
      <c r="H861" t="s">
        <v>27</v>
      </c>
      <c r="I861" t="s">
        <v>42</v>
      </c>
      <c r="J861" t="s">
        <v>29</v>
      </c>
      <c r="K861">
        <v>817</v>
      </c>
      <c r="L861">
        <v>29</v>
      </c>
      <c r="M861" s="2">
        <v>221</v>
      </c>
      <c r="N861" s="2">
        <v>88</v>
      </c>
      <c r="O861" s="2">
        <v>60</v>
      </c>
      <c r="P861" s="2">
        <v>73</v>
      </c>
      <c r="Q861" s="3">
        <v>0.33029999999999998</v>
      </c>
      <c r="R861" s="2">
        <v>160</v>
      </c>
      <c r="S861" s="2">
        <v>60</v>
      </c>
      <c r="T861" s="2">
        <v>60</v>
      </c>
      <c r="U861" s="3">
        <v>0.375</v>
      </c>
      <c r="V861" s="2">
        <v>13</v>
      </c>
    </row>
    <row r="862" spans="1:22" x14ac:dyDescent="0.25">
      <c r="A862" t="s">
        <v>930</v>
      </c>
      <c r="B862" s="1">
        <v>45590</v>
      </c>
      <c r="C862">
        <v>213</v>
      </c>
      <c r="D862" t="s">
        <v>62</v>
      </c>
      <c r="E862" t="s">
        <v>53</v>
      </c>
      <c r="F862" t="s">
        <v>32</v>
      </c>
      <c r="G862" t="s">
        <v>26</v>
      </c>
      <c r="H862" t="s">
        <v>27</v>
      </c>
      <c r="I862" t="s">
        <v>59</v>
      </c>
      <c r="J862" t="s">
        <v>29</v>
      </c>
      <c r="K862">
        <v>677</v>
      </c>
      <c r="L862">
        <v>22</v>
      </c>
      <c r="M862" s="2">
        <v>168</v>
      </c>
      <c r="N862" s="2">
        <v>67</v>
      </c>
      <c r="O862" s="2">
        <v>54</v>
      </c>
      <c r="P862" s="2">
        <v>47</v>
      </c>
      <c r="Q862" s="3">
        <v>0.27979999999999999</v>
      </c>
      <c r="R862" s="2">
        <v>120</v>
      </c>
      <c r="S862" s="2">
        <v>40</v>
      </c>
      <c r="T862" s="2">
        <v>50</v>
      </c>
      <c r="U862" s="3">
        <v>0.41670000000000001</v>
      </c>
      <c r="V862" s="2">
        <v>-3</v>
      </c>
    </row>
    <row r="863" spans="1:22" x14ac:dyDescent="0.25">
      <c r="A863" t="s">
        <v>931</v>
      </c>
      <c r="B863" s="1">
        <v>45591</v>
      </c>
      <c r="C863">
        <v>425</v>
      </c>
      <c r="D863" t="s">
        <v>52</v>
      </c>
      <c r="E863" t="s">
        <v>53</v>
      </c>
      <c r="F863" t="s">
        <v>25</v>
      </c>
      <c r="G863" t="s">
        <v>33</v>
      </c>
      <c r="H863" t="s">
        <v>54</v>
      </c>
      <c r="I863" t="s">
        <v>72</v>
      </c>
      <c r="J863" t="s">
        <v>29</v>
      </c>
      <c r="K863">
        <v>570</v>
      </c>
      <c r="L863">
        <v>7</v>
      </c>
      <c r="M863" s="2">
        <v>55</v>
      </c>
      <c r="N863" s="2">
        <v>22</v>
      </c>
      <c r="O863" s="2">
        <v>19</v>
      </c>
      <c r="P863" s="2">
        <v>16</v>
      </c>
      <c r="Q863" s="3">
        <v>0.29089999999999999</v>
      </c>
      <c r="R863" s="2">
        <v>50</v>
      </c>
      <c r="S863" s="2">
        <v>20</v>
      </c>
      <c r="T863" s="2">
        <v>20</v>
      </c>
      <c r="U863" s="3">
        <v>0.4</v>
      </c>
      <c r="V863" s="2">
        <v>-4</v>
      </c>
    </row>
    <row r="864" spans="1:22" x14ac:dyDescent="0.25">
      <c r="A864" t="s">
        <v>932</v>
      </c>
      <c r="B864" s="1">
        <v>45591</v>
      </c>
      <c r="C864">
        <v>360</v>
      </c>
      <c r="D864" t="s">
        <v>52</v>
      </c>
      <c r="E864" t="s">
        <v>53</v>
      </c>
      <c r="F864" t="s">
        <v>25</v>
      </c>
      <c r="G864" t="s">
        <v>26</v>
      </c>
      <c r="H864" t="s">
        <v>38</v>
      </c>
      <c r="I864" t="s">
        <v>39</v>
      </c>
      <c r="J864" t="s">
        <v>40</v>
      </c>
      <c r="K864">
        <v>1119</v>
      </c>
      <c r="L864">
        <v>41</v>
      </c>
      <c r="M864" s="2">
        <v>334</v>
      </c>
      <c r="N864" s="2">
        <v>125</v>
      </c>
      <c r="O864" s="2">
        <v>73</v>
      </c>
      <c r="P864" s="2">
        <v>171</v>
      </c>
      <c r="Q864" s="3">
        <v>0.51200000000000001</v>
      </c>
      <c r="R864" s="2">
        <v>250</v>
      </c>
      <c r="S864" s="2">
        <v>90</v>
      </c>
      <c r="T864" s="2">
        <v>130</v>
      </c>
      <c r="U864" s="3">
        <v>0.52</v>
      </c>
      <c r="V864" s="2">
        <v>41</v>
      </c>
    </row>
    <row r="865" spans="1:22" x14ac:dyDescent="0.25">
      <c r="A865" t="s">
        <v>933</v>
      </c>
      <c r="B865" s="1">
        <v>45592</v>
      </c>
      <c r="C865">
        <v>435</v>
      </c>
      <c r="D865" t="s">
        <v>95</v>
      </c>
      <c r="E865" t="s">
        <v>53</v>
      </c>
      <c r="F865" t="s">
        <v>25</v>
      </c>
      <c r="G865" t="s">
        <v>26</v>
      </c>
      <c r="H865" t="s">
        <v>27</v>
      </c>
      <c r="I865" t="s">
        <v>28</v>
      </c>
      <c r="J865" t="s">
        <v>29</v>
      </c>
      <c r="K865">
        <v>325</v>
      </c>
      <c r="L865">
        <v>40</v>
      </c>
      <c r="M865" s="2">
        <v>113</v>
      </c>
      <c r="N865" s="2">
        <v>44</v>
      </c>
      <c r="O865" s="2">
        <v>69</v>
      </c>
      <c r="P865" s="2">
        <v>-10</v>
      </c>
      <c r="Q865" s="3">
        <v>-8.8499999999999995E-2</v>
      </c>
      <c r="R865" s="2">
        <v>70</v>
      </c>
      <c r="S865" s="2">
        <v>30</v>
      </c>
      <c r="T865" s="2">
        <v>-10</v>
      </c>
      <c r="U865" s="3">
        <v>-0.1429</v>
      </c>
      <c r="V865" s="2">
        <v>0</v>
      </c>
    </row>
    <row r="866" spans="1:22" x14ac:dyDescent="0.25">
      <c r="A866" t="s">
        <v>934</v>
      </c>
      <c r="B866" s="1">
        <v>45592</v>
      </c>
      <c r="C866">
        <v>513</v>
      </c>
      <c r="D866" t="s">
        <v>85</v>
      </c>
      <c r="E866" t="s">
        <v>24</v>
      </c>
      <c r="F866" t="s">
        <v>32</v>
      </c>
      <c r="G866" t="s">
        <v>26</v>
      </c>
      <c r="H866" t="s">
        <v>27</v>
      </c>
      <c r="I866" t="s">
        <v>28</v>
      </c>
      <c r="J866" t="s">
        <v>29</v>
      </c>
      <c r="K866">
        <v>817</v>
      </c>
      <c r="L866">
        <v>29</v>
      </c>
      <c r="M866" s="2">
        <v>221</v>
      </c>
      <c r="N866" s="2">
        <v>88</v>
      </c>
      <c r="O866" s="2">
        <v>61</v>
      </c>
      <c r="P866" s="2">
        <v>72</v>
      </c>
      <c r="Q866" s="3">
        <v>0.32579999999999998</v>
      </c>
      <c r="R866" s="2">
        <v>180</v>
      </c>
      <c r="S866" s="2">
        <v>70</v>
      </c>
      <c r="T866" s="2">
        <v>70</v>
      </c>
      <c r="U866" s="3">
        <v>0.38890000000000002</v>
      </c>
      <c r="V866" s="2">
        <v>2</v>
      </c>
    </row>
    <row r="867" spans="1:22" x14ac:dyDescent="0.25">
      <c r="A867" t="s">
        <v>935</v>
      </c>
      <c r="B867" s="1">
        <v>45592</v>
      </c>
      <c r="C867">
        <v>970</v>
      </c>
      <c r="D867" t="s">
        <v>31</v>
      </c>
      <c r="E867" t="s">
        <v>24</v>
      </c>
      <c r="F867" t="s">
        <v>32</v>
      </c>
      <c r="G867" t="s">
        <v>33</v>
      </c>
      <c r="H867" t="s">
        <v>54</v>
      </c>
      <c r="I867" t="s">
        <v>55</v>
      </c>
      <c r="J867" t="s">
        <v>40</v>
      </c>
      <c r="K867">
        <v>659</v>
      </c>
      <c r="L867">
        <v>24</v>
      </c>
      <c r="M867" s="2">
        <v>201</v>
      </c>
      <c r="N867" s="2">
        <v>75</v>
      </c>
      <c r="O867" s="2">
        <v>56</v>
      </c>
      <c r="P867" s="2">
        <v>86</v>
      </c>
      <c r="Q867" s="3">
        <v>0.4279</v>
      </c>
      <c r="R867" s="2">
        <v>240</v>
      </c>
      <c r="S867" s="2">
        <v>90</v>
      </c>
      <c r="T867" s="2">
        <v>100</v>
      </c>
      <c r="U867" s="3">
        <v>0.41670000000000001</v>
      </c>
      <c r="V867" s="2">
        <v>-14</v>
      </c>
    </row>
    <row r="868" spans="1:22" x14ac:dyDescent="0.25">
      <c r="A868" t="s">
        <v>936</v>
      </c>
      <c r="B868" s="1">
        <v>45592</v>
      </c>
      <c r="C868">
        <v>541</v>
      </c>
      <c r="D868" t="s">
        <v>71</v>
      </c>
      <c r="E868" t="s">
        <v>53</v>
      </c>
      <c r="F868" t="s">
        <v>25</v>
      </c>
      <c r="G868" t="s">
        <v>33</v>
      </c>
      <c r="H868" t="s">
        <v>34</v>
      </c>
      <c r="I868" t="s">
        <v>50</v>
      </c>
      <c r="J868" t="s">
        <v>29</v>
      </c>
      <c r="K868">
        <v>470</v>
      </c>
      <c r="L868">
        <v>17</v>
      </c>
      <c r="M868" s="2">
        <v>136</v>
      </c>
      <c r="N868" s="2">
        <v>53</v>
      </c>
      <c r="O868" s="2">
        <v>61</v>
      </c>
      <c r="P868" s="2">
        <v>21</v>
      </c>
      <c r="Q868" s="3">
        <v>0.15440000000000001</v>
      </c>
      <c r="R868" s="2">
        <v>150</v>
      </c>
      <c r="S868" s="2">
        <v>60</v>
      </c>
      <c r="T868" s="2">
        <v>40</v>
      </c>
      <c r="U868" s="3">
        <v>0.26669999999999999</v>
      </c>
      <c r="V868" s="2">
        <v>-19</v>
      </c>
    </row>
    <row r="869" spans="1:22" x14ac:dyDescent="0.25">
      <c r="A869" t="s">
        <v>937</v>
      </c>
      <c r="B869" s="1">
        <v>45593</v>
      </c>
      <c r="C869">
        <v>225</v>
      </c>
      <c r="D869" t="s">
        <v>49</v>
      </c>
      <c r="E869" t="s">
        <v>45</v>
      </c>
      <c r="F869" t="s">
        <v>25</v>
      </c>
      <c r="G869" t="s">
        <v>33</v>
      </c>
      <c r="H869" t="s">
        <v>54</v>
      </c>
      <c r="I869" t="s">
        <v>68</v>
      </c>
      <c r="J869" t="s">
        <v>29</v>
      </c>
      <c r="K869">
        <v>321</v>
      </c>
      <c r="L869">
        <v>16</v>
      </c>
      <c r="M869" s="2">
        <v>141</v>
      </c>
      <c r="N869" s="2">
        <v>53</v>
      </c>
      <c r="O869" s="2">
        <v>39</v>
      </c>
      <c r="P869" s="2">
        <v>49</v>
      </c>
      <c r="Q869" s="3">
        <v>0.34749999999999998</v>
      </c>
      <c r="R869" s="2">
        <v>100</v>
      </c>
      <c r="S869" s="2">
        <v>40</v>
      </c>
      <c r="T869" s="2">
        <v>30</v>
      </c>
      <c r="U869" s="3">
        <v>0.3</v>
      </c>
      <c r="V869" s="2">
        <v>19</v>
      </c>
    </row>
    <row r="870" spans="1:22" x14ac:dyDescent="0.25">
      <c r="A870" t="s">
        <v>938</v>
      </c>
      <c r="B870" s="1">
        <v>45593</v>
      </c>
      <c r="C870">
        <v>920</v>
      </c>
      <c r="D870" t="s">
        <v>23</v>
      </c>
      <c r="E870" t="s">
        <v>24</v>
      </c>
      <c r="F870" t="s">
        <v>25</v>
      </c>
      <c r="G870" t="s">
        <v>33</v>
      </c>
      <c r="H870" t="s">
        <v>34</v>
      </c>
      <c r="I870" t="s">
        <v>83</v>
      </c>
      <c r="J870" t="s">
        <v>40</v>
      </c>
      <c r="K870">
        <v>547</v>
      </c>
      <c r="L870">
        <v>28</v>
      </c>
      <c r="M870" s="2">
        <v>215</v>
      </c>
      <c r="N870" s="2">
        <v>86</v>
      </c>
      <c r="O870" s="2">
        <v>55</v>
      </c>
      <c r="P870" s="2">
        <v>91</v>
      </c>
      <c r="Q870" s="3">
        <v>0.42330000000000001</v>
      </c>
      <c r="R870" s="2">
        <v>200</v>
      </c>
      <c r="S870" s="2">
        <v>80</v>
      </c>
      <c r="T870" s="2">
        <v>100</v>
      </c>
      <c r="U870" s="3">
        <v>0.5</v>
      </c>
      <c r="V870" s="2">
        <v>-9</v>
      </c>
    </row>
    <row r="871" spans="1:22" x14ac:dyDescent="0.25">
      <c r="A871" t="s">
        <v>939</v>
      </c>
      <c r="B871" s="1">
        <v>45597</v>
      </c>
      <c r="C871">
        <v>708</v>
      </c>
      <c r="D871" t="s">
        <v>37</v>
      </c>
      <c r="E871" t="s">
        <v>24</v>
      </c>
      <c r="F871" t="s">
        <v>32</v>
      </c>
      <c r="G871" t="s">
        <v>26</v>
      </c>
      <c r="H871" t="s">
        <v>27</v>
      </c>
      <c r="I871" t="s">
        <v>28</v>
      </c>
      <c r="J871" t="s">
        <v>29</v>
      </c>
      <c r="K871">
        <v>589</v>
      </c>
      <c r="L871">
        <v>14</v>
      </c>
      <c r="M871" s="2">
        <v>131</v>
      </c>
      <c r="N871" s="2">
        <v>50</v>
      </c>
      <c r="O871" s="2">
        <v>25</v>
      </c>
      <c r="P871" s="2">
        <v>71</v>
      </c>
      <c r="Q871" s="3">
        <v>0.54200000000000004</v>
      </c>
      <c r="R871" s="2">
        <v>100</v>
      </c>
      <c r="S871" s="2">
        <v>40</v>
      </c>
      <c r="T871" s="2">
        <v>40</v>
      </c>
      <c r="U871" s="3">
        <v>0.4</v>
      </c>
      <c r="V871" s="2">
        <v>31</v>
      </c>
    </row>
    <row r="872" spans="1:22" x14ac:dyDescent="0.25">
      <c r="A872" t="s">
        <v>940</v>
      </c>
      <c r="B872" s="1">
        <v>45597</v>
      </c>
      <c r="C872">
        <v>971</v>
      </c>
      <c r="D872" t="s">
        <v>71</v>
      </c>
      <c r="E872" t="s">
        <v>53</v>
      </c>
      <c r="F872" t="s">
        <v>25</v>
      </c>
      <c r="G872" t="s">
        <v>26</v>
      </c>
      <c r="H872" t="s">
        <v>38</v>
      </c>
      <c r="I872" t="s">
        <v>39</v>
      </c>
      <c r="J872" t="s">
        <v>40</v>
      </c>
      <c r="K872">
        <v>820</v>
      </c>
      <c r="L872">
        <v>7</v>
      </c>
      <c r="M872" s="2">
        <v>65</v>
      </c>
      <c r="N872" s="2">
        <v>25</v>
      </c>
      <c r="O872" s="2">
        <v>19</v>
      </c>
      <c r="P872" s="2">
        <v>25</v>
      </c>
      <c r="Q872" s="3">
        <v>0.3846</v>
      </c>
      <c r="R872" s="2">
        <v>40</v>
      </c>
      <c r="S872" s="2">
        <v>10</v>
      </c>
      <c r="T872" s="2">
        <v>30</v>
      </c>
      <c r="U872" s="3">
        <v>0.75</v>
      </c>
      <c r="V872" s="2">
        <v>-5</v>
      </c>
    </row>
    <row r="873" spans="1:22" x14ac:dyDescent="0.25">
      <c r="A873" t="s">
        <v>941</v>
      </c>
      <c r="B873" s="1">
        <v>45597</v>
      </c>
      <c r="C873">
        <v>203</v>
      </c>
      <c r="D873" t="s">
        <v>135</v>
      </c>
      <c r="E873" t="s">
        <v>79</v>
      </c>
      <c r="F873" t="s">
        <v>25</v>
      </c>
      <c r="G873" t="s">
        <v>33</v>
      </c>
      <c r="H873" t="s">
        <v>34</v>
      </c>
      <c r="I873" t="s">
        <v>50</v>
      </c>
      <c r="J873" t="s">
        <v>29</v>
      </c>
      <c r="K873">
        <v>1119</v>
      </c>
      <c r="L873">
        <v>41</v>
      </c>
      <c r="M873" s="2">
        <v>334</v>
      </c>
      <c r="N873" s="2">
        <v>125</v>
      </c>
      <c r="O873" s="2">
        <v>73</v>
      </c>
      <c r="P873" s="2">
        <v>171</v>
      </c>
      <c r="Q873" s="3">
        <v>0.51200000000000001</v>
      </c>
      <c r="R873" s="2">
        <v>260</v>
      </c>
      <c r="S873" s="2">
        <v>100</v>
      </c>
      <c r="T873" s="2">
        <v>130</v>
      </c>
      <c r="U873" s="3">
        <v>0.5</v>
      </c>
      <c r="V873" s="2">
        <v>41</v>
      </c>
    </row>
    <row r="874" spans="1:22" x14ac:dyDescent="0.25">
      <c r="A874" t="s">
        <v>942</v>
      </c>
      <c r="B874" s="1">
        <v>45597</v>
      </c>
      <c r="C874">
        <v>315</v>
      </c>
      <c r="D874" t="s">
        <v>99</v>
      </c>
      <c r="E874" t="s">
        <v>79</v>
      </c>
      <c r="F874" t="s">
        <v>32</v>
      </c>
      <c r="G874" t="s">
        <v>26</v>
      </c>
      <c r="H874" t="s">
        <v>38</v>
      </c>
      <c r="I874" t="s">
        <v>66</v>
      </c>
      <c r="J874" t="s">
        <v>40</v>
      </c>
      <c r="K874">
        <v>4360</v>
      </c>
      <c r="L874">
        <v>74</v>
      </c>
      <c r="M874" s="2">
        <v>164</v>
      </c>
      <c r="N874" s="2">
        <v>239</v>
      </c>
      <c r="O874" s="2">
        <v>95</v>
      </c>
      <c r="P874" s="2">
        <v>-170</v>
      </c>
      <c r="Q874" s="3">
        <v>-1.0366</v>
      </c>
      <c r="R874" s="2">
        <v>80</v>
      </c>
      <c r="S874" s="2">
        <v>130</v>
      </c>
      <c r="T874" s="2">
        <v>-100</v>
      </c>
      <c r="U874" s="3">
        <v>-1.25</v>
      </c>
      <c r="V874" s="2">
        <v>-70</v>
      </c>
    </row>
    <row r="875" spans="1:22" x14ac:dyDescent="0.25">
      <c r="A875" t="s">
        <v>943</v>
      </c>
      <c r="B875" s="1">
        <v>45597</v>
      </c>
      <c r="C875">
        <v>630</v>
      </c>
      <c r="D875" t="s">
        <v>37</v>
      </c>
      <c r="E875" t="s">
        <v>24</v>
      </c>
      <c r="F875" t="s">
        <v>32</v>
      </c>
      <c r="G875" t="s">
        <v>33</v>
      </c>
      <c r="H875" t="s">
        <v>34</v>
      </c>
      <c r="I875" t="s">
        <v>83</v>
      </c>
      <c r="J875" t="s">
        <v>40</v>
      </c>
      <c r="K875">
        <v>830</v>
      </c>
      <c r="L875">
        <v>40</v>
      </c>
      <c r="M875" s="2">
        <v>312</v>
      </c>
      <c r="N875" s="2">
        <v>127</v>
      </c>
      <c r="O875" s="2">
        <v>63</v>
      </c>
      <c r="P875" s="2">
        <v>122</v>
      </c>
      <c r="Q875" s="3">
        <v>0.39100000000000001</v>
      </c>
      <c r="R875" s="2">
        <v>300</v>
      </c>
      <c r="S875" s="2">
        <v>120</v>
      </c>
      <c r="T875" s="2">
        <v>130</v>
      </c>
      <c r="U875" s="3">
        <v>0.43330000000000002</v>
      </c>
      <c r="V875" s="2">
        <v>-8</v>
      </c>
    </row>
    <row r="876" spans="1:22" x14ac:dyDescent="0.25">
      <c r="A876" t="s">
        <v>944</v>
      </c>
      <c r="B876" s="1">
        <v>45597</v>
      </c>
      <c r="C876">
        <v>847</v>
      </c>
      <c r="D876" t="s">
        <v>37</v>
      </c>
      <c r="E876" t="s">
        <v>24</v>
      </c>
      <c r="F876" t="s">
        <v>32</v>
      </c>
      <c r="G876" t="s">
        <v>33</v>
      </c>
      <c r="H876" t="s">
        <v>34</v>
      </c>
      <c r="I876" t="s">
        <v>50</v>
      </c>
      <c r="J876" t="s">
        <v>29</v>
      </c>
      <c r="K876">
        <v>1191</v>
      </c>
      <c r="L876">
        <v>73</v>
      </c>
      <c r="M876" s="2">
        <v>534</v>
      </c>
      <c r="N876" s="2">
        <v>224</v>
      </c>
      <c r="O876" s="2">
        <v>116</v>
      </c>
      <c r="P876" s="2">
        <v>194</v>
      </c>
      <c r="Q876" s="3">
        <v>0.36330000000000001</v>
      </c>
      <c r="R876" s="2">
        <v>520</v>
      </c>
      <c r="S876" s="2">
        <v>220</v>
      </c>
      <c r="T876" s="2">
        <v>190</v>
      </c>
      <c r="U876" s="3">
        <v>0.3654</v>
      </c>
      <c r="V876" s="2">
        <v>4</v>
      </c>
    </row>
    <row r="877" spans="1:22" x14ac:dyDescent="0.25">
      <c r="A877" t="s">
        <v>945</v>
      </c>
      <c r="B877" s="1">
        <v>45597</v>
      </c>
      <c r="C877">
        <v>720</v>
      </c>
      <c r="D877" t="s">
        <v>31</v>
      </c>
      <c r="E877" t="s">
        <v>24</v>
      </c>
      <c r="F877" t="s">
        <v>32</v>
      </c>
      <c r="G877" t="s">
        <v>33</v>
      </c>
      <c r="H877" t="s">
        <v>34</v>
      </c>
      <c r="I877" t="s">
        <v>83</v>
      </c>
      <c r="J877" t="s">
        <v>40</v>
      </c>
      <c r="K877">
        <v>984</v>
      </c>
      <c r="L877">
        <v>22</v>
      </c>
      <c r="M877" s="2">
        <v>211</v>
      </c>
      <c r="N877" s="2">
        <v>81</v>
      </c>
      <c r="O877" s="2">
        <v>33</v>
      </c>
      <c r="P877" s="2">
        <v>125</v>
      </c>
      <c r="Q877" s="3">
        <v>0.59240000000000004</v>
      </c>
      <c r="R877" s="2">
        <v>190</v>
      </c>
      <c r="S877" s="2">
        <v>80</v>
      </c>
      <c r="T877" s="2">
        <v>80</v>
      </c>
      <c r="U877" s="3">
        <v>0.42109999999999997</v>
      </c>
      <c r="V877" s="2">
        <v>45</v>
      </c>
    </row>
    <row r="878" spans="1:22" x14ac:dyDescent="0.25">
      <c r="A878" t="s">
        <v>946</v>
      </c>
      <c r="B878" s="1">
        <v>45598</v>
      </c>
      <c r="C878">
        <v>409</v>
      </c>
      <c r="D878" t="s">
        <v>76</v>
      </c>
      <c r="E878" t="s">
        <v>45</v>
      </c>
      <c r="F878" t="s">
        <v>32</v>
      </c>
      <c r="G878" t="s">
        <v>26</v>
      </c>
      <c r="H878" t="s">
        <v>38</v>
      </c>
      <c r="I878" t="s">
        <v>46</v>
      </c>
      <c r="J878" t="s">
        <v>40</v>
      </c>
      <c r="K878">
        <v>419</v>
      </c>
      <c r="L878">
        <v>13</v>
      </c>
      <c r="M878" s="2">
        <v>107</v>
      </c>
      <c r="N878" s="2">
        <v>43</v>
      </c>
      <c r="O878" s="2">
        <v>36</v>
      </c>
      <c r="P878" s="2">
        <v>28</v>
      </c>
      <c r="Q878" s="3">
        <v>0.26169999999999999</v>
      </c>
      <c r="R878" s="2">
        <v>90</v>
      </c>
      <c r="S878" s="2">
        <v>30</v>
      </c>
      <c r="T878" s="2">
        <v>50</v>
      </c>
      <c r="U878" s="3">
        <v>0.55559999999999998</v>
      </c>
      <c r="V878" s="2">
        <v>-22</v>
      </c>
    </row>
    <row r="879" spans="1:22" x14ac:dyDescent="0.25">
      <c r="A879" t="s">
        <v>947</v>
      </c>
      <c r="B879" s="1">
        <v>45598</v>
      </c>
      <c r="C879">
        <v>509</v>
      </c>
      <c r="D879" t="s">
        <v>52</v>
      </c>
      <c r="E879" t="s">
        <v>53</v>
      </c>
      <c r="F879" t="s">
        <v>25</v>
      </c>
      <c r="G879" t="s">
        <v>26</v>
      </c>
      <c r="H879" t="s">
        <v>27</v>
      </c>
      <c r="I879" t="s">
        <v>28</v>
      </c>
      <c r="J879" t="s">
        <v>29</v>
      </c>
      <c r="K879">
        <v>321</v>
      </c>
      <c r="L879">
        <v>16</v>
      </c>
      <c r="M879" s="2">
        <v>150</v>
      </c>
      <c r="N879" s="2">
        <v>53</v>
      </c>
      <c r="O879" s="2">
        <v>39</v>
      </c>
      <c r="P879" s="2">
        <v>73</v>
      </c>
      <c r="Q879" s="3">
        <v>0.48670000000000002</v>
      </c>
      <c r="R879" s="2">
        <v>100</v>
      </c>
      <c r="S879" s="2">
        <v>30</v>
      </c>
      <c r="T879" s="2">
        <v>50</v>
      </c>
      <c r="U879" s="3">
        <v>0.5</v>
      </c>
      <c r="V879" s="2">
        <v>23</v>
      </c>
    </row>
    <row r="880" spans="1:22" x14ac:dyDescent="0.25">
      <c r="A880" t="s">
        <v>948</v>
      </c>
      <c r="B880" s="1">
        <v>45598</v>
      </c>
      <c r="C880">
        <v>815</v>
      </c>
      <c r="D880" t="s">
        <v>37</v>
      </c>
      <c r="E880" t="s">
        <v>24</v>
      </c>
      <c r="F880" t="s">
        <v>32</v>
      </c>
      <c r="G880" t="s">
        <v>33</v>
      </c>
      <c r="H880" t="s">
        <v>54</v>
      </c>
      <c r="I880" t="s">
        <v>68</v>
      </c>
      <c r="J880" t="s">
        <v>29</v>
      </c>
      <c r="K880">
        <v>1744</v>
      </c>
      <c r="L880">
        <v>81</v>
      </c>
      <c r="M880" s="2">
        <v>576</v>
      </c>
      <c r="N880" s="2">
        <v>247</v>
      </c>
      <c r="O880" s="2">
        <v>113</v>
      </c>
      <c r="P880" s="2">
        <v>216</v>
      </c>
      <c r="Q880" s="3">
        <v>0.375</v>
      </c>
      <c r="R880" s="2">
        <v>730</v>
      </c>
      <c r="S880" s="2">
        <v>310</v>
      </c>
      <c r="T880" s="2">
        <v>320</v>
      </c>
      <c r="U880" s="3">
        <v>0.43840000000000001</v>
      </c>
      <c r="V880" s="2">
        <v>-104</v>
      </c>
    </row>
    <row r="881" spans="1:22" x14ac:dyDescent="0.25">
      <c r="A881" t="s">
        <v>949</v>
      </c>
      <c r="B881" s="1">
        <v>45599</v>
      </c>
      <c r="C881">
        <v>857</v>
      </c>
      <c r="D881" t="s">
        <v>78</v>
      </c>
      <c r="E881" t="s">
        <v>79</v>
      </c>
      <c r="F881" t="s">
        <v>32</v>
      </c>
      <c r="G881" t="s">
        <v>33</v>
      </c>
      <c r="H881" t="s">
        <v>34</v>
      </c>
      <c r="I881" t="s">
        <v>50</v>
      </c>
      <c r="J881" t="s">
        <v>29</v>
      </c>
      <c r="K881">
        <v>-3287</v>
      </c>
      <c r="L881">
        <v>24</v>
      </c>
      <c r="M881" s="2">
        <v>484</v>
      </c>
      <c r="N881" s="2">
        <v>75</v>
      </c>
      <c r="O881" s="2">
        <v>55</v>
      </c>
      <c r="P881" s="2">
        <v>481</v>
      </c>
      <c r="Q881" s="3">
        <v>0.99380000000000002</v>
      </c>
      <c r="R881" s="2">
        <v>400</v>
      </c>
      <c r="S881" s="2">
        <v>60</v>
      </c>
      <c r="T881" s="2">
        <v>300</v>
      </c>
      <c r="U881" s="3">
        <v>0.75</v>
      </c>
      <c r="V881" s="2">
        <v>181</v>
      </c>
    </row>
    <row r="882" spans="1:22" x14ac:dyDescent="0.25">
      <c r="A882" t="s">
        <v>950</v>
      </c>
      <c r="B882" s="1">
        <v>45599</v>
      </c>
      <c r="C882">
        <v>314</v>
      </c>
      <c r="D882" t="s">
        <v>58</v>
      </c>
      <c r="E882" t="s">
        <v>24</v>
      </c>
      <c r="F882" t="s">
        <v>25</v>
      </c>
      <c r="G882" t="s">
        <v>33</v>
      </c>
      <c r="H882" t="s">
        <v>54</v>
      </c>
      <c r="I882" t="s">
        <v>68</v>
      </c>
      <c r="J882" t="s">
        <v>29</v>
      </c>
      <c r="K882">
        <v>881</v>
      </c>
      <c r="L882">
        <v>11</v>
      </c>
      <c r="M882" s="2">
        <v>99</v>
      </c>
      <c r="N882" s="2">
        <v>40</v>
      </c>
      <c r="O882" s="2">
        <v>23</v>
      </c>
      <c r="P882" s="2">
        <v>36</v>
      </c>
      <c r="Q882" s="3">
        <v>0.36359999999999998</v>
      </c>
      <c r="R882" s="2">
        <v>140</v>
      </c>
      <c r="S882" s="2">
        <v>50</v>
      </c>
      <c r="T882" s="2">
        <v>90</v>
      </c>
      <c r="U882" s="3">
        <v>0.64290000000000003</v>
      </c>
      <c r="V882" s="2">
        <v>-54</v>
      </c>
    </row>
    <row r="883" spans="1:22" x14ac:dyDescent="0.25">
      <c r="A883" t="s">
        <v>951</v>
      </c>
      <c r="B883" s="1">
        <v>45599</v>
      </c>
      <c r="C883">
        <v>213</v>
      </c>
      <c r="D883" t="s">
        <v>62</v>
      </c>
      <c r="E883" t="s">
        <v>53</v>
      </c>
      <c r="F883" t="s">
        <v>32</v>
      </c>
      <c r="G883" t="s">
        <v>26</v>
      </c>
      <c r="H883" t="s">
        <v>27</v>
      </c>
      <c r="I883" t="s">
        <v>28</v>
      </c>
      <c r="J883" t="s">
        <v>29</v>
      </c>
      <c r="K883">
        <v>930</v>
      </c>
      <c r="L883">
        <v>33</v>
      </c>
      <c r="M883" s="2">
        <v>290</v>
      </c>
      <c r="N883" s="2">
        <v>118</v>
      </c>
      <c r="O883" s="2">
        <v>44</v>
      </c>
      <c r="P883" s="2">
        <v>128</v>
      </c>
      <c r="Q883" s="3">
        <v>0.44140000000000001</v>
      </c>
      <c r="R883" s="2">
        <v>210</v>
      </c>
      <c r="S883" s="2">
        <v>80</v>
      </c>
      <c r="T883" s="2">
        <v>110</v>
      </c>
      <c r="U883" s="3">
        <v>0.52380000000000004</v>
      </c>
      <c r="V883" s="2">
        <v>18</v>
      </c>
    </row>
    <row r="884" spans="1:22" x14ac:dyDescent="0.25">
      <c r="A884" t="s">
        <v>952</v>
      </c>
      <c r="B884" s="1">
        <v>45599</v>
      </c>
      <c r="C884">
        <v>702</v>
      </c>
      <c r="D884" t="s">
        <v>65</v>
      </c>
      <c r="E884" t="s">
        <v>53</v>
      </c>
      <c r="F884" t="s">
        <v>25</v>
      </c>
      <c r="G884" t="s">
        <v>26</v>
      </c>
      <c r="H884" t="s">
        <v>38</v>
      </c>
      <c r="I884" t="s">
        <v>66</v>
      </c>
      <c r="J884" t="s">
        <v>40</v>
      </c>
      <c r="K884">
        <v>803</v>
      </c>
      <c r="L884">
        <v>36</v>
      </c>
      <c r="M884" s="2">
        <v>278</v>
      </c>
      <c r="N884" s="2">
        <v>113</v>
      </c>
      <c r="O884" s="2">
        <v>58</v>
      </c>
      <c r="P884" s="2">
        <v>107</v>
      </c>
      <c r="Q884" s="3">
        <v>0.38490000000000002</v>
      </c>
      <c r="R884" s="2">
        <v>250</v>
      </c>
      <c r="S884" s="2">
        <v>100</v>
      </c>
      <c r="T884" s="2">
        <v>100</v>
      </c>
      <c r="U884" s="3">
        <v>0.4</v>
      </c>
      <c r="V884" s="2">
        <v>7</v>
      </c>
    </row>
    <row r="885" spans="1:22" x14ac:dyDescent="0.25">
      <c r="A885" t="s">
        <v>953</v>
      </c>
      <c r="B885" s="1">
        <v>45600</v>
      </c>
      <c r="C885">
        <v>504</v>
      </c>
      <c r="D885" t="s">
        <v>49</v>
      </c>
      <c r="E885" t="s">
        <v>45</v>
      </c>
      <c r="F885" t="s">
        <v>25</v>
      </c>
      <c r="G885" t="s">
        <v>33</v>
      </c>
      <c r="H885" t="s">
        <v>54</v>
      </c>
      <c r="I885" t="s">
        <v>72</v>
      </c>
      <c r="J885" t="s">
        <v>29</v>
      </c>
      <c r="K885">
        <v>-762</v>
      </c>
      <c r="L885">
        <v>54</v>
      </c>
      <c r="M885" s="2">
        <v>153</v>
      </c>
      <c r="N885" s="2">
        <v>60</v>
      </c>
      <c r="O885" s="2">
        <v>83</v>
      </c>
      <c r="P885" s="2">
        <v>1</v>
      </c>
      <c r="Q885" s="3">
        <v>6.4999999999999997E-3</v>
      </c>
      <c r="R885" s="2">
        <v>90</v>
      </c>
      <c r="S885" s="2">
        <v>30</v>
      </c>
      <c r="T885" s="2">
        <v>10</v>
      </c>
      <c r="U885" s="3">
        <v>0.1111</v>
      </c>
      <c r="V885" s="2">
        <v>-9</v>
      </c>
    </row>
    <row r="886" spans="1:22" x14ac:dyDescent="0.25">
      <c r="A886" t="s">
        <v>954</v>
      </c>
      <c r="B886" s="1">
        <v>45600</v>
      </c>
      <c r="C886">
        <v>253</v>
      </c>
      <c r="D886" t="s">
        <v>52</v>
      </c>
      <c r="E886" t="s">
        <v>53</v>
      </c>
      <c r="F886" t="s">
        <v>25</v>
      </c>
      <c r="G886" t="s">
        <v>33</v>
      </c>
      <c r="H886" t="s">
        <v>34</v>
      </c>
      <c r="I886" t="s">
        <v>83</v>
      </c>
      <c r="J886" t="s">
        <v>40</v>
      </c>
      <c r="K886">
        <v>694</v>
      </c>
      <c r="L886">
        <v>85</v>
      </c>
      <c r="M886" s="2">
        <v>224</v>
      </c>
      <c r="N886" s="2">
        <v>94</v>
      </c>
      <c r="O886" s="2">
        <v>114</v>
      </c>
      <c r="P886" s="2">
        <v>16</v>
      </c>
      <c r="Q886" s="3">
        <v>7.1400000000000005E-2</v>
      </c>
      <c r="R886" s="2">
        <v>260</v>
      </c>
      <c r="S886" s="2">
        <v>110</v>
      </c>
      <c r="T886" s="2">
        <v>40</v>
      </c>
      <c r="U886" s="3">
        <v>0.15379999999999999</v>
      </c>
      <c r="V886" s="2">
        <v>-24</v>
      </c>
    </row>
    <row r="887" spans="1:22" x14ac:dyDescent="0.25">
      <c r="A887" t="s">
        <v>955</v>
      </c>
      <c r="B887" s="1">
        <v>45601</v>
      </c>
      <c r="C887">
        <v>775</v>
      </c>
      <c r="D887" t="s">
        <v>65</v>
      </c>
      <c r="E887" t="s">
        <v>53</v>
      </c>
      <c r="F887" t="s">
        <v>25</v>
      </c>
      <c r="G887" t="s">
        <v>33</v>
      </c>
      <c r="H887" t="s">
        <v>54</v>
      </c>
      <c r="I887" t="s">
        <v>55</v>
      </c>
      <c r="J887" t="s">
        <v>40</v>
      </c>
      <c r="K887">
        <v>807</v>
      </c>
      <c r="L887">
        <v>6</v>
      </c>
      <c r="M887" s="2">
        <v>62</v>
      </c>
      <c r="N887" s="2">
        <v>23</v>
      </c>
      <c r="O887" s="2">
        <v>18</v>
      </c>
      <c r="P887" s="2">
        <v>25</v>
      </c>
      <c r="Q887" s="3">
        <v>0.4032</v>
      </c>
      <c r="R887" s="2">
        <v>50</v>
      </c>
      <c r="S887" s="2">
        <v>20</v>
      </c>
      <c r="T887" s="2">
        <v>20</v>
      </c>
      <c r="U887" s="3">
        <v>0.4</v>
      </c>
      <c r="V887" s="2">
        <v>5</v>
      </c>
    </row>
    <row r="888" spans="1:22" x14ac:dyDescent="0.25">
      <c r="A888" t="s">
        <v>956</v>
      </c>
      <c r="B888" s="1">
        <v>45601</v>
      </c>
      <c r="C888">
        <v>351</v>
      </c>
      <c r="D888" t="s">
        <v>78</v>
      </c>
      <c r="E888" t="s">
        <v>79</v>
      </c>
      <c r="F888" t="s">
        <v>32</v>
      </c>
      <c r="G888" t="s">
        <v>33</v>
      </c>
      <c r="H888" t="s">
        <v>34</v>
      </c>
      <c r="I888" t="s">
        <v>50</v>
      </c>
      <c r="J888" t="s">
        <v>29</v>
      </c>
      <c r="K888">
        <v>-3534</v>
      </c>
      <c r="L888">
        <v>22</v>
      </c>
      <c r="M888" s="2">
        <v>543</v>
      </c>
      <c r="N888" s="2">
        <v>67</v>
      </c>
      <c r="O888" s="2">
        <v>53</v>
      </c>
      <c r="P888" s="2">
        <v>579</v>
      </c>
      <c r="Q888" s="3">
        <v>1.0663</v>
      </c>
      <c r="R888" s="2">
        <v>450</v>
      </c>
      <c r="S888" s="2">
        <v>60</v>
      </c>
      <c r="T888" s="2">
        <v>360</v>
      </c>
      <c r="U888" s="3">
        <v>0.8</v>
      </c>
      <c r="V888" s="2">
        <v>219</v>
      </c>
    </row>
    <row r="889" spans="1:22" x14ac:dyDescent="0.25">
      <c r="A889" t="s">
        <v>957</v>
      </c>
      <c r="B889" s="1">
        <v>45602</v>
      </c>
      <c r="C889">
        <v>702</v>
      </c>
      <c r="D889" t="s">
        <v>65</v>
      </c>
      <c r="E889" t="s">
        <v>53</v>
      </c>
      <c r="F889" t="s">
        <v>25</v>
      </c>
      <c r="G889" t="s">
        <v>33</v>
      </c>
      <c r="H889" t="s">
        <v>54</v>
      </c>
      <c r="I889" t="s">
        <v>72</v>
      </c>
      <c r="J889" t="s">
        <v>29</v>
      </c>
      <c r="K889">
        <v>430</v>
      </c>
      <c r="L889">
        <v>0</v>
      </c>
      <c r="M889" s="2">
        <v>46</v>
      </c>
      <c r="N889" s="2">
        <v>0</v>
      </c>
      <c r="O889" s="2">
        <v>11</v>
      </c>
      <c r="P889" s="2">
        <v>47</v>
      </c>
      <c r="Q889" s="3">
        <v>1.0217000000000001</v>
      </c>
      <c r="R889" s="2">
        <v>30</v>
      </c>
      <c r="S889" s="2">
        <v>0</v>
      </c>
      <c r="T889" s="2">
        <v>30</v>
      </c>
      <c r="U889" s="3">
        <v>1</v>
      </c>
      <c r="V889" s="2">
        <v>17</v>
      </c>
    </row>
    <row r="890" spans="1:22" x14ac:dyDescent="0.25">
      <c r="A890" t="s">
        <v>958</v>
      </c>
      <c r="B890" s="1">
        <v>45602</v>
      </c>
      <c r="C890">
        <v>937</v>
      </c>
      <c r="D890" t="s">
        <v>85</v>
      </c>
      <c r="E890" t="s">
        <v>24</v>
      </c>
      <c r="F890" t="s">
        <v>32</v>
      </c>
      <c r="G890" t="s">
        <v>33</v>
      </c>
      <c r="H890" t="s">
        <v>54</v>
      </c>
      <c r="I890" t="s">
        <v>55</v>
      </c>
      <c r="J890" t="s">
        <v>40</v>
      </c>
      <c r="K890">
        <v>410</v>
      </c>
      <c r="L890">
        <v>20</v>
      </c>
      <c r="M890" s="2">
        <v>132</v>
      </c>
      <c r="N890" s="2">
        <v>55</v>
      </c>
      <c r="O890" s="2">
        <v>53</v>
      </c>
      <c r="P890" s="2">
        <v>24</v>
      </c>
      <c r="Q890" s="3">
        <v>0.18179999999999999</v>
      </c>
      <c r="R890" s="2">
        <v>150</v>
      </c>
      <c r="S890" s="2">
        <v>70</v>
      </c>
      <c r="T890" s="2">
        <v>40</v>
      </c>
      <c r="U890" s="3">
        <v>0.26669999999999999</v>
      </c>
      <c r="V890" s="2">
        <v>-16</v>
      </c>
    </row>
    <row r="891" spans="1:22" x14ac:dyDescent="0.25">
      <c r="A891" t="s">
        <v>959</v>
      </c>
      <c r="B891" s="1">
        <v>45602</v>
      </c>
      <c r="C891">
        <v>772</v>
      </c>
      <c r="D891" t="s">
        <v>117</v>
      </c>
      <c r="E891" t="s">
        <v>79</v>
      </c>
      <c r="F891" t="s">
        <v>32</v>
      </c>
      <c r="G891" t="s">
        <v>33</v>
      </c>
      <c r="H891" t="s">
        <v>54</v>
      </c>
      <c r="I891" t="s">
        <v>55</v>
      </c>
      <c r="J891" t="s">
        <v>40</v>
      </c>
      <c r="K891">
        <v>557</v>
      </c>
      <c r="L891">
        <v>25</v>
      </c>
      <c r="M891" s="2">
        <v>192</v>
      </c>
      <c r="N891" s="2">
        <v>77</v>
      </c>
      <c r="O891" s="2">
        <v>52</v>
      </c>
      <c r="P891" s="2">
        <v>76</v>
      </c>
      <c r="Q891" s="3">
        <v>0.39579999999999999</v>
      </c>
      <c r="R891" s="2">
        <v>170</v>
      </c>
      <c r="S891" s="2">
        <v>70</v>
      </c>
      <c r="T891" s="2">
        <v>60</v>
      </c>
      <c r="U891" s="3">
        <v>0.35289999999999999</v>
      </c>
      <c r="V891" s="2">
        <v>16</v>
      </c>
    </row>
    <row r="892" spans="1:22" x14ac:dyDescent="0.25">
      <c r="A892" t="s">
        <v>960</v>
      </c>
      <c r="B892" s="1">
        <v>45603</v>
      </c>
      <c r="C892">
        <v>774</v>
      </c>
      <c r="D892" t="s">
        <v>78</v>
      </c>
      <c r="E892" t="s">
        <v>79</v>
      </c>
      <c r="F892" t="s">
        <v>32</v>
      </c>
      <c r="G892" t="s">
        <v>26</v>
      </c>
      <c r="H892" t="s">
        <v>38</v>
      </c>
      <c r="I892" t="s">
        <v>46</v>
      </c>
      <c r="J892" t="s">
        <v>40</v>
      </c>
      <c r="K892">
        <v>422</v>
      </c>
      <c r="L892">
        <v>17</v>
      </c>
      <c r="M892" s="2">
        <v>110</v>
      </c>
      <c r="N892" s="2">
        <v>46</v>
      </c>
      <c r="O892" s="2">
        <v>50</v>
      </c>
      <c r="P892" s="2">
        <v>10</v>
      </c>
      <c r="Q892" s="3">
        <v>9.0899999999999995E-2</v>
      </c>
      <c r="R892" s="2">
        <v>70</v>
      </c>
      <c r="S892" s="2">
        <v>30</v>
      </c>
      <c r="T892" s="2">
        <v>10</v>
      </c>
      <c r="U892" s="3">
        <v>0.1429</v>
      </c>
      <c r="V892" s="2">
        <v>0</v>
      </c>
    </row>
    <row r="893" spans="1:22" x14ac:dyDescent="0.25">
      <c r="A893" t="s">
        <v>961</v>
      </c>
      <c r="B893" s="1">
        <v>45603</v>
      </c>
      <c r="C893">
        <v>863</v>
      </c>
      <c r="D893" t="s">
        <v>117</v>
      </c>
      <c r="E893" t="s">
        <v>79</v>
      </c>
      <c r="F893" t="s">
        <v>32</v>
      </c>
      <c r="G893" t="s">
        <v>26</v>
      </c>
      <c r="H893" t="s">
        <v>27</v>
      </c>
      <c r="I893" t="s">
        <v>59</v>
      </c>
      <c r="J893" t="s">
        <v>29</v>
      </c>
      <c r="K893">
        <v>851</v>
      </c>
      <c r="L893">
        <v>13</v>
      </c>
      <c r="M893" s="2">
        <v>118</v>
      </c>
      <c r="N893" s="2">
        <v>48</v>
      </c>
      <c r="O893" s="2">
        <v>24</v>
      </c>
      <c r="P893" s="2">
        <v>46</v>
      </c>
      <c r="Q893" s="3">
        <v>0.38979999999999998</v>
      </c>
      <c r="R893" s="2">
        <v>120</v>
      </c>
      <c r="S893" s="2">
        <v>50</v>
      </c>
      <c r="T893" s="2">
        <v>60</v>
      </c>
      <c r="U893" s="3">
        <v>0.5</v>
      </c>
      <c r="V893" s="2">
        <v>-14</v>
      </c>
    </row>
    <row r="894" spans="1:22" x14ac:dyDescent="0.25">
      <c r="A894" t="s">
        <v>962</v>
      </c>
      <c r="B894" s="1">
        <v>45603</v>
      </c>
      <c r="C894">
        <v>918</v>
      </c>
      <c r="D894" t="s">
        <v>148</v>
      </c>
      <c r="E894" t="s">
        <v>45</v>
      </c>
      <c r="F894" t="s">
        <v>25</v>
      </c>
      <c r="G894" t="s">
        <v>33</v>
      </c>
      <c r="H894" t="s">
        <v>34</v>
      </c>
      <c r="I894" t="s">
        <v>50</v>
      </c>
      <c r="J894" t="s">
        <v>29</v>
      </c>
      <c r="K894">
        <v>561</v>
      </c>
      <c r="L894">
        <v>29</v>
      </c>
      <c r="M894" s="2">
        <v>200</v>
      </c>
      <c r="N894" s="2">
        <v>88</v>
      </c>
      <c r="O894" s="2">
        <v>41</v>
      </c>
      <c r="P894" s="2">
        <v>71</v>
      </c>
      <c r="Q894" s="3">
        <v>0.35499999999999998</v>
      </c>
      <c r="R894" s="2">
        <v>230</v>
      </c>
      <c r="S894" s="2">
        <v>100</v>
      </c>
      <c r="T894" s="2">
        <v>90</v>
      </c>
      <c r="U894" s="3">
        <v>0.39129999999999998</v>
      </c>
      <c r="V894" s="2">
        <v>-19</v>
      </c>
    </row>
    <row r="895" spans="1:22" x14ac:dyDescent="0.25">
      <c r="A895" t="s">
        <v>963</v>
      </c>
      <c r="B895" s="1">
        <v>45603</v>
      </c>
      <c r="C895">
        <v>813</v>
      </c>
      <c r="D895" t="s">
        <v>117</v>
      </c>
      <c r="E895" t="s">
        <v>79</v>
      </c>
      <c r="F895" t="s">
        <v>32</v>
      </c>
      <c r="G895" t="s">
        <v>33</v>
      </c>
      <c r="H895" t="s">
        <v>34</v>
      </c>
      <c r="I895" t="s">
        <v>83</v>
      </c>
      <c r="J895" t="s">
        <v>40</v>
      </c>
      <c r="K895">
        <v>690</v>
      </c>
      <c r="L895">
        <v>41</v>
      </c>
      <c r="M895" s="2">
        <v>320</v>
      </c>
      <c r="N895" s="2">
        <v>134</v>
      </c>
      <c r="O895" s="2">
        <v>64</v>
      </c>
      <c r="P895" s="2">
        <v>122</v>
      </c>
      <c r="Q895" s="3">
        <v>0.38129999999999997</v>
      </c>
      <c r="R895" s="2">
        <v>280</v>
      </c>
      <c r="S895" s="2">
        <v>120</v>
      </c>
      <c r="T895" s="2">
        <v>110</v>
      </c>
      <c r="U895" s="3">
        <v>0.39290000000000003</v>
      </c>
      <c r="V895" s="2">
        <v>12</v>
      </c>
    </row>
    <row r="896" spans="1:22" x14ac:dyDescent="0.25">
      <c r="A896" t="s">
        <v>964</v>
      </c>
      <c r="B896" s="1">
        <v>45603</v>
      </c>
      <c r="C896">
        <v>719</v>
      </c>
      <c r="D896" t="s">
        <v>31</v>
      </c>
      <c r="E896" t="s">
        <v>24</v>
      </c>
      <c r="F896" t="s">
        <v>32</v>
      </c>
      <c r="G896" t="s">
        <v>26</v>
      </c>
      <c r="H896" t="s">
        <v>27</v>
      </c>
      <c r="I896" t="s">
        <v>59</v>
      </c>
      <c r="J896" t="s">
        <v>29</v>
      </c>
      <c r="K896">
        <v>561</v>
      </c>
      <c r="L896">
        <v>29</v>
      </c>
      <c r="M896" s="2">
        <v>200</v>
      </c>
      <c r="N896" s="2">
        <v>88</v>
      </c>
      <c r="O896" s="2">
        <v>42</v>
      </c>
      <c r="P896" s="2">
        <v>70</v>
      </c>
      <c r="Q896" s="3">
        <v>0.35</v>
      </c>
      <c r="R896" s="2">
        <v>160</v>
      </c>
      <c r="S896" s="2">
        <v>70</v>
      </c>
      <c r="T896" s="2">
        <v>60</v>
      </c>
      <c r="U896" s="3">
        <v>0.375</v>
      </c>
      <c r="V896" s="2">
        <v>10</v>
      </c>
    </row>
    <row r="897" spans="1:22" x14ac:dyDescent="0.25">
      <c r="A897" t="s">
        <v>965</v>
      </c>
      <c r="B897" s="1">
        <v>45604</v>
      </c>
      <c r="C897">
        <v>214</v>
      </c>
      <c r="D897" t="s">
        <v>76</v>
      </c>
      <c r="E897" t="s">
        <v>45</v>
      </c>
      <c r="F897" t="s">
        <v>32</v>
      </c>
      <c r="G897" t="s">
        <v>26</v>
      </c>
      <c r="H897" t="s">
        <v>38</v>
      </c>
      <c r="I897" t="s">
        <v>46</v>
      </c>
      <c r="J897" t="s">
        <v>40</v>
      </c>
      <c r="K897">
        <v>435</v>
      </c>
      <c r="L897">
        <v>13</v>
      </c>
      <c r="M897" s="2">
        <v>101</v>
      </c>
      <c r="N897" s="2">
        <v>41</v>
      </c>
      <c r="O897" s="2">
        <v>36</v>
      </c>
      <c r="P897" s="2">
        <v>24</v>
      </c>
      <c r="Q897" s="3">
        <v>0.23760000000000001</v>
      </c>
      <c r="R897" s="2">
        <v>90</v>
      </c>
      <c r="S897" s="2">
        <v>30</v>
      </c>
      <c r="T897" s="2">
        <v>30</v>
      </c>
      <c r="U897" s="3">
        <v>0.33329999999999999</v>
      </c>
      <c r="V897" s="2">
        <v>-6</v>
      </c>
    </row>
    <row r="898" spans="1:22" x14ac:dyDescent="0.25">
      <c r="A898" t="s">
        <v>966</v>
      </c>
      <c r="B898" s="1">
        <v>45604</v>
      </c>
      <c r="C898">
        <v>580</v>
      </c>
      <c r="D898" t="s">
        <v>148</v>
      </c>
      <c r="E898" t="s">
        <v>45</v>
      </c>
      <c r="F898" t="s">
        <v>25</v>
      </c>
      <c r="G898" t="s">
        <v>26</v>
      </c>
      <c r="H898" t="s">
        <v>38</v>
      </c>
      <c r="I898" t="s">
        <v>46</v>
      </c>
      <c r="J898" t="s">
        <v>40</v>
      </c>
      <c r="K898">
        <v>694</v>
      </c>
      <c r="L898">
        <v>85</v>
      </c>
      <c r="M898" s="2">
        <v>224</v>
      </c>
      <c r="N898" s="2">
        <v>94</v>
      </c>
      <c r="O898" s="2">
        <v>115</v>
      </c>
      <c r="P898" s="2">
        <v>15</v>
      </c>
      <c r="Q898" s="3">
        <v>6.7000000000000004E-2</v>
      </c>
      <c r="R898" s="2">
        <v>200</v>
      </c>
      <c r="S898" s="2">
        <v>80</v>
      </c>
      <c r="T898" s="2">
        <v>20</v>
      </c>
      <c r="U898" s="3">
        <v>0.1</v>
      </c>
      <c r="V898" s="2">
        <v>-5</v>
      </c>
    </row>
    <row r="899" spans="1:22" x14ac:dyDescent="0.25">
      <c r="A899" t="s">
        <v>967</v>
      </c>
      <c r="B899" s="1">
        <v>45604</v>
      </c>
      <c r="C899">
        <v>505</v>
      </c>
      <c r="D899" t="s">
        <v>44</v>
      </c>
      <c r="E899" t="s">
        <v>45</v>
      </c>
      <c r="F899" t="s">
        <v>25</v>
      </c>
      <c r="G899" t="s">
        <v>33</v>
      </c>
      <c r="H899" t="s">
        <v>34</v>
      </c>
      <c r="I899" t="s">
        <v>83</v>
      </c>
      <c r="J899" t="s">
        <v>40</v>
      </c>
      <c r="K899">
        <v>1898</v>
      </c>
      <c r="L899">
        <v>28</v>
      </c>
      <c r="M899" s="2">
        <v>160</v>
      </c>
      <c r="N899" s="2">
        <v>92</v>
      </c>
      <c r="O899" s="2">
        <v>52</v>
      </c>
      <c r="P899" s="2">
        <v>16</v>
      </c>
      <c r="Q899" s="3">
        <v>0.1</v>
      </c>
      <c r="R899" s="2">
        <v>190</v>
      </c>
      <c r="S899" s="2">
        <v>100</v>
      </c>
      <c r="T899" s="2">
        <v>40</v>
      </c>
      <c r="U899" s="3">
        <v>0.21049999999999999</v>
      </c>
      <c r="V899" s="2">
        <v>-24</v>
      </c>
    </row>
    <row r="900" spans="1:22" x14ac:dyDescent="0.25">
      <c r="A900" t="s">
        <v>968</v>
      </c>
      <c r="B900" s="1">
        <v>45604</v>
      </c>
      <c r="C900">
        <v>718</v>
      </c>
      <c r="D900" t="s">
        <v>99</v>
      </c>
      <c r="E900" t="s">
        <v>79</v>
      </c>
      <c r="F900" t="s">
        <v>32</v>
      </c>
      <c r="G900" t="s">
        <v>33</v>
      </c>
      <c r="H900" t="s">
        <v>54</v>
      </c>
      <c r="I900" t="s">
        <v>101</v>
      </c>
      <c r="J900" t="s">
        <v>29</v>
      </c>
      <c r="K900">
        <v>1197</v>
      </c>
      <c r="L900">
        <v>66</v>
      </c>
      <c r="M900" s="2">
        <v>765</v>
      </c>
      <c r="N900" s="2">
        <v>239</v>
      </c>
      <c r="O900" s="2">
        <v>91</v>
      </c>
      <c r="P900" s="2">
        <v>435</v>
      </c>
      <c r="Q900" s="3">
        <v>0.56859999999999999</v>
      </c>
      <c r="R900" s="2">
        <v>720</v>
      </c>
      <c r="S900" s="2">
        <v>210</v>
      </c>
      <c r="T900" s="2">
        <v>450</v>
      </c>
      <c r="U900" s="3">
        <v>0.625</v>
      </c>
      <c r="V900" s="2">
        <v>-15</v>
      </c>
    </row>
    <row r="901" spans="1:22" x14ac:dyDescent="0.25">
      <c r="A901" t="s">
        <v>969</v>
      </c>
      <c r="B901" s="1">
        <v>45605</v>
      </c>
      <c r="C901">
        <v>309</v>
      </c>
      <c r="D901" t="s">
        <v>37</v>
      </c>
      <c r="E901" t="s">
        <v>24</v>
      </c>
      <c r="F901" t="s">
        <v>32</v>
      </c>
      <c r="G901" t="s">
        <v>26</v>
      </c>
      <c r="H901" t="s">
        <v>27</v>
      </c>
      <c r="I901" t="s">
        <v>28</v>
      </c>
      <c r="J901" t="s">
        <v>29</v>
      </c>
      <c r="K901">
        <v>601</v>
      </c>
      <c r="L901">
        <v>15</v>
      </c>
      <c r="M901" s="2">
        <v>133</v>
      </c>
      <c r="N901" s="2">
        <v>54</v>
      </c>
      <c r="O901" s="2">
        <v>26</v>
      </c>
      <c r="P901" s="2">
        <v>53</v>
      </c>
      <c r="Q901" s="3">
        <v>0.39850000000000002</v>
      </c>
      <c r="R901" s="2">
        <v>110</v>
      </c>
      <c r="S901" s="2">
        <v>40</v>
      </c>
      <c r="T901" s="2">
        <v>50</v>
      </c>
      <c r="U901" s="3">
        <v>0.45450000000000002</v>
      </c>
      <c r="V901" s="2">
        <v>3</v>
      </c>
    </row>
    <row r="902" spans="1:22" x14ac:dyDescent="0.25">
      <c r="A902" t="s">
        <v>970</v>
      </c>
      <c r="B902" s="1">
        <v>45605</v>
      </c>
      <c r="C902">
        <v>314</v>
      </c>
      <c r="D902" t="s">
        <v>58</v>
      </c>
      <c r="E902" t="s">
        <v>24</v>
      </c>
      <c r="F902" t="s">
        <v>25</v>
      </c>
      <c r="G902" t="s">
        <v>26</v>
      </c>
      <c r="H902" t="s">
        <v>27</v>
      </c>
      <c r="I902" t="s">
        <v>59</v>
      </c>
      <c r="J902" t="s">
        <v>29</v>
      </c>
      <c r="K902">
        <v>240</v>
      </c>
      <c r="L902">
        <v>12</v>
      </c>
      <c r="M902" s="2">
        <v>77</v>
      </c>
      <c r="N902" s="2">
        <v>34</v>
      </c>
      <c r="O902" s="2">
        <v>46</v>
      </c>
      <c r="P902" s="2">
        <v>-3</v>
      </c>
      <c r="Q902" s="3">
        <v>-3.9E-2</v>
      </c>
      <c r="R902" s="2">
        <v>40</v>
      </c>
      <c r="S902" s="2">
        <v>10</v>
      </c>
      <c r="T902" s="2">
        <v>10</v>
      </c>
      <c r="U902" s="3">
        <v>0.25</v>
      </c>
      <c r="V902" s="2">
        <v>-13</v>
      </c>
    </row>
    <row r="903" spans="1:22" x14ac:dyDescent="0.25">
      <c r="A903" t="s">
        <v>971</v>
      </c>
      <c r="B903" s="1">
        <v>45606</v>
      </c>
      <c r="C903">
        <v>303</v>
      </c>
      <c r="D903" t="s">
        <v>31</v>
      </c>
      <c r="E903" t="s">
        <v>24</v>
      </c>
      <c r="F903" t="s">
        <v>32</v>
      </c>
      <c r="G903" t="s">
        <v>26</v>
      </c>
      <c r="H903" t="s">
        <v>27</v>
      </c>
      <c r="I903" t="s">
        <v>42</v>
      </c>
      <c r="J903" t="s">
        <v>29</v>
      </c>
      <c r="K903">
        <v>1054</v>
      </c>
      <c r="L903">
        <v>16</v>
      </c>
      <c r="M903" s="2">
        <v>116</v>
      </c>
      <c r="N903" s="2">
        <v>53</v>
      </c>
      <c r="O903" s="2">
        <v>37</v>
      </c>
      <c r="P903" s="2">
        <v>26</v>
      </c>
      <c r="Q903" s="3">
        <v>0.22409999999999999</v>
      </c>
      <c r="R903" s="2">
        <v>90</v>
      </c>
      <c r="S903" s="2">
        <v>40</v>
      </c>
      <c r="T903" s="2">
        <v>20</v>
      </c>
      <c r="U903" s="3">
        <v>0.22220000000000001</v>
      </c>
      <c r="V903" s="2">
        <v>6</v>
      </c>
    </row>
    <row r="904" spans="1:22" x14ac:dyDescent="0.25">
      <c r="A904" t="s">
        <v>972</v>
      </c>
      <c r="B904" s="1">
        <v>45606</v>
      </c>
      <c r="C904">
        <v>407</v>
      </c>
      <c r="D904" t="s">
        <v>117</v>
      </c>
      <c r="E904" t="s">
        <v>79</v>
      </c>
      <c r="F904" t="s">
        <v>32</v>
      </c>
      <c r="G904" t="s">
        <v>33</v>
      </c>
      <c r="H904" t="s">
        <v>34</v>
      </c>
      <c r="I904" t="s">
        <v>50</v>
      </c>
      <c r="J904" t="s">
        <v>29</v>
      </c>
      <c r="K904">
        <v>788</v>
      </c>
      <c r="L904">
        <v>27</v>
      </c>
      <c r="M904" s="2">
        <v>205</v>
      </c>
      <c r="N904" s="2">
        <v>82</v>
      </c>
      <c r="O904" s="2">
        <v>59</v>
      </c>
      <c r="P904" s="2">
        <v>64</v>
      </c>
      <c r="Q904" s="3">
        <v>0.31219999999999998</v>
      </c>
      <c r="R904" s="2">
        <v>170</v>
      </c>
      <c r="S904" s="2">
        <v>60</v>
      </c>
      <c r="T904" s="2">
        <v>90</v>
      </c>
      <c r="U904" s="3">
        <v>0.52939999999999998</v>
      </c>
      <c r="V904" s="2">
        <v>-26</v>
      </c>
    </row>
    <row r="905" spans="1:22" x14ac:dyDescent="0.25">
      <c r="A905" t="s">
        <v>973</v>
      </c>
      <c r="B905" s="1">
        <v>45606</v>
      </c>
      <c r="C905">
        <v>708</v>
      </c>
      <c r="D905" t="s">
        <v>37</v>
      </c>
      <c r="E905" t="s">
        <v>24</v>
      </c>
      <c r="F905" t="s">
        <v>32</v>
      </c>
      <c r="G905" t="s">
        <v>26</v>
      </c>
      <c r="H905" t="s">
        <v>38</v>
      </c>
      <c r="I905" t="s">
        <v>66</v>
      </c>
      <c r="J905" t="s">
        <v>40</v>
      </c>
      <c r="K905">
        <v>984</v>
      </c>
      <c r="L905">
        <v>22</v>
      </c>
      <c r="M905" s="2">
        <v>211</v>
      </c>
      <c r="N905" s="2">
        <v>81</v>
      </c>
      <c r="O905" s="2">
        <v>33</v>
      </c>
      <c r="P905" s="2">
        <v>125</v>
      </c>
      <c r="Q905" s="3">
        <v>0.59240000000000004</v>
      </c>
      <c r="R905" s="2">
        <v>180</v>
      </c>
      <c r="S905" s="2">
        <v>70</v>
      </c>
      <c r="T905" s="2">
        <v>80</v>
      </c>
      <c r="U905" s="3">
        <v>0.44440000000000002</v>
      </c>
      <c r="V905" s="2">
        <v>45</v>
      </c>
    </row>
    <row r="906" spans="1:22" x14ac:dyDescent="0.25">
      <c r="A906" t="s">
        <v>974</v>
      </c>
      <c r="B906" s="1">
        <v>45606</v>
      </c>
      <c r="C906">
        <v>312</v>
      </c>
      <c r="D906" t="s">
        <v>37</v>
      </c>
      <c r="E906" t="s">
        <v>24</v>
      </c>
      <c r="F906" t="s">
        <v>32</v>
      </c>
      <c r="G906" t="s">
        <v>26</v>
      </c>
      <c r="H906" t="s">
        <v>38</v>
      </c>
      <c r="I906" t="s">
        <v>66</v>
      </c>
      <c r="J906" t="s">
        <v>40</v>
      </c>
      <c r="K906">
        <v>1003</v>
      </c>
      <c r="L906">
        <v>24</v>
      </c>
      <c r="M906" s="2">
        <v>224</v>
      </c>
      <c r="N906" s="2">
        <v>86</v>
      </c>
      <c r="O906" s="2">
        <v>36</v>
      </c>
      <c r="P906" s="2">
        <v>131</v>
      </c>
      <c r="Q906" s="3">
        <v>0.58479999999999999</v>
      </c>
      <c r="R906" s="2">
        <v>190</v>
      </c>
      <c r="S906" s="2">
        <v>80</v>
      </c>
      <c r="T906" s="2">
        <v>80</v>
      </c>
      <c r="U906" s="3">
        <v>0.42109999999999997</v>
      </c>
      <c r="V906" s="2">
        <v>51</v>
      </c>
    </row>
    <row r="907" spans="1:22" x14ac:dyDescent="0.25">
      <c r="A907" t="s">
        <v>975</v>
      </c>
      <c r="B907" s="1">
        <v>45607</v>
      </c>
      <c r="C907">
        <v>959</v>
      </c>
      <c r="D907" t="s">
        <v>135</v>
      </c>
      <c r="E907" t="s">
        <v>79</v>
      </c>
      <c r="F907" t="s">
        <v>25</v>
      </c>
      <c r="G907" t="s">
        <v>26</v>
      </c>
      <c r="H907" t="s">
        <v>38</v>
      </c>
      <c r="I907" t="s">
        <v>66</v>
      </c>
      <c r="J907" t="s">
        <v>40</v>
      </c>
      <c r="K907">
        <v>1060</v>
      </c>
      <c r="L907">
        <v>21</v>
      </c>
      <c r="M907" s="2">
        <v>160</v>
      </c>
      <c r="N907" s="2">
        <v>69</v>
      </c>
      <c r="O907" s="2">
        <v>43</v>
      </c>
      <c r="P907" s="2">
        <v>56</v>
      </c>
      <c r="Q907" s="3">
        <v>0.35</v>
      </c>
      <c r="R907" s="2">
        <v>100</v>
      </c>
      <c r="S907" s="2">
        <v>50</v>
      </c>
      <c r="T907" s="2">
        <v>30</v>
      </c>
      <c r="U907" s="3">
        <v>0.3</v>
      </c>
      <c r="V907" s="2">
        <v>26</v>
      </c>
    </row>
    <row r="908" spans="1:22" x14ac:dyDescent="0.25">
      <c r="A908" t="s">
        <v>976</v>
      </c>
      <c r="B908" s="1">
        <v>45607</v>
      </c>
      <c r="C908">
        <v>959</v>
      </c>
      <c r="D908" t="s">
        <v>135</v>
      </c>
      <c r="E908" t="s">
        <v>79</v>
      </c>
      <c r="F908" t="s">
        <v>25</v>
      </c>
      <c r="G908" t="s">
        <v>26</v>
      </c>
      <c r="H908" t="s">
        <v>27</v>
      </c>
      <c r="I908" t="s">
        <v>59</v>
      </c>
      <c r="J908" t="s">
        <v>29</v>
      </c>
      <c r="K908">
        <v>818</v>
      </c>
      <c r="L908">
        <v>9</v>
      </c>
      <c r="M908" s="2">
        <v>87</v>
      </c>
      <c r="N908" s="2">
        <v>33</v>
      </c>
      <c r="O908" s="2">
        <v>21</v>
      </c>
      <c r="P908" s="2">
        <v>42</v>
      </c>
      <c r="Q908" s="3">
        <v>0.48280000000000001</v>
      </c>
      <c r="R908" s="2">
        <v>80</v>
      </c>
      <c r="S908" s="2">
        <v>30</v>
      </c>
      <c r="T908" s="2">
        <v>40</v>
      </c>
      <c r="U908" s="3">
        <v>0.5</v>
      </c>
      <c r="V908" s="2">
        <v>2</v>
      </c>
    </row>
    <row r="909" spans="1:22" x14ac:dyDescent="0.25">
      <c r="A909" t="s">
        <v>977</v>
      </c>
      <c r="B909" s="1">
        <v>45607</v>
      </c>
      <c r="C909">
        <v>775</v>
      </c>
      <c r="D909" t="s">
        <v>65</v>
      </c>
      <c r="E909" t="s">
        <v>53</v>
      </c>
      <c r="F909" t="s">
        <v>25</v>
      </c>
      <c r="G909" t="s">
        <v>33</v>
      </c>
      <c r="H909" t="s">
        <v>54</v>
      </c>
      <c r="I909" t="s">
        <v>72</v>
      </c>
      <c r="J909" t="s">
        <v>29</v>
      </c>
      <c r="K909">
        <v>387</v>
      </c>
      <c r="L909">
        <v>0</v>
      </c>
      <c r="M909" s="2">
        <v>46</v>
      </c>
      <c r="N909" s="2">
        <v>0</v>
      </c>
      <c r="O909" s="2">
        <v>12</v>
      </c>
      <c r="P909" s="2">
        <v>46</v>
      </c>
      <c r="Q909" s="3">
        <v>1</v>
      </c>
      <c r="R909" s="2">
        <v>40</v>
      </c>
      <c r="S909" s="2">
        <v>0</v>
      </c>
      <c r="T909" s="2">
        <v>30</v>
      </c>
      <c r="U909" s="3">
        <v>0.75</v>
      </c>
      <c r="V909" s="2">
        <v>16</v>
      </c>
    </row>
    <row r="910" spans="1:22" x14ac:dyDescent="0.25">
      <c r="A910" t="s">
        <v>978</v>
      </c>
      <c r="B910" s="1">
        <v>45607</v>
      </c>
      <c r="C910">
        <v>239</v>
      </c>
      <c r="D910" t="s">
        <v>117</v>
      </c>
      <c r="E910" t="s">
        <v>79</v>
      </c>
      <c r="F910" t="s">
        <v>32</v>
      </c>
      <c r="G910" t="s">
        <v>33</v>
      </c>
      <c r="H910" t="s">
        <v>54</v>
      </c>
      <c r="I910" t="s">
        <v>55</v>
      </c>
      <c r="J910" t="s">
        <v>40</v>
      </c>
      <c r="K910">
        <v>547</v>
      </c>
      <c r="L910">
        <v>28</v>
      </c>
      <c r="M910" s="2">
        <v>202</v>
      </c>
      <c r="N910" s="2">
        <v>86</v>
      </c>
      <c r="O910" s="2">
        <v>56</v>
      </c>
      <c r="P910" s="2">
        <v>60</v>
      </c>
      <c r="Q910" s="3">
        <v>0.29699999999999999</v>
      </c>
      <c r="R910" s="2">
        <v>180</v>
      </c>
      <c r="S910" s="2">
        <v>70</v>
      </c>
      <c r="T910" s="2">
        <v>90</v>
      </c>
      <c r="U910" s="3">
        <v>0.5</v>
      </c>
      <c r="V910" s="2">
        <v>-30</v>
      </c>
    </row>
    <row r="911" spans="1:22" x14ac:dyDescent="0.25">
      <c r="A911" t="s">
        <v>979</v>
      </c>
      <c r="B911" s="1">
        <v>45608</v>
      </c>
      <c r="C911">
        <v>863</v>
      </c>
      <c r="D911" t="s">
        <v>117</v>
      </c>
      <c r="E911" t="s">
        <v>79</v>
      </c>
      <c r="F911" t="s">
        <v>32</v>
      </c>
      <c r="G911" t="s">
        <v>26</v>
      </c>
      <c r="H911" t="s">
        <v>27</v>
      </c>
      <c r="I911" t="s">
        <v>59</v>
      </c>
      <c r="J911" t="s">
        <v>29</v>
      </c>
      <c r="K911">
        <v>863</v>
      </c>
      <c r="L911">
        <v>9</v>
      </c>
      <c r="M911" s="2">
        <v>85</v>
      </c>
      <c r="N911" s="2">
        <v>34</v>
      </c>
      <c r="O911" s="2">
        <v>21</v>
      </c>
      <c r="P911" s="2">
        <v>30</v>
      </c>
      <c r="Q911" s="3">
        <v>0.35289999999999999</v>
      </c>
      <c r="R911" s="2">
        <v>80</v>
      </c>
      <c r="S911" s="2">
        <v>30</v>
      </c>
      <c r="T911" s="2">
        <v>40</v>
      </c>
      <c r="U911" s="3">
        <v>0.5</v>
      </c>
      <c r="V911" s="2">
        <v>-10</v>
      </c>
    </row>
    <row r="912" spans="1:22" x14ac:dyDescent="0.25">
      <c r="A912" t="s">
        <v>980</v>
      </c>
      <c r="B912" s="1">
        <v>45608</v>
      </c>
      <c r="C912">
        <v>630</v>
      </c>
      <c r="D912" t="s">
        <v>37</v>
      </c>
      <c r="E912" t="s">
        <v>24</v>
      </c>
      <c r="F912" t="s">
        <v>32</v>
      </c>
      <c r="G912" t="s">
        <v>26</v>
      </c>
      <c r="H912" t="s">
        <v>27</v>
      </c>
      <c r="I912" t="s">
        <v>42</v>
      </c>
      <c r="J912" t="s">
        <v>29</v>
      </c>
      <c r="K912">
        <v>659</v>
      </c>
      <c r="L912">
        <v>24</v>
      </c>
      <c r="M912" s="2">
        <v>189</v>
      </c>
      <c r="N912" s="2">
        <v>75</v>
      </c>
      <c r="O912" s="2">
        <v>55</v>
      </c>
      <c r="P912" s="2">
        <v>59</v>
      </c>
      <c r="Q912" s="3">
        <v>0.31219999999999998</v>
      </c>
      <c r="R912" s="2">
        <v>150</v>
      </c>
      <c r="S912" s="2">
        <v>60</v>
      </c>
      <c r="T912" s="2">
        <v>50</v>
      </c>
      <c r="U912" s="3">
        <v>0.33329999999999999</v>
      </c>
      <c r="V912" s="2">
        <v>9</v>
      </c>
    </row>
    <row r="913" spans="1:22" x14ac:dyDescent="0.25">
      <c r="A913" t="s">
        <v>981</v>
      </c>
      <c r="B913" s="1">
        <v>45608</v>
      </c>
      <c r="C913">
        <v>641</v>
      </c>
      <c r="D913" t="s">
        <v>124</v>
      </c>
      <c r="E913" t="s">
        <v>24</v>
      </c>
      <c r="F913" t="s">
        <v>25</v>
      </c>
      <c r="G913" t="s">
        <v>33</v>
      </c>
      <c r="H913" t="s">
        <v>34</v>
      </c>
      <c r="I913" t="s">
        <v>83</v>
      </c>
      <c r="J913" t="s">
        <v>40</v>
      </c>
      <c r="K913">
        <v>596</v>
      </c>
      <c r="L913">
        <v>3</v>
      </c>
      <c r="M913" s="2">
        <v>23</v>
      </c>
      <c r="N913" s="2">
        <v>10</v>
      </c>
      <c r="O913" s="2">
        <v>16</v>
      </c>
      <c r="P913" s="2">
        <v>-3</v>
      </c>
      <c r="Q913" s="3">
        <v>-0.13039999999999999</v>
      </c>
      <c r="R913" s="2">
        <v>20</v>
      </c>
      <c r="S913" s="2">
        <v>0</v>
      </c>
      <c r="T913" s="2">
        <v>10</v>
      </c>
      <c r="U913" s="3">
        <v>0.5</v>
      </c>
      <c r="V913" s="2">
        <v>-13</v>
      </c>
    </row>
    <row r="914" spans="1:22" x14ac:dyDescent="0.25">
      <c r="A914" t="s">
        <v>982</v>
      </c>
      <c r="B914" s="1">
        <v>45608</v>
      </c>
      <c r="C914">
        <v>435</v>
      </c>
      <c r="D914" t="s">
        <v>95</v>
      </c>
      <c r="E914" t="s">
        <v>53</v>
      </c>
      <c r="F914" t="s">
        <v>25</v>
      </c>
      <c r="G914" t="s">
        <v>33</v>
      </c>
      <c r="H914" t="s">
        <v>54</v>
      </c>
      <c r="I914" t="s">
        <v>68</v>
      </c>
      <c r="J914" t="s">
        <v>29</v>
      </c>
      <c r="K914">
        <v>540</v>
      </c>
      <c r="L914">
        <v>31</v>
      </c>
      <c r="M914" s="2">
        <v>228</v>
      </c>
      <c r="N914" s="2">
        <v>94</v>
      </c>
      <c r="O914" s="2">
        <v>43</v>
      </c>
      <c r="P914" s="2">
        <v>114</v>
      </c>
      <c r="Q914" s="3">
        <v>0.5</v>
      </c>
      <c r="R914" s="2">
        <v>200</v>
      </c>
      <c r="S914" s="2">
        <v>90</v>
      </c>
      <c r="T914" s="2">
        <v>70</v>
      </c>
      <c r="U914" s="3">
        <v>0.35</v>
      </c>
      <c r="V914" s="2">
        <v>44</v>
      </c>
    </row>
    <row r="915" spans="1:22" x14ac:dyDescent="0.25">
      <c r="A915" t="s">
        <v>983</v>
      </c>
      <c r="B915" s="1">
        <v>45609</v>
      </c>
      <c r="C915">
        <v>954</v>
      </c>
      <c r="D915" t="s">
        <v>117</v>
      </c>
      <c r="E915" t="s">
        <v>79</v>
      </c>
      <c r="F915" t="s">
        <v>32</v>
      </c>
      <c r="G915" t="s">
        <v>26</v>
      </c>
      <c r="H915" t="s">
        <v>38</v>
      </c>
      <c r="I915" t="s">
        <v>46</v>
      </c>
      <c r="J915" t="s">
        <v>40</v>
      </c>
      <c r="K915">
        <v>403</v>
      </c>
      <c r="L915">
        <v>24</v>
      </c>
      <c r="M915" s="2">
        <v>145</v>
      </c>
      <c r="N915" s="2">
        <v>65</v>
      </c>
      <c r="O915" s="2">
        <v>57</v>
      </c>
      <c r="P915" s="2">
        <v>23</v>
      </c>
      <c r="Q915" s="3">
        <v>0.15859999999999999</v>
      </c>
      <c r="R915" s="2">
        <v>100</v>
      </c>
      <c r="S915" s="2">
        <v>40</v>
      </c>
      <c r="T915" s="2">
        <v>20</v>
      </c>
      <c r="U915" s="3">
        <v>0.2</v>
      </c>
      <c r="V915" s="2">
        <v>3</v>
      </c>
    </row>
    <row r="916" spans="1:22" x14ac:dyDescent="0.25">
      <c r="A916" t="s">
        <v>984</v>
      </c>
      <c r="B916" s="1">
        <v>45609</v>
      </c>
      <c r="C916">
        <v>509</v>
      </c>
      <c r="D916" t="s">
        <v>52</v>
      </c>
      <c r="E916" t="s">
        <v>53</v>
      </c>
      <c r="F916" t="s">
        <v>25</v>
      </c>
      <c r="G916" t="s">
        <v>26</v>
      </c>
      <c r="H916" t="s">
        <v>27</v>
      </c>
      <c r="I916" t="s">
        <v>42</v>
      </c>
      <c r="J916" t="s">
        <v>29</v>
      </c>
      <c r="K916">
        <v>466</v>
      </c>
      <c r="L916">
        <v>13</v>
      </c>
      <c r="M916" s="2">
        <v>106</v>
      </c>
      <c r="N916" s="2">
        <v>43</v>
      </c>
      <c r="O916" s="2">
        <v>35</v>
      </c>
      <c r="P916" s="2">
        <v>28</v>
      </c>
      <c r="Q916" s="3">
        <v>0.26419999999999999</v>
      </c>
      <c r="R916" s="2">
        <v>70</v>
      </c>
      <c r="S916" s="2">
        <v>30</v>
      </c>
      <c r="T916" s="2">
        <v>20</v>
      </c>
      <c r="U916" s="3">
        <v>0.28570000000000001</v>
      </c>
      <c r="V916" s="2">
        <v>8</v>
      </c>
    </row>
    <row r="917" spans="1:22" x14ac:dyDescent="0.25">
      <c r="A917" t="s">
        <v>985</v>
      </c>
      <c r="B917" s="1">
        <v>45609</v>
      </c>
      <c r="C917">
        <v>435</v>
      </c>
      <c r="D917" t="s">
        <v>95</v>
      </c>
      <c r="E917" t="s">
        <v>53</v>
      </c>
      <c r="F917" t="s">
        <v>25</v>
      </c>
      <c r="G917" t="s">
        <v>26</v>
      </c>
      <c r="H917" t="s">
        <v>38</v>
      </c>
      <c r="I917" t="s">
        <v>66</v>
      </c>
      <c r="J917" t="s">
        <v>40</v>
      </c>
      <c r="K917">
        <v>1804</v>
      </c>
      <c r="L917">
        <v>25</v>
      </c>
      <c r="M917" s="2">
        <v>130</v>
      </c>
      <c r="N917" s="2">
        <v>82</v>
      </c>
      <c r="O917" s="2">
        <v>48</v>
      </c>
      <c r="P917" s="2">
        <v>-12</v>
      </c>
      <c r="Q917" s="3">
        <v>-9.2299999999999993E-2</v>
      </c>
      <c r="R917" s="2">
        <v>110</v>
      </c>
      <c r="S917" s="2">
        <v>70</v>
      </c>
      <c r="T917" s="2">
        <v>0</v>
      </c>
      <c r="U917" s="3">
        <v>0</v>
      </c>
      <c r="V917" s="2">
        <v>-12</v>
      </c>
    </row>
    <row r="918" spans="1:22" x14ac:dyDescent="0.25">
      <c r="A918" t="s">
        <v>986</v>
      </c>
      <c r="B918" s="1">
        <v>45609</v>
      </c>
      <c r="C918">
        <v>918</v>
      </c>
      <c r="D918" t="s">
        <v>148</v>
      </c>
      <c r="E918" t="s">
        <v>45</v>
      </c>
      <c r="F918" t="s">
        <v>25</v>
      </c>
      <c r="G918" t="s">
        <v>33</v>
      </c>
      <c r="H918" t="s">
        <v>54</v>
      </c>
      <c r="I918" t="s">
        <v>72</v>
      </c>
      <c r="J918" t="s">
        <v>29</v>
      </c>
      <c r="K918">
        <v>-2003</v>
      </c>
      <c r="L918">
        <v>31</v>
      </c>
      <c r="M918" s="2">
        <v>245</v>
      </c>
      <c r="N918" s="2">
        <v>102</v>
      </c>
      <c r="O918" s="2">
        <v>54</v>
      </c>
      <c r="P918" s="2">
        <v>89</v>
      </c>
      <c r="Q918" s="3">
        <v>0.36330000000000001</v>
      </c>
      <c r="R918" s="2">
        <v>180</v>
      </c>
      <c r="S918" s="2">
        <v>80</v>
      </c>
      <c r="T918" s="2">
        <v>60</v>
      </c>
      <c r="U918" s="3">
        <v>0.33329999999999999</v>
      </c>
      <c r="V918" s="2">
        <v>29</v>
      </c>
    </row>
    <row r="919" spans="1:22" x14ac:dyDescent="0.25">
      <c r="A919" t="s">
        <v>987</v>
      </c>
      <c r="B919" s="1">
        <v>45610</v>
      </c>
      <c r="C919">
        <v>505</v>
      </c>
      <c r="D919" t="s">
        <v>44</v>
      </c>
      <c r="E919" t="s">
        <v>45</v>
      </c>
      <c r="F919" t="s">
        <v>25</v>
      </c>
      <c r="G919" t="s">
        <v>26</v>
      </c>
      <c r="H919" t="s">
        <v>38</v>
      </c>
      <c r="I919" t="s">
        <v>39</v>
      </c>
      <c r="J919" t="s">
        <v>40</v>
      </c>
      <c r="K919">
        <v>851</v>
      </c>
      <c r="L919">
        <v>4</v>
      </c>
      <c r="M919" s="2">
        <v>41</v>
      </c>
      <c r="N919" s="2">
        <v>16</v>
      </c>
      <c r="O919" s="2">
        <v>16</v>
      </c>
      <c r="P919" s="2">
        <v>9</v>
      </c>
      <c r="Q919" s="3">
        <v>0.2195</v>
      </c>
      <c r="R919" s="2">
        <v>30</v>
      </c>
      <c r="S919" s="2">
        <v>10</v>
      </c>
      <c r="T919" s="2">
        <v>10</v>
      </c>
      <c r="U919" s="3">
        <v>0.33329999999999999</v>
      </c>
      <c r="V919" s="2">
        <v>-1</v>
      </c>
    </row>
    <row r="920" spans="1:22" x14ac:dyDescent="0.25">
      <c r="A920" t="s">
        <v>988</v>
      </c>
      <c r="B920" s="1">
        <v>45610</v>
      </c>
      <c r="C920">
        <v>626</v>
      </c>
      <c r="D920" t="s">
        <v>62</v>
      </c>
      <c r="E920" t="s">
        <v>53</v>
      </c>
      <c r="F920" t="s">
        <v>32</v>
      </c>
      <c r="G920" t="s">
        <v>26</v>
      </c>
      <c r="H920" t="s">
        <v>38</v>
      </c>
      <c r="I920" t="s">
        <v>39</v>
      </c>
      <c r="J920" t="s">
        <v>40</v>
      </c>
      <c r="K920">
        <v>1003</v>
      </c>
      <c r="L920">
        <v>24</v>
      </c>
      <c r="M920" s="2">
        <v>210</v>
      </c>
      <c r="N920" s="2">
        <v>86</v>
      </c>
      <c r="O920" s="2">
        <v>35</v>
      </c>
      <c r="P920" s="2">
        <v>89</v>
      </c>
      <c r="Q920" s="3">
        <v>0.42380000000000001</v>
      </c>
      <c r="R920" s="2">
        <v>190</v>
      </c>
      <c r="S920" s="2">
        <v>80</v>
      </c>
      <c r="T920" s="2">
        <v>80</v>
      </c>
      <c r="U920" s="3">
        <v>0.42109999999999997</v>
      </c>
      <c r="V920" s="2">
        <v>9</v>
      </c>
    </row>
    <row r="921" spans="1:22" x14ac:dyDescent="0.25">
      <c r="A921" t="s">
        <v>989</v>
      </c>
      <c r="B921" s="1">
        <v>45610</v>
      </c>
      <c r="C921">
        <v>775</v>
      </c>
      <c r="D921" t="s">
        <v>65</v>
      </c>
      <c r="E921" t="s">
        <v>53</v>
      </c>
      <c r="F921" t="s">
        <v>25</v>
      </c>
      <c r="G921" t="s">
        <v>26</v>
      </c>
      <c r="H921" t="s">
        <v>27</v>
      </c>
      <c r="I921" t="s">
        <v>59</v>
      </c>
      <c r="J921" t="s">
        <v>29</v>
      </c>
      <c r="K921">
        <v>7653</v>
      </c>
      <c r="L921">
        <v>93</v>
      </c>
      <c r="M921" s="2">
        <v>34</v>
      </c>
      <c r="N921" s="2">
        <v>245</v>
      </c>
      <c r="O921" s="2">
        <v>127</v>
      </c>
      <c r="P921" s="2">
        <v>-505</v>
      </c>
      <c r="Q921" s="3">
        <v>-14.8529</v>
      </c>
      <c r="R921" s="2">
        <v>0</v>
      </c>
      <c r="S921" s="2">
        <v>180</v>
      </c>
      <c r="T921" s="2">
        <v>-280</v>
      </c>
      <c r="U921" t="e">
        <v>#DIV/0!</v>
      </c>
      <c r="V921" s="2">
        <v>-225</v>
      </c>
    </row>
    <row r="922" spans="1:22" x14ac:dyDescent="0.25">
      <c r="A922" t="s">
        <v>990</v>
      </c>
      <c r="B922" s="1">
        <v>45611</v>
      </c>
      <c r="C922">
        <v>515</v>
      </c>
      <c r="D922" t="s">
        <v>124</v>
      </c>
      <c r="E922" t="s">
        <v>24</v>
      </c>
      <c r="F922" t="s">
        <v>25</v>
      </c>
      <c r="G922" t="s">
        <v>26</v>
      </c>
      <c r="H922" t="s">
        <v>27</v>
      </c>
      <c r="I922" t="s">
        <v>42</v>
      </c>
      <c r="J922" t="s">
        <v>29</v>
      </c>
      <c r="K922">
        <v>1756</v>
      </c>
      <c r="L922">
        <v>96</v>
      </c>
      <c r="M922" s="2">
        <v>604</v>
      </c>
      <c r="N922" s="2">
        <v>255</v>
      </c>
      <c r="O922" s="2">
        <v>129</v>
      </c>
      <c r="P922" s="2">
        <v>272</v>
      </c>
      <c r="Q922" s="3">
        <v>0.45029999999999998</v>
      </c>
      <c r="R922" s="2">
        <v>400</v>
      </c>
      <c r="S922" s="2">
        <v>170</v>
      </c>
      <c r="T922" s="2">
        <v>130</v>
      </c>
      <c r="U922" s="3">
        <v>0.32500000000000001</v>
      </c>
      <c r="V922" s="2">
        <v>142</v>
      </c>
    </row>
    <row r="923" spans="1:22" x14ac:dyDescent="0.25">
      <c r="A923" t="s">
        <v>991</v>
      </c>
      <c r="B923" s="1">
        <v>45612</v>
      </c>
      <c r="C923">
        <v>603</v>
      </c>
      <c r="D923" t="s">
        <v>109</v>
      </c>
      <c r="E923" t="s">
        <v>79</v>
      </c>
      <c r="F923" t="s">
        <v>25</v>
      </c>
      <c r="G923" t="s">
        <v>26</v>
      </c>
      <c r="H923" t="s">
        <v>27</v>
      </c>
      <c r="I923" t="s">
        <v>59</v>
      </c>
      <c r="J923" t="s">
        <v>29</v>
      </c>
      <c r="K923">
        <v>430</v>
      </c>
      <c r="L923">
        <v>0</v>
      </c>
      <c r="M923" s="2">
        <v>43</v>
      </c>
      <c r="N923" s="2">
        <v>0</v>
      </c>
      <c r="O923" s="2">
        <v>11</v>
      </c>
      <c r="P923" s="2">
        <v>32</v>
      </c>
      <c r="Q923" s="3">
        <v>0.74419999999999997</v>
      </c>
      <c r="R923" s="2">
        <v>40</v>
      </c>
      <c r="S923" s="2">
        <v>0</v>
      </c>
      <c r="T923" s="2">
        <v>40</v>
      </c>
      <c r="U923" s="3">
        <v>1</v>
      </c>
      <c r="V923" s="2">
        <v>-8</v>
      </c>
    </row>
    <row r="924" spans="1:22" x14ac:dyDescent="0.25">
      <c r="A924" t="s">
        <v>992</v>
      </c>
      <c r="B924" s="1">
        <v>45612</v>
      </c>
      <c r="C924">
        <v>603</v>
      </c>
      <c r="D924" t="s">
        <v>109</v>
      </c>
      <c r="E924" t="s">
        <v>79</v>
      </c>
      <c r="F924" t="s">
        <v>25</v>
      </c>
      <c r="G924" t="s">
        <v>26</v>
      </c>
      <c r="H924" t="s">
        <v>27</v>
      </c>
      <c r="I924" t="s">
        <v>59</v>
      </c>
      <c r="J924" t="s">
        <v>29</v>
      </c>
      <c r="K924">
        <v>344</v>
      </c>
      <c r="L924">
        <v>0</v>
      </c>
      <c r="M924" s="2">
        <v>46</v>
      </c>
      <c r="N924" s="2">
        <v>0</v>
      </c>
      <c r="O924" s="2">
        <v>11</v>
      </c>
      <c r="P924" s="2">
        <v>47</v>
      </c>
      <c r="Q924" s="3">
        <v>1.0217000000000001</v>
      </c>
      <c r="R924" s="2">
        <v>40</v>
      </c>
      <c r="S924" s="2">
        <v>0</v>
      </c>
      <c r="T924" s="2">
        <v>30</v>
      </c>
      <c r="U924" s="3">
        <v>0.75</v>
      </c>
      <c r="V924" s="2">
        <v>17</v>
      </c>
    </row>
    <row r="925" spans="1:22" x14ac:dyDescent="0.25">
      <c r="A925" t="s">
        <v>993</v>
      </c>
      <c r="B925" s="1">
        <v>45612</v>
      </c>
      <c r="C925">
        <v>516</v>
      </c>
      <c r="D925" t="s">
        <v>99</v>
      </c>
      <c r="E925" t="s">
        <v>79</v>
      </c>
      <c r="F925" t="s">
        <v>32</v>
      </c>
      <c r="G925" t="s">
        <v>26</v>
      </c>
      <c r="H925" t="s">
        <v>27</v>
      </c>
      <c r="I925" t="s">
        <v>28</v>
      </c>
      <c r="J925" t="s">
        <v>29</v>
      </c>
      <c r="K925">
        <v>971</v>
      </c>
      <c r="L925">
        <v>30</v>
      </c>
      <c r="M925" s="2">
        <v>265</v>
      </c>
      <c r="N925" s="2">
        <v>108</v>
      </c>
      <c r="O925" s="2">
        <v>42</v>
      </c>
      <c r="P925" s="2">
        <v>115</v>
      </c>
      <c r="Q925" s="3">
        <v>0.434</v>
      </c>
      <c r="R925" s="2">
        <v>280</v>
      </c>
      <c r="S925" s="2">
        <v>110</v>
      </c>
      <c r="T925" s="2">
        <v>140</v>
      </c>
      <c r="U925" s="3">
        <v>0.5</v>
      </c>
      <c r="V925" s="2">
        <v>-25</v>
      </c>
    </row>
    <row r="926" spans="1:22" x14ac:dyDescent="0.25">
      <c r="A926" t="s">
        <v>994</v>
      </c>
      <c r="B926" s="1">
        <v>45612</v>
      </c>
      <c r="C926">
        <v>573</v>
      </c>
      <c r="D926" t="s">
        <v>58</v>
      </c>
      <c r="E926" t="s">
        <v>24</v>
      </c>
      <c r="F926" t="s">
        <v>25</v>
      </c>
      <c r="G926" t="s">
        <v>26</v>
      </c>
      <c r="H926" t="s">
        <v>38</v>
      </c>
      <c r="I926" t="s">
        <v>46</v>
      </c>
      <c r="J926" t="s">
        <v>40</v>
      </c>
      <c r="K926">
        <v>1698</v>
      </c>
      <c r="L926">
        <v>26</v>
      </c>
      <c r="M926" s="2">
        <v>109</v>
      </c>
      <c r="N926" s="2">
        <v>86</v>
      </c>
      <c r="O926" s="2">
        <v>49</v>
      </c>
      <c r="P926" s="2">
        <v>-26</v>
      </c>
      <c r="Q926" s="3">
        <v>-0.23849999999999999</v>
      </c>
      <c r="R926" s="2">
        <v>80</v>
      </c>
      <c r="S926" s="2">
        <v>60</v>
      </c>
      <c r="T926" s="2">
        <v>10</v>
      </c>
      <c r="U926" s="3">
        <v>0.125</v>
      </c>
      <c r="V926" s="2">
        <v>-36</v>
      </c>
    </row>
    <row r="927" spans="1:22" x14ac:dyDescent="0.25">
      <c r="A927" t="s">
        <v>995</v>
      </c>
      <c r="B927" s="1">
        <v>45612</v>
      </c>
      <c r="C927">
        <v>224</v>
      </c>
      <c r="D927" t="s">
        <v>37</v>
      </c>
      <c r="E927" t="s">
        <v>24</v>
      </c>
      <c r="F927" t="s">
        <v>32</v>
      </c>
      <c r="G927" t="s">
        <v>33</v>
      </c>
      <c r="H927" t="s">
        <v>54</v>
      </c>
      <c r="I927" t="s">
        <v>68</v>
      </c>
      <c r="J927" t="s">
        <v>29</v>
      </c>
      <c r="K927">
        <v>1691</v>
      </c>
      <c r="L927">
        <v>75</v>
      </c>
      <c r="M927" s="2">
        <v>532</v>
      </c>
      <c r="N927" s="2">
        <v>228</v>
      </c>
      <c r="O927" s="2">
        <v>108</v>
      </c>
      <c r="P927" s="2">
        <v>196</v>
      </c>
      <c r="Q927" s="3">
        <v>0.36840000000000001</v>
      </c>
      <c r="R927" s="2">
        <v>680</v>
      </c>
      <c r="S927" s="2">
        <v>290</v>
      </c>
      <c r="T927" s="2">
        <v>290</v>
      </c>
      <c r="U927" s="3">
        <v>0.42649999999999999</v>
      </c>
      <c r="V927" s="2">
        <v>-94</v>
      </c>
    </row>
    <row r="928" spans="1:22" x14ac:dyDescent="0.25">
      <c r="A928" t="s">
        <v>996</v>
      </c>
      <c r="B928" s="1">
        <v>45613</v>
      </c>
      <c r="C928">
        <v>512</v>
      </c>
      <c r="D928" t="s">
        <v>76</v>
      </c>
      <c r="E928" t="s">
        <v>45</v>
      </c>
      <c r="F928" t="s">
        <v>32</v>
      </c>
      <c r="G928" t="s">
        <v>33</v>
      </c>
      <c r="H928" t="s">
        <v>54</v>
      </c>
      <c r="I928" t="s">
        <v>72</v>
      </c>
      <c r="J928" t="s">
        <v>29</v>
      </c>
      <c r="K928">
        <v>-1239</v>
      </c>
      <c r="L928">
        <v>22</v>
      </c>
      <c r="M928" s="2">
        <v>168</v>
      </c>
      <c r="N928" s="2">
        <v>67</v>
      </c>
      <c r="O928" s="2">
        <v>54</v>
      </c>
      <c r="P928" s="2">
        <v>47</v>
      </c>
      <c r="Q928" s="3">
        <v>0.27979999999999999</v>
      </c>
      <c r="R928" s="2">
        <v>120</v>
      </c>
      <c r="S928" s="2">
        <v>50</v>
      </c>
      <c r="T928" s="2">
        <v>30</v>
      </c>
      <c r="U928" s="3">
        <v>0.25</v>
      </c>
      <c r="V928" s="2">
        <v>17</v>
      </c>
    </row>
    <row r="929" spans="1:22" x14ac:dyDescent="0.25">
      <c r="A929" t="s">
        <v>997</v>
      </c>
      <c r="B929" s="1">
        <v>45613</v>
      </c>
      <c r="C929">
        <v>985</v>
      </c>
      <c r="D929" t="s">
        <v>49</v>
      </c>
      <c r="E929" t="s">
        <v>45</v>
      </c>
      <c r="F929" t="s">
        <v>25</v>
      </c>
      <c r="G929" t="s">
        <v>26</v>
      </c>
      <c r="H929" t="s">
        <v>38</v>
      </c>
      <c r="I929" t="s">
        <v>46</v>
      </c>
      <c r="J929" t="s">
        <v>40</v>
      </c>
      <c r="K929">
        <v>619</v>
      </c>
      <c r="L929">
        <v>25</v>
      </c>
      <c r="M929" s="2">
        <v>153</v>
      </c>
      <c r="N929" s="2">
        <v>68</v>
      </c>
      <c r="O929" s="2">
        <v>59</v>
      </c>
      <c r="P929" s="2">
        <v>26</v>
      </c>
      <c r="Q929" s="3">
        <v>0.1699</v>
      </c>
      <c r="R929" s="2">
        <v>140</v>
      </c>
      <c r="S929" s="2">
        <v>60</v>
      </c>
      <c r="T929" s="2">
        <v>30</v>
      </c>
      <c r="U929" s="3">
        <v>0.21429999999999999</v>
      </c>
      <c r="V929" s="2">
        <v>-4</v>
      </c>
    </row>
    <row r="930" spans="1:22" x14ac:dyDescent="0.25">
      <c r="A930" t="s">
        <v>998</v>
      </c>
      <c r="B930" s="1">
        <v>45613</v>
      </c>
      <c r="C930">
        <v>702</v>
      </c>
      <c r="D930" t="s">
        <v>65</v>
      </c>
      <c r="E930" t="s">
        <v>53</v>
      </c>
      <c r="F930" t="s">
        <v>25</v>
      </c>
      <c r="G930" t="s">
        <v>26</v>
      </c>
      <c r="H930" t="s">
        <v>38</v>
      </c>
      <c r="I930" t="s">
        <v>39</v>
      </c>
      <c r="J930" t="s">
        <v>40</v>
      </c>
      <c r="K930">
        <v>898</v>
      </c>
      <c r="L930">
        <v>113</v>
      </c>
      <c r="M930" s="2">
        <v>318</v>
      </c>
      <c r="N930" s="2">
        <v>125</v>
      </c>
      <c r="O930" s="2">
        <v>147</v>
      </c>
      <c r="P930" s="2">
        <v>39</v>
      </c>
      <c r="Q930" s="3">
        <v>0.1226</v>
      </c>
      <c r="R930" s="2">
        <v>240</v>
      </c>
      <c r="S930" s="2">
        <v>90</v>
      </c>
      <c r="T930" s="2">
        <v>60</v>
      </c>
      <c r="U930" s="3">
        <v>0.25</v>
      </c>
      <c r="V930" s="2">
        <v>-21</v>
      </c>
    </row>
    <row r="931" spans="1:22" x14ac:dyDescent="0.25">
      <c r="A931" t="s">
        <v>999</v>
      </c>
      <c r="B931" s="1">
        <v>45615</v>
      </c>
      <c r="C931">
        <v>262</v>
      </c>
      <c r="D931" t="s">
        <v>23</v>
      </c>
      <c r="E931" t="s">
        <v>24</v>
      </c>
      <c r="F931" t="s">
        <v>25</v>
      </c>
      <c r="G931" t="s">
        <v>33</v>
      </c>
      <c r="H931" t="s">
        <v>54</v>
      </c>
      <c r="I931" t="s">
        <v>55</v>
      </c>
      <c r="J931" t="s">
        <v>40</v>
      </c>
      <c r="K931">
        <v>567</v>
      </c>
      <c r="L931">
        <v>7</v>
      </c>
      <c r="M931" s="2">
        <v>56</v>
      </c>
      <c r="N931" s="2">
        <v>24</v>
      </c>
      <c r="O931" s="2">
        <v>19</v>
      </c>
      <c r="P931" s="2">
        <v>13</v>
      </c>
      <c r="Q931" s="3">
        <v>0.2321</v>
      </c>
      <c r="R931" s="2">
        <v>70</v>
      </c>
      <c r="S931" s="2">
        <v>30</v>
      </c>
      <c r="T931" s="2">
        <v>30</v>
      </c>
      <c r="U931" s="3">
        <v>0.42859999999999998</v>
      </c>
      <c r="V931" s="2">
        <v>-17</v>
      </c>
    </row>
    <row r="932" spans="1:22" x14ac:dyDescent="0.25">
      <c r="A932" t="s">
        <v>1000</v>
      </c>
      <c r="B932" s="1">
        <v>45615</v>
      </c>
      <c r="C932">
        <v>959</v>
      </c>
      <c r="D932" t="s">
        <v>135</v>
      </c>
      <c r="E932" t="s">
        <v>79</v>
      </c>
      <c r="F932" t="s">
        <v>25</v>
      </c>
      <c r="G932" t="s">
        <v>33</v>
      </c>
      <c r="H932" t="s">
        <v>54</v>
      </c>
      <c r="I932" t="s">
        <v>55</v>
      </c>
      <c r="J932" t="s">
        <v>40</v>
      </c>
      <c r="K932">
        <v>392</v>
      </c>
      <c r="L932">
        <v>16</v>
      </c>
      <c r="M932" s="2">
        <v>114</v>
      </c>
      <c r="N932" s="2">
        <v>49</v>
      </c>
      <c r="O932" s="2">
        <v>44</v>
      </c>
      <c r="P932" s="2">
        <v>21</v>
      </c>
      <c r="Q932" s="3">
        <v>0.1842</v>
      </c>
      <c r="R932" s="2">
        <v>110</v>
      </c>
      <c r="S932" s="2">
        <v>40</v>
      </c>
      <c r="T932" s="2">
        <v>40</v>
      </c>
      <c r="U932" s="3">
        <v>0.36359999999999998</v>
      </c>
      <c r="V932" s="2">
        <v>-19</v>
      </c>
    </row>
    <row r="933" spans="1:22" x14ac:dyDescent="0.25">
      <c r="A933" t="s">
        <v>1001</v>
      </c>
      <c r="B933" s="1">
        <v>45615</v>
      </c>
      <c r="C933">
        <v>561</v>
      </c>
      <c r="D933" t="s">
        <v>117</v>
      </c>
      <c r="E933" t="s">
        <v>79</v>
      </c>
      <c r="F933" t="s">
        <v>32</v>
      </c>
      <c r="G933" t="s">
        <v>33</v>
      </c>
      <c r="H933" t="s">
        <v>54</v>
      </c>
      <c r="I933" t="s">
        <v>55</v>
      </c>
      <c r="J933" t="s">
        <v>40</v>
      </c>
      <c r="K933">
        <v>557</v>
      </c>
      <c r="L933">
        <v>25</v>
      </c>
      <c r="M933" s="2">
        <v>180</v>
      </c>
      <c r="N933" s="2">
        <v>77</v>
      </c>
      <c r="O933" s="2">
        <v>52</v>
      </c>
      <c r="P933" s="2">
        <v>51</v>
      </c>
      <c r="Q933" s="3">
        <v>0.2833</v>
      </c>
      <c r="R933" s="2">
        <v>170</v>
      </c>
      <c r="S933" s="2">
        <v>70</v>
      </c>
      <c r="T933" s="2">
        <v>60</v>
      </c>
      <c r="U933" s="3">
        <v>0.35289999999999999</v>
      </c>
      <c r="V933" s="2">
        <v>-9</v>
      </c>
    </row>
    <row r="934" spans="1:22" x14ac:dyDescent="0.25">
      <c r="A934" t="s">
        <v>1002</v>
      </c>
      <c r="B934" s="1">
        <v>45615</v>
      </c>
      <c r="C934">
        <v>619</v>
      </c>
      <c r="D934" t="s">
        <v>62</v>
      </c>
      <c r="E934" t="s">
        <v>53</v>
      </c>
      <c r="F934" t="s">
        <v>32</v>
      </c>
      <c r="G934" t="s">
        <v>33</v>
      </c>
      <c r="H934" t="s">
        <v>34</v>
      </c>
      <c r="I934" t="s">
        <v>35</v>
      </c>
      <c r="J934" t="s">
        <v>29</v>
      </c>
      <c r="K934">
        <v>2758</v>
      </c>
      <c r="L934">
        <v>36</v>
      </c>
      <c r="M934" s="2">
        <v>116</v>
      </c>
      <c r="N934" s="2">
        <v>113</v>
      </c>
      <c r="O934" s="2">
        <v>59</v>
      </c>
      <c r="P934" s="2">
        <v>-56</v>
      </c>
      <c r="Q934" s="3">
        <v>-0.48280000000000001</v>
      </c>
      <c r="R934" s="2">
        <v>130</v>
      </c>
      <c r="S934" s="2">
        <v>130</v>
      </c>
      <c r="T934" s="2">
        <v>-50</v>
      </c>
      <c r="U934" s="3">
        <v>-0.3846</v>
      </c>
      <c r="V934" s="2">
        <v>-6</v>
      </c>
    </row>
    <row r="935" spans="1:22" x14ac:dyDescent="0.25">
      <c r="A935" t="s">
        <v>1003</v>
      </c>
      <c r="B935" s="1">
        <v>45616</v>
      </c>
      <c r="C935">
        <v>712</v>
      </c>
      <c r="D935" t="s">
        <v>124</v>
      </c>
      <c r="E935" t="s">
        <v>24</v>
      </c>
      <c r="F935" t="s">
        <v>25</v>
      </c>
      <c r="G935" t="s">
        <v>33</v>
      </c>
      <c r="H935" t="s">
        <v>54</v>
      </c>
      <c r="I935" t="s">
        <v>55</v>
      </c>
      <c r="J935" t="s">
        <v>40</v>
      </c>
      <c r="K935">
        <v>430</v>
      </c>
      <c r="L935">
        <v>0</v>
      </c>
      <c r="M935" s="2">
        <v>43</v>
      </c>
      <c r="N935" s="2">
        <v>0</v>
      </c>
      <c r="O935" s="2">
        <v>12</v>
      </c>
      <c r="P935" s="2">
        <v>31</v>
      </c>
      <c r="Q935" s="3">
        <v>0.72089999999999999</v>
      </c>
      <c r="R935" s="2">
        <v>60</v>
      </c>
      <c r="S935" s="2">
        <v>0</v>
      </c>
      <c r="T935" s="2">
        <v>60</v>
      </c>
      <c r="U935" s="3">
        <v>1</v>
      </c>
      <c r="V935" s="2">
        <v>-29</v>
      </c>
    </row>
    <row r="936" spans="1:22" x14ac:dyDescent="0.25">
      <c r="A936" t="s">
        <v>1004</v>
      </c>
      <c r="B936" s="1">
        <v>45616</v>
      </c>
      <c r="C936">
        <v>541</v>
      </c>
      <c r="D936" t="s">
        <v>71</v>
      </c>
      <c r="E936" t="s">
        <v>53</v>
      </c>
      <c r="F936" t="s">
        <v>25</v>
      </c>
      <c r="G936" t="s">
        <v>33</v>
      </c>
      <c r="H936" t="s">
        <v>34</v>
      </c>
      <c r="I936" t="s">
        <v>35</v>
      </c>
      <c r="J936" t="s">
        <v>29</v>
      </c>
      <c r="K936">
        <v>521</v>
      </c>
      <c r="L936">
        <v>42</v>
      </c>
      <c r="M936" s="2">
        <v>119</v>
      </c>
      <c r="N936" s="2">
        <v>47</v>
      </c>
      <c r="O936" s="2">
        <v>72</v>
      </c>
      <c r="P936" s="2">
        <v>-10</v>
      </c>
      <c r="Q936" s="3">
        <v>-8.4000000000000005E-2</v>
      </c>
      <c r="R936" s="2">
        <v>130</v>
      </c>
      <c r="S936" s="2">
        <v>50</v>
      </c>
      <c r="T936" s="2">
        <v>20</v>
      </c>
      <c r="U936" s="3">
        <v>0.15379999999999999</v>
      </c>
      <c r="V936" s="2">
        <v>-30</v>
      </c>
    </row>
    <row r="937" spans="1:22" x14ac:dyDescent="0.25">
      <c r="A937" t="s">
        <v>1005</v>
      </c>
      <c r="B937" s="1">
        <v>45616</v>
      </c>
      <c r="C937">
        <v>435</v>
      </c>
      <c r="D937" t="s">
        <v>95</v>
      </c>
      <c r="E937" t="s">
        <v>53</v>
      </c>
      <c r="F937" t="s">
        <v>25</v>
      </c>
      <c r="G937" t="s">
        <v>33</v>
      </c>
      <c r="H937" t="s">
        <v>54</v>
      </c>
      <c r="I937" t="s">
        <v>68</v>
      </c>
      <c r="J937" t="s">
        <v>29</v>
      </c>
      <c r="K937">
        <v>552</v>
      </c>
      <c r="L937">
        <v>33</v>
      </c>
      <c r="M937" s="2">
        <v>231</v>
      </c>
      <c r="N937" s="2">
        <v>101</v>
      </c>
      <c r="O937" s="2">
        <v>45</v>
      </c>
      <c r="P937" s="2">
        <v>85</v>
      </c>
      <c r="Q937" s="3">
        <v>0.36799999999999999</v>
      </c>
      <c r="R937" s="2">
        <v>220</v>
      </c>
      <c r="S937" s="2">
        <v>90</v>
      </c>
      <c r="T937" s="2">
        <v>90</v>
      </c>
      <c r="U937" s="3">
        <v>0.40910000000000002</v>
      </c>
      <c r="V937" s="2">
        <v>-5</v>
      </c>
    </row>
    <row r="938" spans="1:22" x14ac:dyDescent="0.25">
      <c r="A938" t="s">
        <v>1006</v>
      </c>
      <c r="B938" s="1">
        <v>45617</v>
      </c>
      <c r="C938">
        <v>337</v>
      </c>
      <c r="D938" t="s">
        <v>49</v>
      </c>
      <c r="E938" t="s">
        <v>45</v>
      </c>
      <c r="F938" t="s">
        <v>25</v>
      </c>
      <c r="G938" t="s">
        <v>33</v>
      </c>
      <c r="H938" t="s">
        <v>54</v>
      </c>
      <c r="I938" t="s">
        <v>55</v>
      </c>
      <c r="J938" t="s">
        <v>40</v>
      </c>
      <c r="K938">
        <v>454</v>
      </c>
      <c r="L938">
        <v>15</v>
      </c>
      <c r="M938" s="2">
        <v>128</v>
      </c>
      <c r="N938" s="2">
        <v>49</v>
      </c>
      <c r="O938" s="2">
        <v>37</v>
      </c>
      <c r="P938" s="2">
        <v>50</v>
      </c>
      <c r="Q938" s="3">
        <v>0.3906</v>
      </c>
      <c r="R938" s="2">
        <v>90</v>
      </c>
      <c r="S938" s="2">
        <v>30</v>
      </c>
      <c r="T938" s="2">
        <v>30</v>
      </c>
      <c r="U938" s="3">
        <v>0.33329999999999999</v>
      </c>
      <c r="V938" s="2">
        <v>20</v>
      </c>
    </row>
    <row r="939" spans="1:22" x14ac:dyDescent="0.25">
      <c r="A939" t="s">
        <v>1007</v>
      </c>
      <c r="B939" s="1">
        <v>45617</v>
      </c>
      <c r="C939">
        <v>419</v>
      </c>
      <c r="D939" t="s">
        <v>85</v>
      </c>
      <c r="E939" t="s">
        <v>24</v>
      </c>
      <c r="F939" t="s">
        <v>32</v>
      </c>
      <c r="G939" t="s">
        <v>26</v>
      </c>
      <c r="H939" t="s">
        <v>38</v>
      </c>
      <c r="I939" t="s">
        <v>46</v>
      </c>
      <c r="J939" t="s">
        <v>40</v>
      </c>
      <c r="K939">
        <v>862</v>
      </c>
      <c r="L939">
        <v>10</v>
      </c>
      <c r="M939" s="2">
        <v>94</v>
      </c>
      <c r="N939" s="2">
        <v>36</v>
      </c>
      <c r="O939" s="2">
        <v>22</v>
      </c>
      <c r="P939" s="2">
        <v>45</v>
      </c>
      <c r="Q939" s="3">
        <v>0.47870000000000001</v>
      </c>
      <c r="R939" s="2">
        <v>80</v>
      </c>
      <c r="S939" s="2">
        <v>30</v>
      </c>
      <c r="T939" s="2">
        <v>40</v>
      </c>
      <c r="U939" s="3">
        <v>0.5</v>
      </c>
      <c r="V939" s="2">
        <v>5</v>
      </c>
    </row>
    <row r="940" spans="1:22" x14ac:dyDescent="0.25">
      <c r="A940" t="s">
        <v>1008</v>
      </c>
      <c r="B940" s="1">
        <v>45617</v>
      </c>
      <c r="C940">
        <v>603</v>
      </c>
      <c r="D940" t="s">
        <v>109</v>
      </c>
      <c r="E940" t="s">
        <v>79</v>
      </c>
      <c r="F940" t="s">
        <v>25</v>
      </c>
      <c r="G940" t="s">
        <v>33</v>
      </c>
      <c r="H940" t="s">
        <v>34</v>
      </c>
      <c r="I940" t="s">
        <v>35</v>
      </c>
      <c r="J940" t="s">
        <v>29</v>
      </c>
      <c r="K940">
        <v>327</v>
      </c>
      <c r="L940">
        <v>16</v>
      </c>
      <c r="M940" s="2">
        <v>127</v>
      </c>
      <c r="N940" s="2">
        <v>52</v>
      </c>
      <c r="O940" s="2">
        <v>38</v>
      </c>
      <c r="P940" s="2">
        <v>37</v>
      </c>
      <c r="Q940" s="3">
        <v>0.2913</v>
      </c>
      <c r="R940" s="2">
        <v>110</v>
      </c>
      <c r="S940" s="2">
        <v>40</v>
      </c>
      <c r="T940" s="2">
        <v>50</v>
      </c>
      <c r="U940" s="3">
        <v>0.45450000000000002</v>
      </c>
      <c r="V940" s="2">
        <v>-13</v>
      </c>
    </row>
    <row r="941" spans="1:22" x14ac:dyDescent="0.25">
      <c r="A941" t="s">
        <v>1009</v>
      </c>
      <c r="B941" s="1">
        <v>45617</v>
      </c>
      <c r="C941">
        <v>515</v>
      </c>
      <c r="D941" t="s">
        <v>124</v>
      </c>
      <c r="E941" t="s">
        <v>24</v>
      </c>
      <c r="F941" t="s">
        <v>25</v>
      </c>
      <c r="G941" t="s">
        <v>33</v>
      </c>
      <c r="H941" t="s">
        <v>34</v>
      </c>
      <c r="I941" t="s">
        <v>35</v>
      </c>
      <c r="J941" t="s">
        <v>29</v>
      </c>
      <c r="K941">
        <v>846</v>
      </c>
      <c r="L941">
        <v>5</v>
      </c>
      <c r="M941" s="2">
        <v>55</v>
      </c>
      <c r="N941" s="2">
        <v>21</v>
      </c>
      <c r="O941" s="2">
        <v>16</v>
      </c>
      <c r="P941" s="2">
        <v>22</v>
      </c>
      <c r="Q941" s="3">
        <v>0.4</v>
      </c>
      <c r="R941" s="2">
        <v>40</v>
      </c>
      <c r="S941" s="2">
        <v>10</v>
      </c>
      <c r="T941" s="2">
        <v>30</v>
      </c>
      <c r="U941" s="3">
        <v>0.75</v>
      </c>
      <c r="V941" s="2">
        <v>-8</v>
      </c>
    </row>
    <row r="942" spans="1:22" x14ac:dyDescent="0.25">
      <c r="A942" t="s">
        <v>1010</v>
      </c>
      <c r="B942" s="1">
        <v>45617</v>
      </c>
      <c r="C942">
        <v>432</v>
      </c>
      <c r="D942" t="s">
        <v>76</v>
      </c>
      <c r="E942" t="s">
        <v>45</v>
      </c>
      <c r="F942" t="s">
        <v>32</v>
      </c>
      <c r="G942" t="s">
        <v>33</v>
      </c>
      <c r="H942" t="s">
        <v>54</v>
      </c>
      <c r="I942" t="s">
        <v>55</v>
      </c>
      <c r="J942" t="s">
        <v>40</v>
      </c>
      <c r="K942">
        <v>580</v>
      </c>
      <c r="L942">
        <v>21</v>
      </c>
      <c r="M942" s="2">
        <v>199</v>
      </c>
      <c r="N942" s="2">
        <v>76</v>
      </c>
      <c r="O942" s="2">
        <v>33</v>
      </c>
      <c r="P942" s="2">
        <v>116</v>
      </c>
      <c r="Q942" s="3">
        <v>0.58289999999999997</v>
      </c>
      <c r="R942" s="2">
        <v>120</v>
      </c>
      <c r="S942" s="2">
        <v>40</v>
      </c>
      <c r="T942" s="2">
        <v>80</v>
      </c>
      <c r="U942" s="3">
        <v>0.66669999999999996</v>
      </c>
      <c r="V942" s="2">
        <v>36</v>
      </c>
    </row>
    <row r="943" spans="1:22" x14ac:dyDescent="0.25">
      <c r="A943" t="s">
        <v>1011</v>
      </c>
      <c r="B943" s="1">
        <v>45618</v>
      </c>
      <c r="C943">
        <v>970</v>
      </c>
      <c r="D943" t="s">
        <v>31</v>
      </c>
      <c r="E943" t="s">
        <v>24</v>
      </c>
      <c r="F943" t="s">
        <v>32</v>
      </c>
      <c r="G943" t="s">
        <v>26</v>
      </c>
      <c r="H943" t="s">
        <v>38</v>
      </c>
      <c r="I943" t="s">
        <v>66</v>
      </c>
      <c r="J943" t="s">
        <v>40</v>
      </c>
      <c r="K943">
        <v>411</v>
      </c>
      <c r="L943">
        <v>19</v>
      </c>
      <c r="M943" s="2">
        <v>147</v>
      </c>
      <c r="N943" s="2">
        <v>59</v>
      </c>
      <c r="O943" s="2">
        <v>47</v>
      </c>
      <c r="P943" s="2">
        <v>47</v>
      </c>
      <c r="Q943" s="3">
        <v>0.31969999999999998</v>
      </c>
      <c r="R943" s="2">
        <v>120</v>
      </c>
      <c r="S943" s="2">
        <v>50</v>
      </c>
      <c r="T943" s="2">
        <v>40</v>
      </c>
      <c r="U943" s="3">
        <v>0.33329999999999999</v>
      </c>
      <c r="V943" s="2">
        <v>7</v>
      </c>
    </row>
    <row r="944" spans="1:22" x14ac:dyDescent="0.25">
      <c r="A944" t="s">
        <v>1012</v>
      </c>
      <c r="B944" s="1">
        <v>45619</v>
      </c>
      <c r="C944">
        <v>603</v>
      </c>
      <c r="D944" t="s">
        <v>109</v>
      </c>
      <c r="E944" t="s">
        <v>79</v>
      </c>
      <c r="F944" t="s">
        <v>25</v>
      </c>
      <c r="G944" t="s">
        <v>33</v>
      </c>
      <c r="H944" t="s">
        <v>54</v>
      </c>
      <c r="I944" t="s">
        <v>68</v>
      </c>
      <c r="J944" t="s">
        <v>29</v>
      </c>
      <c r="K944">
        <v>335</v>
      </c>
      <c r="L944">
        <v>44</v>
      </c>
      <c r="M944" s="2">
        <v>118</v>
      </c>
      <c r="N944" s="2">
        <v>49</v>
      </c>
      <c r="O944" s="2">
        <v>73</v>
      </c>
      <c r="P944" s="2">
        <v>-4</v>
      </c>
      <c r="Q944" s="3">
        <v>-3.39E-2</v>
      </c>
      <c r="R944" s="2">
        <v>110</v>
      </c>
      <c r="S944" s="2">
        <v>40</v>
      </c>
      <c r="T944" s="2">
        <v>10</v>
      </c>
      <c r="U944" s="3">
        <v>9.0899999999999995E-2</v>
      </c>
      <c r="V944" s="2">
        <v>-14</v>
      </c>
    </row>
    <row r="945" spans="1:22" x14ac:dyDescent="0.25">
      <c r="A945" t="s">
        <v>1013</v>
      </c>
      <c r="B945" s="1">
        <v>45619</v>
      </c>
      <c r="C945">
        <v>435</v>
      </c>
      <c r="D945" t="s">
        <v>95</v>
      </c>
      <c r="E945" t="s">
        <v>53</v>
      </c>
      <c r="F945" t="s">
        <v>25</v>
      </c>
      <c r="G945" t="s">
        <v>26</v>
      </c>
      <c r="H945" t="s">
        <v>27</v>
      </c>
      <c r="I945" t="s">
        <v>59</v>
      </c>
      <c r="J945" t="s">
        <v>29</v>
      </c>
      <c r="K945">
        <v>209</v>
      </c>
      <c r="L945">
        <v>9</v>
      </c>
      <c r="M945" s="2">
        <v>56</v>
      </c>
      <c r="N945" s="2">
        <v>25</v>
      </c>
      <c r="O945" s="2">
        <v>43</v>
      </c>
      <c r="P945" s="2">
        <v>-12</v>
      </c>
      <c r="Q945" s="3">
        <v>-0.21429999999999999</v>
      </c>
      <c r="R945" s="2">
        <v>20</v>
      </c>
      <c r="S945" s="2">
        <v>0</v>
      </c>
      <c r="T945" s="2">
        <v>10</v>
      </c>
      <c r="U945" s="3">
        <v>0.5</v>
      </c>
      <c r="V945" s="2">
        <v>-22</v>
      </c>
    </row>
    <row r="946" spans="1:22" x14ac:dyDescent="0.25">
      <c r="A946" t="s">
        <v>1014</v>
      </c>
      <c r="B946" s="1">
        <v>45620</v>
      </c>
      <c r="C946">
        <v>203</v>
      </c>
      <c r="D946" t="s">
        <v>135</v>
      </c>
      <c r="E946" t="s">
        <v>79</v>
      </c>
      <c r="F946" t="s">
        <v>25</v>
      </c>
      <c r="G946" t="s">
        <v>26</v>
      </c>
      <c r="H946" t="s">
        <v>38</v>
      </c>
      <c r="I946" t="s">
        <v>46</v>
      </c>
      <c r="J946" t="s">
        <v>40</v>
      </c>
      <c r="K946">
        <v>593</v>
      </c>
      <c r="L946">
        <v>30</v>
      </c>
      <c r="M946" s="2">
        <v>189</v>
      </c>
      <c r="N946" s="2">
        <v>79</v>
      </c>
      <c r="O946" s="2">
        <v>64</v>
      </c>
      <c r="P946" s="2">
        <v>50</v>
      </c>
      <c r="Q946" s="3">
        <v>0.2646</v>
      </c>
      <c r="R946" s="2">
        <v>90</v>
      </c>
      <c r="S946" s="2">
        <v>40</v>
      </c>
      <c r="T946" s="2">
        <v>30</v>
      </c>
      <c r="U946" s="3">
        <v>0.33329999999999999</v>
      </c>
      <c r="V946" s="2">
        <v>20</v>
      </c>
    </row>
    <row r="947" spans="1:22" x14ac:dyDescent="0.25">
      <c r="A947" t="s">
        <v>1015</v>
      </c>
      <c r="B947" s="1">
        <v>45620</v>
      </c>
      <c r="C947">
        <v>337</v>
      </c>
      <c r="D947" t="s">
        <v>49</v>
      </c>
      <c r="E947" t="s">
        <v>45</v>
      </c>
      <c r="F947" t="s">
        <v>25</v>
      </c>
      <c r="G947" t="s">
        <v>33</v>
      </c>
      <c r="H947" t="s">
        <v>34</v>
      </c>
      <c r="I947" t="s">
        <v>50</v>
      </c>
      <c r="J947" t="s">
        <v>29</v>
      </c>
      <c r="K947">
        <v>829</v>
      </c>
      <c r="L947">
        <v>13</v>
      </c>
      <c r="M947" s="2">
        <v>127</v>
      </c>
      <c r="N947" s="2">
        <v>48</v>
      </c>
      <c r="O947" s="2">
        <v>24</v>
      </c>
      <c r="P947" s="2">
        <v>70</v>
      </c>
      <c r="Q947" s="3">
        <v>0.55120000000000002</v>
      </c>
      <c r="R947" s="2">
        <v>160</v>
      </c>
      <c r="S947" s="2">
        <v>70</v>
      </c>
      <c r="T947" s="2">
        <v>80</v>
      </c>
      <c r="U947" s="3">
        <v>0.5</v>
      </c>
      <c r="V947" s="2">
        <v>-10</v>
      </c>
    </row>
    <row r="948" spans="1:22" x14ac:dyDescent="0.25">
      <c r="A948" t="s">
        <v>1016</v>
      </c>
      <c r="B948" s="1">
        <v>45620</v>
      </c>
      <c r="C948">
        <v>626</v>
      </c>
      <c r="D948" t="s">
        <v>62</v>
      </c>
      <c r="E948" t="s">
        <v>53</v>
      </c>
      <c r="F948" t="s">
        <v>32</v>
      </c>
      <c r="G948" t="s">
        <v>33</v>
      </c>
      <c r="H948" t="s">
        <v>34</v>
      </c>
      <c r="I948" t="s">
        <v>50</v>
      </c>
      <c r="J948" t="s">
        <v>29</v>
      </c>
      <c r="K948">
        <v>2548</v>
      </c>
      <c r="L948">
        <v>91</v>
      </c>
      <c r="M948" s="2">
        <v>650</v>
      </c>
      <c r="N948" s="2">
        <v>260</v>
      </c>
      <c r="O948" s="2">
        <v>143</v>
      </c>
      <c r="P948" s="2">
        <v>247</v>
      </c>
      <c r="Q948" s="3">
        <v>0.38</v>
      </c>
      <c r="R948" s="2">
        <v>960</v>
      </c>
      <c r="S948" s="2">
        <v>380</v>
      </c>
      <c r="T948" s="2">
        <v>470</v>
      </c>
      <c r="U948" s="3">
        <v>0.48959999999999998</v>
      </c>
      <c r="V948" s="2">
        <v>-223</v>
      </c>
    </row>
    <row r="949" spans="1:22" x14ac:dyDescent="0.25">
      <c r="A949" t="s">
        <v>1017</v>
      </c>
      <c r="B949" s="1">
        <v>45620</v>
      </c>
      <c r="C949">
        <v>714</v>
      </c>
      <c r="D949" t="s">
        <v>62</v>
      </c>
      <c r="E949" t="s">
        <v>53</v>
      </c>
      <c r="F949" t="s">
        <v>32</v>
      </c>
      <c r="G949" t="s">
        <v>33</v>
      </c>
      <c r="H949" t="s">
        <v>34</v>
      </c>
      <c r="I949" t="s">
        <v>83</v>
      </c>
      <c r="J949" t="s">
        <v>40</v>
      </c>
      <c r="K949">
        <v>4216</v>
      </c>
      <c r="L949">
        <v>73</v>
      </c>
      <c r="M949" s="2">
        <v>192</v>
      </c>
      <c r="N949" s="2">
        <v>224</v>
      </c>
      <c r="O949" s="2">
        <v>117</v>
      </c>
      <c r="P949" s="2">
        <v>-149</v>
      </c>
      <c r="Q949" s="3">
        <v>-0.77600000000000002</v>
      </c>
      <c r="R949" s="2">
        <v>220</v>
      </c>
      <c r="S949" s="2">
        <v>260</v>
      </c>
      <c r="T949" s="2">
        <v>-150</v>
      </c>
      <c r="U949" s="3">
        <v>-0.68179999999999996</v>
      </c>
      <c r="V949" s="2">
        <v>1</v>
      </c>
    </row>
    <row r="950" spans="1:22" x14ac:dyDescent="0.25">
      <c r="A950" t="s">
        <v>1018</v>
      </c>
      <c r="B950" s="1">
        <v>45620</v>
      </c>
      <c r="C950">
        <v>503</v>
      </c>
      <c r="D950" t="s">
        <v>71</v>
      </c>
      <c r="E950" t="s">
        <v>53</v>
      </c>
      <c r="F950" t="s">
        <v>25</v>
      </c>
      <c r="G950" t="s">
        <v>26</v>
      </c>
      <c r="H950" t="s">
        <v>38</v>
      </c>
      <c r="I950" t="s">
        <v>46</v>
      </c>
      <c r="J950" t="s">
        <v>40</v>
      </c>
      <c r="K950">
        <v>551</v>
      </c>
      <c r="L950">
        <v>26</v>
      </c>
      <c r="M950" s="2">
        <v>197</v>
      </c>
      <c r="N950" s="2">
        <v>81</v>
      </c>
      <c r="O950" s="2">
        <v>38</v>
      </c>
      <c r="P950" s="2">
        <v>98</v>
      </c>
      <c r="Q950" s="3">
        <v>0.4975</v>
      </c>
      <c r="R950" s="2">
        <v>170</v>
      </c>
      <c r="S950" s="2">
        <v>70</v>
      </c>
      <c r="T950" s="2">
        <v>70</v>
      </c>
      <c r="U950" s="3">
        <v>0.4118</v>
      </c>
      <c r="V950" s="2">
        <v>28</v>
      </c>
    </row>
    <row r="951" spans="1:22" x14ac:dyDescent="0.25">
      <c r="A951" t="s">
        <v>1019</v>
      </c>
      <c r="B951" s="1">
        <v>45621</v>
      </c>
      <c r="C951">
        <v>469</v>
      </c>
      <c r="D951" t="s">
        <v>76</v>
      </c>
      <c r="E951" t="s">
        <v>45</v>
      </c>
      <c r="F951" t="s">
        <v>32</v>
      </c>
      <c r="G951" t="s">
        <v>26</v>
      </c>
      <c r="H951" t="s">
        <v>38</v>
      </c>
      <c r="I951" t="s">
        <v>39</v>
      </c>
      <c r="J951" t="s">
        <v>40</v>
      </c>
      <c r="K951">
        <v>424</v>
      </c>
      <c r="L951">
        <v>17</v>
      </c>
      <c r="M951" s="2">
        <v>127</v>
      </c>
      <c r="N951" s="2">
        <v>54</v>
      </c>
      <c r="O951" s="2">
        <v>45</v>
      </c>
      <c r="P951" s="2">
        <v>28</v>
      </c>
      <c r="Q951" s="3">
        <v>0.2205</v>
      </c>
      <c r="R951" s="2">
        <v>110</v>
      </c>
      <c r="S951" s="2">
        <v>50</v>
      </c>
      <c r="T951" s="2">
        <v>30</v>
      </c>
      <c r="U951" s="3">
        <v>0.2727</v>
      </c>
      <c r="V951" s="2">
        <v>-2</v>
      </c>
    </row>
    <row r="952" spans="1:22" x14ac:dyDescent="0.25">
      <c r="A952" t="s">
        <v>1020</v>
      </c>
      <c r="B952" s="1">
        <v>45621</v>
      </c>
      <c r="C952">
        <v>603</v>
      </c>
      <c r="D952" t="s">
        <v>109</v>
      </c>
      <c r="E952" t="s">
        <v>79</v>
      </c>
      <c r="F952" t="s">
        <v>25</v>
      </c>
      <c r="G952" t="s">
        <v>26</v>
      </c>
      <c r="H952" t="s">
        <v>27</v>
      </c>
      <c r="I952" t="s">
        <v>28</v>
      </c>
      <c r="J952" t="s">
        <v>29</v>
      </c>
      <c r="K952">
        <v>846</v>
      </c>
      <c r="L952">
        <v>5</v>
      </c>
      <c r="M952" s="2">
        <v>55</v>
      </c>
      <c r="N952" s="2">
        <v>21</v>
      </c>
      <c r="O952" s="2">
        <v>17</v>
      </c>
      <c r="P952" s="2">
        <v>21</v>
      </c>
      <c r="Q952" s="3">
        <v>0.38179999999999997</v>
      </c>
      <c r="R952" s="2">
        <v>50</v>
      </c>
      <c r="S952" s="2">
        <v>20</v>
      </c>
      <c r="T952" s="2">
        <v>30</v>
      </c>
      <c r="U952" s="3">
        <v>0.6</v>
      </c>
      <c r="V952" s="2">
        <v>-9</v>
      </c>
    </row>
    <row r="953" spans="1:22" x14ac:dyDescent="0.25">
      <c r="A953" t="s">
        <v>1021</v>
      </c>
      <c r="B953" s="1">
        <v>45621</v>
      </c>
      <c r="C953">
        <v>217</v>
      </c>
      <c r="D953" t="s">
        <v>37</v>
      </c>
      <c r="E953" t="s">
        <v>24</v>
      </c>
      <c r="F953" t="s">
        <v>32</v>
      </c>
      <c r="G953" t="s">
        <v>26</v>
      </c>
      <c r="H953" t="s">
        <v>27</v>
      </c>
      <c r="I953" t="s">
        <v>28</v>
      </c>
      <c r="J953" t="s">
        <v>29</v>
      </c>
      <c r="K953">
        <v>580</v>
      </c>
      <c r="L953">
        <v>21</v>
      </c>
      <c r="M953" s="2">
        <v>187</v>
      </c>
      <c r="N953" s="2">
        <v>76</v>
      </c>
      <c r="O953" s="2">
        <v>33</v>
      </c>
      <c r="P953" s="2">
        <v>78</v>
      </c>
      <c r="Q953" s="3">
        <v>0.41710000000000003</v>
      </c>
      <c r="R953" s="2">
        <v>130</v>
      </c>
      <c r="S953" s="2">
        <v>50</v>
      </c>
      <c r="T953" s="2">
        <v>80</v>
      </c>
      <c r="U953" s="3">
        <v>0.61539999999999995</v>
      </c>
      <c r="V953" s="2">
        <v>-2</v>
      </c>
    </row>
    <row r="954" spans="1:22" x14ac:dyDescent="0.25">
      <c r="A954" t="s">
        <v>1022</v>
      </c>
      <c r="B954" s="1">
        <v>45621</v>
      </c>
      <c r="C954">
        <v>510</v>
      </c>
      <c r="D954" t="s">
        <v>62</v>
      </c>
      <c r="E954" t="s">
        <v>53</v>
      </c>
      <c r="F954" t="s">
        <v>32</v>
      </c>
      <c r="G954" t="s">
        <v>26</v>
      </c>
      <c r="H954" t="s">
        <v>27</v>
      </c>
      <c r="I954" t="s">
        <v>59</v>
      </c>
      <c r="J954" t="s">
        <v>29</v>
      </c>
      <c r="K954">
        <v>677</v>
      </c>
      <c r="L954">
        <v>22</v>
      </c>
      <c r="M954" s="2">
        <v>179</v>
      </c>
      <c r="N954" s="2">
        <v>67</v>
      </c>
      <c r="O954" s="2">
        <v>54</v>
      </c>
      <c r="P954" s="2">
        <v>70</v>
      </c>
      <c r="Q954" s="3">
        <v>0.3911</v>
      </c>
      <c r="R954" s="2">
        <v>120</v>
      </c>
      <c r="S954" s="2">
        <v>40</v>
      </c>
      <c r="T954" s="2">
        <v>50</v>
      </c>
      <c r="U954" s="3">
        <v>0.41670000000000001</v>
      </c>
      <c r="V954" s="2">
        <v>20</v>
      </c>
    </row>
    <row r="955" spans="1:22" x14ac:dyDescent="0.25">
      <c r="A955" t="s">
        <v>1023</v>
      </c>
      <c r="B955" s="1">
        <v>45622</v>
      </c>
      <c r="C955">
        <v>318</v>
      </c>
      <c r="D955" t="s">
        <v>49</v>
      </c>
      <c r="E955" t="s">
        <v>45</v>
      </c>
      <c r="F955" t="s">
        <v>25</v>
      </c>
      <c r="G955" t="s">
        <v>33</v>
      </c>
      <c r="H955" t="s">
        <v>54</v>
      </c>
      <c r="I955" t="s">
        <v>72</v>
      </c>
      <c r="J955" t="s">
        <v>29</v>
      </c>
      <c r="K955">
        <v>-762</v>
      </c>
      <c r="L955">
        <v>54</v>
      </c>
      <c r="M955" s="2">
        <v>144</v>
      </c>
      <c r="N955" s="2">
        <v>60</v>
      </c>
      <c r="O955" s="2">
        <v>83</v>
      </c>
      <c r="P955" s="2">
        <v>1</v>
      </c>
      <c r="Q955" s="3">
        <v>6.8999999999999999E-3</v>
      </c>
      <c r="R955" s="2">
        <v>90</v>
      </c>
      <c r="S955" s="2">
        <v>30</v>
      </c>
      <c r="T955" s="2">
        <v>10</v>
      </c>
      <c r="U955" s="3">
        <v>0.1111</v>
      </c>
      <c r="V955" s="2">
        <v>-9</v>
      </c>
    </row>
    <row r="956" spans="1:22" x14ac:dyDescent="0.25">
      <c r="A956" t="s">
        <v>1024</v>
      </c>
      <c r="B956" s="1">
        <v>45622</v>
      </c>
      <c r="C956">
        <v>414</v>
      </c>
      <c r="D956" t="s">
        <v>23</v>
      </c>
      <c r="E956" t="s">
        <v>24</v>
      </c>
      <c r="F956" t="s">
        <v>25</v>
      </c>
      <c r="G956" t="s">
        <v>33</v>
      </c>
      <c r="H956" t="s">
        <v>34</v>
      </c>
      <c r="I956" t="s">
        <v>50</v>
      </c>
      <c r="J956" t="s">
        <v>29</v>
      </c>
      <c r="K956">
        <v>683</v>
      </c>
      <c r="L956">
        <v>87</v>
      </c>
      <c r="M956" s="2">
        <v>245</v>
      </c>
      <c r="N956" s="2">
        <v>96</v>
      </c>
      <c r="O956" s="2">
        <v>116</v>
      </c>
      <c r="P956" s="2">
        <v>27</v>
      </c>
      <c r="Q956" s="3">
        <v>0.11020000000000001</v>
      </c>
      <c r="R956" s="2">
        <v>230</v>
      </c>
      <c r="S956" s="2">
        <v>90</v>
      </c>
      <c r="T956" s="2">
        <v>60</v>
      </c>
      <c r="U956" s="3">
        <v>0.26090000000000002</v>
      </c>
      <c r="V956" s="2">
        <v>-33</v>
      </c>
    </row>
    <row r="957" spans="1:22" x14ac:dyDescent="0.25">
      <c r="A957" t="s">
        <v>1025</v>
      </c>
      <c r="B957" s="1">
        <v>45623</v>
      </c>
      <c r="C957">
        <v>650</v>
      </c>
      <c r="D957" t="s">
        <v>62</v>
      </c>
      <c r="E957" t="s">
        <v>53</v>
      </c>
      <c r="F957" t="s">
        <v>32</v>
      </c>
      <c r="G957" t="s">
        <v>26</v>
      </c>
      <c r="H957" t="s">
        <v>27</v>
      </c>
      <c r="I957" t="s">
        <v>42</v>
      </c>
      <c r="J957" t="s">
        <v>29</v>
      </c>
      <c r="K957">
        <v>589</v>
      </c>
      <c r="L957">
        <v>14</v>
      </c>
      <c r="M957" s="2">
        <v>123</v>
      </c>
      <c r="N957" s="2">
        <v>50</v>
      </c>
      <c r="O957" s="2">
        <v>26</v>
      </c>
      <c r="P957" s="2">
        <v>47</v>
      </c>
      <c r="Q957" s="3">
        <v>0.3821</v>
      </c>
      <c r="R957" s="2">
        <v>80</v>
      </c>
      <c r="S957" s="2">
        <v>30</v>
      </c>
      <c r="T957" s="2">
        <v>40</v>
      </c>
      <c r="U957" s="3">
        <v>0.5</v>
      </c>
      <c r="V957" s="2">
        <v>7</v>
      </c>
    </row>
    <row r="958" spans="1:22" x14ac:dyDescent="0.25">
      <c r="A958" t="s">
        <v>1026</v>
      </c>
      <c r="B958" s="1">
        <v>45623</v>
      </c>
      <c r="C958">
        <v>702</v>
      </c>
      <c r="D958" t="s">
        <v>65</v>
      </c>
      <c r="E958" t="s">
        <v>53</v>
      </c>
      <c r="F958" t="s">
        <v>25</v>
      </c>
      <c r="G958" t="s">
        <v>26</v>
      </c>
      <c r="H958" t="s">
        <v>27</v>
      </c>
      <c r="I958" t="s">
        <v>42</v>
      </c>
      <c r="J958" t="s">
        <v>29</v>
      </c>
      <c r="K958">
        <v>1820</v>
      </c>
      <c r="L958">
        <v>70</v>
      </c>
      <c r="M958" s="2">
        <v>501</v>
      </c>
      <c r="N958" s="2">
        <v>250</v>
      </c>
      <c r="O958" s="2">
        <v>94</v>
      </c>
      <c r="P958" s="2">
        <v>157</v>
      </c>
      <c r="Q958" s="3">
        <v>0.31340000000000001</v>
      </c>
      <c r="R958" s="2">
        <v>360</v>
      </c>
      <c r="S958" s="2">
        <v>180</v>
      </c>
      <c r="T958" s="2">
        <v>100</v>
      </c>
      <c r="U958" s="3">
        <v>0.27779999999999999</v>
      </c>
      <c r="V958" s="2">
        <v>57</v>
      </c>
    </row>
    <row r="959" spans="1:22" x14ac:dyDescent="0.25">
      <c r="A959" t="s">
        <v>1027</v>
      </c>
      <c r="B959" s="1">
        <v>45623</v>
      </c>
      <c r="C959">
        <v>775</v>
      </c>
      <c r="D959" t="s">
        <v>65</v>
      </c>
      <c r="E959" t="s">
        <v>53</v>
      </c>
      <c r="F959" t="s">
        <v>25</v>
      </c>
      <c r="G959" t="s">
        <v>26</v>
      </c>
      <c r="H959" t="s">
        <v>27</v>
      </c>
      <c r="I959" t="s">
        <v>59</v>
      </c>
      <c r="J959" t="s">
        <v>29</v>
      </c>
      <c r="K959">
        <v>8252</v>
      </c>
      <c r="L959">
        <v>111</v>
      </c>
      <c r="M959" s="2">
        <v>33</v>
      </c>
      <c r="N959" s="2">
        <v>294</v>
      </c>
      <c r="O959" s="2">
        <v>145</v>
      </c>
      <c r="P959" s="2">
        <v>-605</v>
      </c>
      <c r="Q959" s="3">
        <v>-18.333300000000001</v>
      </c>
      <c r="R959" s="2">
        <v>0</v>
      </c>
      <c r="S959" s="2">
        <v>210</v>
      </c>
      <c r="T959" s="2">
        <v>-320</v>
      </c>
      <c r="U959" t="e">
        <v>#DIV/0!</v>
      </c>
      <c r="V959" s="2">
        <v>-285</v>
      </c>
    </row>
    <row r="960" spans="1:22" x14ac:dyDescent="0.25">
      <c r="A960" t="s">
        <v>1028</v>
      </c>
      <c r="B960" s="1">
        <v>45624</v>
      </c>
      <c r="C960">
        <v>573</v>
      </c>
      <c r="D960" t="s">
        <v>58</v>
      </c>
      <c r="E960" t="s">
        <v>24</v>
      </c>
      <c r="F960" t="s">
        <v>25</v>
      </c>
      <c r="G960" t="s">
        <v>26</v>
      </c>
      <c r="H960" t="s">
        <v>27</v>
      </c>
      <c r="I960" t="s">
        <v>42</v>
      </c>
      <c r="J960" t="s">
        <v>29</v>
      </c>
      <c r="K960">
        <v>211</v>
      </c>
      <c r="L960">
        <v>12</v>
      </c>
      <c r="M960" s="2">
        <v>81</v>
      </c>
      <c r="N960" s="2">
        <v>34</v>
      </c>
      <c r="O960" s="2">
        <v>45</v>
      </c>
      <c r="P960" s="2">
        <v>-4</v>
      </c>
      <c r="Q960" s="3">
        <v>-4.9399999999999999E-2</v>
      </c>
      <c r="R960" s="2">
        <v>60</v>
      </c>
      <c r="S960" s="2">
        <v>20</v>
      </c>
      <c r="T960" s="2">
        <v>0</v>
      </c>
      <c r="U960" s="3">
        <v>0</v>
      </c>
      <c r="V960" s="2">
        <v>-4</v>
      </c>
    </row>
    <row r="961" spans="1:22" x14ac:dyDescent="0.25">
      <c r="A961" t="s">
        <v>1029</v>
      </c>
      <c r="B961" s="1">
        <v>45627</v>
      </c>
      <c r="C961">
        <v>801</v>
      </c>
      <c r="D961" t="s">
        <v>95</v>
      </c>
      <c r="E961" t="s">
        <v>53</v>
      </c>
      <c r="F961" t="s">
        <v>25</v>
      </c>
      <c r="G961" t="s">
        <v>26</v>
      </c>
      <c r="H961" t="s">
        <v>38</v>
      </c>
      <c r="I961" t="s">
        <v>39</v>
      </c>
      <c r="J961" t="s">
        <v>40</v>
      </c>
      <c r="K961">
        <v>316</v>
      </c>
      <c r="L961">
        <v>14</v>
      </c>
      <c r="M961" s="2">
        <v>113</v>
      </c>
      <c r="N961" s="2">
        <v>46</v>
      </c>
      <c r="O961" s="2">
        <v>37</v>
      </c>
      <c r="P961" s="2">
        <v>30</v>
      </c>
      <c r="Q961" s="3">
        <v>0.26550000000000001</v>
      </c>
      <c r="R961" s="2">
        <v>100</v>
      </c>
      <c r="S961" s="2">
        <v>40</v>
      </c>
      <c r="T961" s="2">
        <v>30</v>
      </c>
      <c r="U961" s="3">
        <v>0.3</v>
      </c>
      <c r="V961" s="2">
        <v>0</v>
      </c>
    </row>
    <row r="962" spans="1:22" x14ac:dyDescent="0.25">
      <c r="A962" t="s">
        <v>1030</v>
      </c>
      <c r="B962" s="1">
        <v>45628</v>
      </c>
      <c r="C962">
        <v>435</v>
      </c>
      <c r="D962" t="s">
        <v>95</v>
      </c>
      <c r="E962" t="s">
        <v>53</v>
      </c>
      <c r="F962" t="s">
        <v>25</v>
      </c>
      <c r="G962" t="s">
        <v>33</v>
      </c>
      <c r="H962" t="s">
        <v>54</v>
      </c>
      <c r="I962" t="s">
        <v>72</v>
      </c>
      <c r="J962" t="s">
        <v>29</v>
      </c>
      <c r="K962">
        <v>836</v>
      </c>
      <c r="L962">
        <v>9</v>
      </c>
      <c r="M962" s="2">
        <v>81</v>
      </c>
      <c r="N962" s="2">
        <v>33</v>
      </c>
      <c r="O962" s="2">
        <v>21</v>
      </c>
      <c r="P962" s="2">
        <v>27</v>
      </c>
      <c r="Q962" s="3">
        <v>0.33329999999999999</v>
      </c>
      <c r="R962" s="2">
        <v>70</v>
      </c>
      <c r="S962" s="2">
        <v>30</v>
      </c>
      <c r="T962" s="2">
        <v>30</v>
      </c>
      <c r="U962" s="3">
        <v>0.42859999999999998</v>
      </c>
      <c r="V962" s="2">
        <v>-3</v>
      </c>
    </row>
    <row r="963" spans="1:22" x14ac:dyDescent="0.25">
      <c r="A963" t="s">
        <v>1031</v>
      </c>
      <c r="B963" s="1">
        <v>45628</v>
      </c>
      <c r="C963">
        <v>475</v>
      </c>
      <c r="D963" t="s">
        <v>135</v>
      </c>
      <c r="E963" t="s">
        <v>79</v>
      </c>
      <c r="F963" t="s">
        <v>25</v>
      </c>
      <c r="G963" t="s">
        <v>33</v>
      </c>
      <c r="H963" t="s">
        <v>54</v>
      </c>
      <c r="I963" t="s">
        <v>68</v>
      </c>
      <c r="J963" t="s">
        <v>29</v>
      </c>
      <c r="K963">
        <v>613</v>
      </c>
      <c r="L963">
        <v>55</v>
      </c>
      <c r="M963" s="2">
        <v>157</v>
      </c>
      <c r="N963" s="2">
        <v>61</v>
      </c>
      <c r="O963" s="2">
        <v>84</v>
      </c>
      <c r="P963" s="2">
        <v>3</v>
      </c>
      <c r="Q963" s="3">
        <v>1.9099999999999999E-2</v>
      </c>
      <c r="R963" s="2">
        <v>140</v>
      </c>
      <c r="S963" s="2">
        <v>60</v>
      </c>
      <c r="T963" s="2">
        <v>10</v>
      </c>
      <c r="U963" s="3">
        <v>7.1400000000000005E-2</v>
      </c>
      <c r="V963" s="2">
        <v>-7</v>
      </c>
    </row>
    <row r="964" spans="1:22" x14ac:dyDescent="0.25">
      <c r="A964" t="s">
        <v>1032</v>
      </c>
      <c r="B964" s="1">
        <v>45628</v>
      </c>
      <c r="C964">
        <v>775</v>
      </c>
      <c r="D964" t="s">
        <v>65</v>
      </c>
      <c r="E964" t="s">
        <v>53</v>
      </c>
      <c r="F964" t="s">
        <v>25</v>
      </c>
      <c r="G964" t="s">
        <v>26</v>
      </c>
      <c r="H964" t="s">
        <v>27</v>
      </c>
      <c r="I964" t="s">
        <v>42</v>
      </c>
      <c r="J964" t="s">
        <v>29</v>
      </c>
      <c r="K964">
        <v>1755</v>
      </c>
      <c r="L964">
        <v>66</v>
      </c>
      <c r="M964" s="2">
        <v>509</v>
      </c>
      <c r="N964" s="2">
        <v>239</v>
      </c>
      <c r="O964" s="2">
        <v>90</v>
      </c>
      <c r="P964" s="2">
        <v>221</v>
      </c>
      <c r="Q964" s="3">
        <v>0.43419999999999997</v>
      </c>
      <c r="R964" s="2">
        <v>230</v>
      </c>
      <c r="S964" s="2">
        <v>110</v>
      </c>
      <c r="T964" s="2">
        <v>80</v>
      </c>
      <c r="U964" s="3">
        <v>0.3478</v>
      </c>
      <c r="V964" s="2">
        <v>141</v>
      </c>
    </row>
    <row r="965" spans="1:22" x14ac:dyDescent="0.25">
      <c r="A965" t="s">
        <v>1033</v>
      </c>
      <c r="B965" s="1">
        <v>45629</v>
      </c>
      <c r="C965">
        <v>936</v>
      </c>
      <c r="D965" t="s">
        <v>76</v>
      </c>
      <c r="E965" t="s">
        <v>45</v>
      </c>
      <c r="F965" t="s">
        <v>32</v>
      </c>
      <c r="G965" t="s">
        <v>26</v>
      </c>
      <c r="H965" t="s">
        <v>38</v>
      </c>
      <c r="I965" t="s">
        <v>39</v>
      </c>
      <c r="J965" t="s">
        <v>40</v>
      </c>
      <c r="K965">
        <v>411</v>
      </c>
      <c r="L965">
        <v>19</v>
      </c>
      <c r="M965" s="2">
        <v>147</v>
      </c>
      <c r="N965" s="2">
        <v>59</v>
      </c>
      <c r="O965" s="2">
        <v>47</v>
      </c>
      <c r="P965" s="2">
        <v>47</v>
      </c>
      <c r="Q965" s="3">
        <v>0.31969999999999998</v>
      </c>
      <c r="R965" s="2">
        <v>120</v>
      </c>
      <c r="S965" s="2">
        <v>50</v>
      </c>
      <c r="T965" s="2">
        <v>40</v>
      </c>
      <c r="U965" s="3">
        <v>0.33329999999999999</v>
      </c>
      <c r="V965" s="2">
        <v>7</v>
      </c>
    </row>
    <row r="966" spans="1:22" x14ac:dyDescent="0.25">
      <c r="A966" t="s">
        <v>1034</v>
      </c>
      <c r="B966" s="1">
        <v>45629</v>
      </c>
      <c r="C966">
        <v>347</v>
      </c>
      <c r="D966" t="s">
        <v>99</v>
      </c>
      <c r="E966" t="s">
        <v>79</v>
      </c>
      <c r="F966" t="s">
        <v>32</v>
      </c>
      <c r="G966" t="s">
        <v>33</v>
      </c>
      <c r="H966" t="s">
        <v>34</v>
      </c>
      <c r="I966" t="s">
        <v>50</v>
      </c>
      <c r="J966" t="s">
        <v>29</v>
      </c>
      <c r="K966">
        <v>2580</v>
      </c>
      <c r="L966">
        <v>87</v>
      </c>
      <c r="M966" s="2">
        <v>623</v>
      </c>
      <c r="N966" s="2">
        <v>249</v>
      </c>
      <c r="O966" s="2">
        <v>138</v>
      </c>
      <c r="P966" s="2">
        <v>236</v>
      </c>
      <c r="Q966" s="3">
        <v>0.37880000000000003</v>
      </c>
      <c r="R966" s="2">
        <v>560</v>
      </c>
      <c r="S966" s="2">
        <v>220</v>
      </c>
      <c r="T966" s="2">
        <v>230</v>
      </c>
      <c r="U966" s="3">
        <v>0.41070000000000001</v>
      </c>
      <c r="V966" s="2">
        <v>6</v>
      </c>
    </row>
    <row r="967" spans="1:22" x14ac:dyDescent="0.25">
      <c r="A967" t="s">
        <v>1035</v>
      </c>
      <c r="B967" s="1">
        <v>45629</v>
      </c>
      <c r="C967">
        <v>719</v>
      </c>
      <c r="D967" t="s">
        <v>31</v>
      </c>
      <c r="E967" t="s">
        <v>24</v>
      </c>
      <c r="F967" t="s">
        <v>32</v>
      </c>
      <c r="G967" t="s">
        <v>33</v>
      </c>
      <c r="H967" t="s">
        <v>34</v>
      </c>
      <c r="I967" t="s">
        <v>35</v>
      </c>
      <c r="J967" t="s">
        <v>29</v>
      </c>
      <c r="K967">
        <v>915</v>
      </c>
      <c r="L967">
        <v>34</v>
      </c>
      <c r="M967" s="2">
        <v>322</v>
      </c>
      <c r="N967" s="2">
        <v>123</v>
      </c>
      <c r="O967" s="2">
        <v>46</v>
      </c>
      <c r="P967" s="2">
        <v>197</v>
      </c>
      <c r="Q967" s="3">
        <v>0.61180000000000001</v>
      </c>
      <c r="R967" s="2">
        <v>300</v>
      </c>
      <c r="S967" s="2">
        <v>120</v>
      </c>
      <c r="T967" s="2">
        <v>160</v>
      </c>
      <c r="U967" s="3">
        <v>0.5333</v>
      </c>
      <c r="V967" s="2">
        <v>37</v>
      </c>
    </row>
    <row r="968" spans="1:22" x14ac:dyDescent="0.25">
      <c r="A968" t="s">
        <v>1036</v>
      </c>
      <c r="B968" s="1">
        <v>45629</v>
      </c>
      <c r="C968">
        <v>916</v>
      </c>
      <c r="D968" t="s">
        <v>62</v>
      </c>
      <c r="E968" t="s">
        <v>53</v>
      </c>
      <c r="F968" t="s">
        <v>32</v>
      </c>
      <c r="G968" t="s">
        <v>26</v>
      </c>
      <c r="H968" t="s">
        <v>38</v>
      </c>
      <c r="I968" t="s">
        <v>39</v>
      </c>
      <c r="J968" t="s">
        <v>40</v>
      </c>
      <c r="K968">
        <v>1003</v>
      </c>
      <c r="L968">
        <v>24</v>
      </c>
      <c r="M968" s="2">
        <v>224</v>
      </c>
      <c r="N968" s="2">
        <v>86</v>
      </c>
      <c r="O968" s="2">
        <v>35</v>
      </c>
      <c r="P968" s="2">
        <v>132</v>
      </c>
      <c r="Q968" s="3">
        <v>0.58930000000000005</v>
      </c>
      <c r="R968" s="2">
        <v>190</v>
      </c>
      <c r="S968" s="2">
        <v>80</v>
      </c>
      <c r="T968" s="2">
        <v>80</v>
      </c>
      <c r="U968" s="3">
        <v>0.42109999999999997</v>
      </c>
      <c r="V968" s="2">
        <v>52</v>
      </c>
    </row>
    <row r="969" spans="1:22" x14ac:dyDescent="0.25">
      <c r="A969" t="s">
        <v>1037</v>
      </c>
      <c r="B969" s="1">
        <v>45630</v>
      </c>
      <c r="C969">
        <v>775</v>
      </c>
      <c r="D969" t="s">
        <v>65</v>
      </c>
      <c r="E969" t="s">
        <v>53</v>
      </c>
      <c r="F969" t="s">
        <v>25</v>
      </c>
      <c r="G969" t="s">
        <v>33</v>
      </c>
      <c r="H969" t="s">
        <v>54</v>
      </c>
      <c r="I969" t="s">
        <v>68</v>
      </c>
      <c r="J969" t="s">
        <v>29</v>
      </c>
      <c r="K969">
        <v>851</v>
      </c>
      <c r="L969">
        <v>4</v>
      </c>
      <c r="M969" s="2">
        <v>41</v>
      </c>
      <c r="N969" s="2">
        <v>16</v>
      </c>
      <c r="O969" s="2">
        <v>15</v>
      </c>
      <c r="P969" s="2">
        <v>10</v>
      </c>
      <c r="Q969" s="3">
        <v>0.24390000000000001</v>
      </c>
      <c r="R969" s="2">
        <v>30</v>
      </c>
      <c r="S969" s="2">
        <v>10</v>
      </c>
      <c r="T969" s="2">
        <v>10</v>
      </c>
      <c r="U969" s="3">
        <v>0.33329999999999999</v>
      </c>
      <c r="V969" s="2">
        <v>0</v>
      </c>
    </row>
    <row r="970" spans="1:22" x14ac:dyDescent="0.25">
      <c r="A970" t="s">
        <v>1038</v>
      </c>
      <c r="B970" s="1">
        <v>45631</v>
      </c>
      <c r="C970">
        <v>603</v>
      </c>
      <c r="D970" t="s">
        <v>109</v>
      </c>
      <c r="E970" t="s">
        <v>79</v>
      </c>
      <c r="F970" t="s">
        <v>25</v>
      </c>
      <c r="G970" t="s">
        <v>26</v>
      </c>
      <c r="H970" t="s">
        <v>38</v>
      </c>
      <c r="I970" t="s">
        <v>46</v>
      </c>
      <c r="J970" t="s">
        <v>40</v>
      </c>
      <c r="K970">
        <v>240</v>
      </c>
      <c r="L970">
        <v>12</v>
      </c>
      <c r="M970" s="2">
        <v>77</v>
      </c>
      <c r="N970" s="2">
        <v>34</v>
      </c>
      <c r="O970" s="2">
        <v>46</v>
      </c>
      <c r="P970" s="2">
        <v>-3</v>
      </c>
      <c r="Q970" s="3">
        <v>-3.9E-2</v>
      </c>
      <c r="R970" s="2">
        <v>40</v>
      </c>
      <c r="S970" s="2">
        <v>10</v>
      </c>
      <c r="T970" s="2">
        <v>20</v>
      </c>
      <c r="U970" s="3">
        <v>0.5</v>
      </c>
      <c r="V970" s="2">
        <v>-23</v>
      </c>
    </row>
    <row r="971" spans="1:22" x14ac:dyDescent="0.25">
      <c r="A971" t="s">
        <v>1039</v>
      </c>
      <c r="B971" s="1">
        <v>45631</v>
      </c>
      <c r="C971">
        <v>972</v>
      </c>
      <c r="D971" t="s">
        <v>76</v>
      </c>
      <c r="E971" t="s">
        <v>45</v>
      </c>
      <c r="F971" t="s">
        <v>32</v>
      </c>
      <c r="G971" t="s">
        <v>33</v>
      </c>
      <c r="H971" t="s">
        <v>54</v>
      </c>
      <c r="I971" t="s">
        <v>68</v>
      </c>
      <c r="J971" t="s">
        <v>29</v>
      </c>
      <c r="K971">
        <v>959</v>
      </c>
      <c r="L971">
        <v>34</v>
      </c>
      <c r="M971" s="2">
        <v>302</v>
      </c>
      <c r="N971" s="2">
        <v>123</v>
      </c>
      <c r="O971" s="2">
        <v>46</v>
      </c>
      <c r="P971" s="2">
        <v>133</v>
      </c>
      <c r="Q971" s="3">
        <v>0.44040000000000001</v>
      </c>
      <c r="R971" s="2">
        <v>230</v>
      </c>
      <c r="S971" s="2">
        <v>90</v>
      </c>
      <c r="T971" s="2">
        <v>110</v>
      </c>
      <c r="U971" s="3">
        <v>0.4783</v>
      </c>
      <c r="V971" s="2">
        <v>23</v>
      </c>
    </row>
    <row r="972" spans="1:22" x14ac:dyDescent="0.25">
      <c r="A972" t="s">
        <v>1040</v>
      </c>
      <c r="B972" s="1">
        <v>45631</v>
      </c>
      <c r="C972">
        <v>815</v>
      </c>
      <c r="D972" t="s">
        <v>37</v>
      </c>
      <c r="E972" t="s">
        <v>24</v>
      </c>
      <c r="F972" t="s">
        <v>32</v>
      </c>
      <c r="G972" t="s">
        <v>33</v>
      </c>
      <c r="H972" t="s">
        <v>34</v>
      </c>
      <c r="I972" t="s">
        <v>83</v>
      </c>
      <c r="J972" t="s">
        <v>40</v>
      </c>
      <c r="K972">
        <v>789</v>
      </c>
      <c r="L972">
        <v>39</v>
      </c>
      <c r="M972" s="2">
        <v>298</v>
      </c>
      <c r="N972" s="2">
        <v>122</v>
      </c>
      <c r="O972" s="2">
        <v>61</v>
      </c>
      <c r="P972" s="2">
        <v>115</v>
      </c>
      <c r="Q972" s="3">
        <v>0.38590000000000002</v>
      </c>
      <c r="R972" s="2">
        <v>300</v>
      </c>
      <c r="S972" s="2">
        <v>110</v>
      </c>
      <c r="T972" s="2">
        <v>160</v>
      </c>
      <c r="U972" s="3">
        <v>0.5333</v>
      </c>
      <c r="V972" s="2">
        <v>-45</v>
      </c>
    </row>
    <row r="973" spans="1:22" x14ac:dyDescent="0.25">
      <c r="A973" t="s">
        <v>1041</v>
      </c>
      <c r="B973" s="1">
        <v>45631</v>
      </c>
      <c r="C973">
        <v>970</v>
      </c>
      <c r="D973" t="s">
        <v>31</v>
      </c>
      <c r="E973" t="s">
        <v>24</v>
      </c>
      <c r="F973" t="s">
        <v>32</v>
      </c>
      <c r="G973" t="s">
        <v>33</v>
      </c>
      <c r="H973" t="s">
        <v>54</v>
      </c>
      <c r="I973" t="s">
        <v>68</v>
      </c>
      <c r="J973" t="s">
        <v>29</v>
      </c>
      <c r="K973">
        <v>601</v>
      </c>
      <c r="L973">
        <v>15</v>
      </c>
      <c r="M973" s="2">
        <v>142</v>
      </c>
      <c r="N973" s="2">
        <v>54</v>
      </c>
      <c r="O973" s="2">
        <v>26</v>
      </c>
      <c r="P973" s="2">
        <v>79</v>
      </c>
      <c r="Q973" s="3">
        <v>0.55630000000000002</v>
      </c>
      <c r="R973" s="2">
        <v>170</v>
      </c>
      <c r="S973" s="2">
        <v>60</v>
      </c>
      <c r="T973" s="2">
        <v>90</v>
      </c>
      <c r="U973" s="3">
        <v>0.52939999999999998</v>
      </c>
      <c r="V973" s="2">
        <v>-11</v>
      </c>
    </row>
    <row r="974" spans="1:22" x14ac:dyDescent="0.25">
      <c r="A974" t="s">
        <v>1042</v>
      </c>
      <c r="B974" s="1">
        <v>45631</v>
      </c>
      <c r="C974">
        <v>661</v>
      </c>
      <c r="D974" t="s">
        <v>62</v>
      </c>
      <c r="E974" t="s">
        <v>53</v>
      </c>
      <c r="F974" t="s">
        <v>32</v>
      </c>
      <c r="G974" t="s">
        <v>26</v>
      </c>
      <c r="H974" t="s">
        <v>38</v>
      </c>
      <c r="I974" t="s">
        <v>39</v>
      </c>
      <c r="J974" t="s">
        <v>40</v>
      </c>
      <c r="K974">
        <v>971</v>
      </c>
      <c r="L974">
        <v>30</v>
      </c>
      <c r="M974" s="2">
        <v>265</v>
      </c>
      <c r="N974" s="2">
        <v>108</v>
      </c>
      <c r="O974" s="2">
        <v>42</v>
      </c>
      <c r="P974" s="2">
        <v>115</v>
      </c>
      <c r="Q974" s="3">
        <v>0.434</v>
      </c>
      <c r="R974" s="2">
        <v>210</v>
      </c>
      <c r="S974" s="2">
        <v>80</v>
      </c>
      <c r="T974" s="2">
        <v>120</v>
      </c>
      <c r="U974" s="3">
        <v>0.57140000000000002</v>
      </c>
      <c r="V974" s="2">
        <v>-5</v>
      </c>
    </row>
    <row r="975" spans="1:22" x14ac:dyDescent="0.25">
      <c r="A975" t="s">
        <v>1043</v>
      </c>
      <c r="B975" s="1">
        <v>45631</v>
      </c>
      <c r="C975">
        <v>702</v>
      </c>
      <c r="D975" t="s">
        <v>65</v>
      </c>
      <c r="E975" t="s">
        <v>53</v>
      </c>
      <c r="F975" t="s">
        <v>25</v>
      </c>
      <c r="G975" t="s">
        <v>33</v>
      </c>
      <c r="H975" t="s">
        <v>54</v>
      </c>
      <c r="I975" t="s">
        <v>68</v>
      </c>
      <c r="J975" t="s">
        <v>29</v>
      </c>
      <c r="K975">
        <v>846</v>
      </c>
      <c r="L975">
        <v>5</v>
      </c>
      <c r="M975" s="2">
        <v>52</v>
      </c>
      <c r="N975" s="2">
        <v>21</v>
      </c>
      <c r="O975" s="2">
        <v>17</v>
      </c>
      <c r="P975" s="2">
        <v>14</v>
      </c>
      <c r="Q975" s="3">
        <v>0.26919999999999999</v>
      </c>
      <c r="R975" s="2">
        <v>30</v>
      </c>
      <c r="S975" s="2">
        <v>10</v>
      </c>
      <c r="T975" s="2">
        <v>20</v>
      </c>
      <c r="U975" s="3">
        <v>0.66669999999999996</v>
      </c>
      <c r="V975" s="2">
        <v>-6</v>
      </c>
    </row>
    <row r="976" spans="1:22" x14ac:dyDescent="0.25">
      <c r="A976" t="s">
        <v>1044</v>
      </c>
      <c r="B976" s="1">
        <v>45632</v>
      </c>
      <c r="C976">
        <v>225</v>
      </c>
      <c r="D976" t="s">
        <v>49</v>
      </c>
      <c r="E976" t="s">
        <v>45</v>
      </c>
      <c r="F976" t="s">
        <v>25</v>
      </c>
      <c r="G976" t="s">
        <v>33</v>
      </c>
      <c r="H976" t="s">
        <v>54</v>
      </c>
      <c r="I976" t="s">
        <v>55</v>
      </c>
      <c r="J976" t="s">
        <v>40</v>
      </c>
      <c r="K976">
        <v>454</v>
      </c>
      <c r="L976">
        <v>15</v>
      </c>
      <c r="M976" s="2">
        <v>120</v>
      </c>
      <c r="N976" s="2">
        <v>49</v>
      </c>
      <c r="O976" s="2">
        <v>37</v>
      </c>
      <c r="P976" s="2">
        <v>34</v>
      </c>
      <c r="Q976" s="3">
        <v>0.2833</v>
      </c>
      <c r="R976" s="2">
        <v>90</v>
      </c>
      <c r="S976" s="2">
        <v>30</v>
      </c>
      <c r="T976" s="2">
        <v>30</v>
      </c>
      <c r="U976" s="3">
        <v>0.33329999999999999</v>
      </c>
      <c r="V976" s="2">
        <v>4</v>
      </c>
    </row>
    <row r="977" spans="1:22" x14ac:dyDescent="0.25">
      <c r="A977" t="s">
        <v>1045</v>
      </c>
      <c r="B977" s="1">
        <v>45632</v>
      </c>
      <c r="C977">
        <v>801</v>
      </c>
      <c r="D977" t="s">
        <v>95</v>
      </c>
      <c r="E977" t="s">
        <v>53</v>
      </c>
      <c r="F977" t="s">
        <v>25</v>
      </c>
      <c r="G977" t="s">
        <v>26</v>
      </c>
      <c r="H977" t="s">
        <v>27</v>
      </c>
      <c r="I977" t="s">
        <v>42</v>
      </c>
      <c r="J977" t="s">
        <v>29</v>
      </c>
      <c r="K977">
        <v>256</v>
      </c>
      <c r="L977">
        <v>12</v>
      </c>
      <c r="M977" s="2">
        <v>89</v>
      </c>
      <c r="N977" s="2">
        <v>38</v>
      </c>
      <c r="O977" s="2">
        <v>39</v>
      </c>
      <c r="P977" s="2">
        <v>12</v>
      </c>
      <c r="Q977" s="3">
        <v>0.1348</v>
      </c>
      <c r="R977" s="2">
        <v>60</v>
      </c>
      <c r="S977" s="2">
        <v>20</v>
      </c>
      <c r="T977" s="2">
        <v>10</v>
      </c>
      <c r="U977" s="3">
        <v>0.16669999999999999</v>
      </c>
      <c r="V977" s="2">
        <v>2</v>
      </c>
    </row>
    <row r="978" spans="1:22" x14ac:dyDescent="0.25">
      <c r="A978" t="s">
        <v>1046</v>
      </c>
      <c r="B978" s="1">
        <v>45632</v>
      </c>
      <c r="C978">
        <v>505</v>
      </c>
      <c r="D978" t="s">
        <v>44</v>
      </c>
      <c r="E978" t="s">
        <v>45</v>
      </c>
      <c r="F978" t="s">
        <v>25</v>
      </c>
      <c r="G978" t="s">
        <v>33</v>
      </c>
      <c r="H978" t="s">
        <v>54</v>
      </c>
      <c r="I978" t="s">
        <v>55</v>
      </c>
      <c r="J978" t="s">
        <v>40</v>
      </c>
      <c r="K978">
        <v>248</v>
      </c>
      <c r="L978">
        <v>11</v>
      </c>
      <c r="M978" s="2">
        <v>87</v>
      </c>
      <c r="N978" s="2">
        <v>35</v>
      </c>
      <c r="O978" s="2">
        <v>39</v>
      </c>
      <c r="P978" s="2">
        <v>12</v>
      </c>
      <c r="Q978" s="3">
        <v>0.13789999999999999</v>
      </c>
      <c r="R978" s="2">
        <v>60</v>
      </c>
      <c r="S978" s="2">
        <v>20</v>
      </c>
      <c r="T978" s="2">
        <v>20</v>
      </c>
      <c r="U978" s="3">
        <v>0.33329999999999999</v>
      </c>
      <c r="V978" s="2">
        <v>-8</v>
      </c>
    </row>
    <row r="979" spans="1:22" x14ac:dyDescent="0.25">
      <c r="A979" t="s">
        <v>1047</v>
      </c>
      <c r="B979" s="1">
        <v>45632</v>
      </c>
      <c r="C979">
        <v>775</v>
      </c>
      <c r="D979" t="s">
        <v>65</v>
      </c>
      <c r="E979" t="s">
        <v>53</v>
      </c>
      <c r="F979" t="s">
        <v>25</v>
      </c>
      <c r="G979" t="s">
        <v>26</v>
      </c>
      <c r="H979" t="s">
        <v>27</v>
      </c>
      <c r="I979" t="s">
        <v>42</v>
      </c>
      <c r="J979" t="s">
        <v>29</v>
      </c>
      <c r="K979">
        <v>1755</v>
      </c>
      <c r="L979">
        <v>66</v>
      </c>
      <c r="M979" s="2">
        <v>478</v>
      </c>
      <c r="N979" s="2">
        <v>239</v>
      </c>
      <c r="O979" s="2">
        <v>90</v>
      </c>
      <c r="P979" s="2">
        <v>149</v>
      </c>
      <c r="Q979" s="3">
        <v>0.31169999999999998</v>
      </c>
      <c r="R979" s="2">
        <v>230</v>
      </c>
      <c r="S979" s="2">
        <v>110</v>
      </c>
      <c r="T979" s="2">
        <v>80</v>
      </c>
      <c r="U979" s="3">
        <v>0.3478</v>
      </c>
      <c r="V979" s="2">
        <v>69</v>
      </c>
    </row>
    <row r="980" spans="1:22" x14ac:dyDescent="0.25">
      <c r="A980" t="s">
        <v>1048</v>
      </c>
      <c r="B980" s="1">
        <v>45632</v>
      </c>
      <c r="C980">
        <v>702</v>
      </c>
      <c r="D980" t="s">
        <v>65</v>
      </c>
      <c r="E980" t="s">
        <v>53</v>
      </c>
      <c r="F980" t="s">
        <v>25</v>
      </c>
      <c r="G980" t="s">
        <v>26</v>
      </c>
      <c r="H980" t="s">
        <v>27</v>
      </c>
      <c r="I980" t="s">
        <v>59</v>
      </c>
      <c r="J980" t="s">
        <v>29</v>
      </c>
      <c r="K980">
        <v>7058</v>
      </c>
      <c r="L980">
        <v>96</v>
      </c>
      <c r="M980" s="2">
        <v>21</v>
      </c>
      <c r="N980" s="2">
        <v>255</v>
      </c>
      <c r="O980" s="2">
        <v>129</v>
      </c>
      <c r="P980" s="2">
        <v>-363</v>
      </c>
      <c r="Q980" s="3">
        <v>-17.285699999999999</v>
      </c>
      <c r="R980" s="2">
        <v>0</v>
      </c>
      <c r="S980" s="2">
        <v>110</v>
      </c>
      <c r="T980" s="2">
        <v>-170</v>
      </c>
      <c r="U980" t="e">
        <v>#DIV/0!</v>
      </c>
      <c r="V980" s="2">
        <v>-193</v>
      </c>
    </row>
    <row r="981" spans="1:22" x14ac:dyDescent="0.25">
      <c r="A981" t="s">
        <v>1049</v>
      </c>
      <c r="B981" s="1">
        <v>45633</v>
      </c>
      <c r="C981">
        <v>318</v>
      </c>
      <c r="D981" t="s">
        <v>49</v>
      </c>
      <c r="E981" t="s">
        <v>45</v>
      </c>
      <c r="F981" t="s">
        <v>25</v>
      </c>
      <c r="G981" t="s">
        <v>33</v>
      </c>
      <c r="H981" t="s">
        <v>54</v>
      </c>
      <c r="I981" t="s">
        <v>55</v>
      </c>
      <c r="J981" t="s">
        <v>40</v>
      </c>
      <c r="K981">
        <v>449</v>
      </c>
      <c r="L981">
        <v>14</v>
      </c>
      <c r="M981" s="2">
        <v>113</v>
      </c>
      <c r="N981" s="2">
        <v>46</v>
      </c>
      <c r="O981" s="2">
        <v>37</v>
      </c>
      <c r="P981" s="2">
        <v>30</v>
      </c>
      <c r="Q981" s="3">
        <v>0.26550000000000001</v>
      </c>
      <c r="R981" s="2">
        <v>60</v>
      </c>
      <c r="S981" s="2">
        <v>20</v>
      </c>
      <c r="T981" s="2">
        <v>40</v>
      </c>
      <c r="U981" s="3">
        <v>0.66669999999999996</v>
      </c>
      <c r="V981" s="2">
        <v>-10</v>
      </c>
    </row>
    <row r="982" spans="1:22" x14ac:dyDescent="0.25">
      <c r="A982" t="s">
        <v>1050</v>
      </c>
      <c r="B982" s="1">
        <v>45633</v>
      </c>
      <c r="C982">
        <v>541</v>
      </c>
      <c r="D982" t="s">
        <v>71</v>
      </c>
      <c r="E982" t="s">
        <v>53</v>
      </c>
      <c r="F982" t="s">
        <v>25</v>
      </c>
      <c r="G982" t="s">
        <v>33</v>
      </c>
      <c r="H982" t="s">
        <v>34</v>
      </c>
      <c r="I982" t="s">
        <v>83</v>
      </c>
      <c r="J982" t="s">
        <v>40</v>
      </c>
      <c r="K982">
        <v>435</v>
      </c>
      <c r="L982">
        <v>13</v>
      </c>
      <c r="M982" s="2">
        <v>108</v>
      </c>
      <c r="N982" s="2">
        <v>41</v>
      </c>
      <c r="O982" s="2">
        <v>35</v>
      </c>
      <c r="P982" s="2">
        <v>37</v>
      </c>
      <c r="Q982" s="3">
        <v>0.34260000000000002</v>
      </c>
      <c r="R982" s="2">
        <v>120</v>
      </c>
      <c r="S982" s="2">
        <v>40</v>
      </c>
      <c r="T982" s="2">
        <v>50</v>
      </c>
      <c r="U982" s="3">
        <v>0.41670000000000001</v>
      </c>
      <c r="V982" s="2">
        <v>-13</v>
      </c>
    </row>
    <row r="983" spans="1:22" x14ac:dyDescent="0.25">
      <c r="A983" t="s">
        <v>1051</v>
      </c>
      <c r="B983" s="1">
        <v>45634</v>
      </c>
      <c r="C983">
        <v>641</v>
      </c>
      <c r="D983" t="s">
        <v>124</v>
      </c>
      <c r="E983" t="s">
        <v>24</v>
      </c>
      <c r="F983" t="s">
        <v>25</v>
      </c>
      <c r="G983" t="s">
        <v>33</v>
      </c>
      <c r="H983" t="s">
        <v>54</v>
      </c>
      <c r="I983" t="s">
        <v>68</v>
      </c>
      <c r="J983" t="s">
        <v>29</v>
      </c>
      <c r="K983">
        <v>800</v>
      </c>
      <c r="L983">
        <v>6</v>
      </c>
      <c r="M983" s="2">
        <v>62</v>
      </c>
      <c r="N983" s="2">
        <v>23</v>
      </c>
      <c r="O983" s="2">
        <v>17</v>
      </c>
      <c r="P983" s="2">
        <v>27</v>
      </c>
      <c r="Q983" s="3">
        <v>0.4355</v>
      </c>
      <c r="R983" s="2">
        <v>70</v>
      </c>
      <c r="S983" s="2">
        <v>20</v>
      </c>
      <c r="T983" s="2">
        <v>50</v>
      </c>
      <c r="U983" s="3">
        <v>0.71430000000000005</v>
      </c>
      <c r="V983" s="2">
        <v>-23</v>
      </c>
    </row>
    <row r="984" spans="1:22" x14ac:dyDescent="0.25">
      <c r="A984" t="s">
        <v>1052</v>
      </c>
      <c r="B984" s="1">
        <v>45634</v>
      </c>
      <c r="C984">
        <v>716</v>
      </c>
      <c r="D984" t="s">
        <v>99</v>
      </c>
      <c r="E984" t="s">
        <v>79</v>
      </c>
      <c r="F984" t="s">
        <v>32</v>
      </c>
      <c r="G984" t="s">
        <v>26</v>
      </c>
      <c r="H984" t="s">
        <v>27</v>
      </c>
      <c r="I984" t="s">
        <v>28</v>
      </c>
      <c r="J984" t="s">
        <v>29</v>
      </c>
      <c r="K984">
        <v>1003</v>
      </c>
      <c r="L984">
        <v>24</v>
      </c>
      <c r="M984" s="2">
        <v>210</v>
      </c>
      <c r="N984" s="2">
        <v>86</v>
      </c>
      <c r="O984" s="2">
        <v>35</v>
      </c>
      <c r="P984" s="2">
        <v>89</v>
      </c>
      <c r="Q984" s="3">
        <v>0.42380000000000001</v>
      </c>
      <c r="R984" s="2">
        <v>210</v>
      </c>
      <c r="S984" s="2">
        <v>90</v>
      </c>
      <c r="T984" s="2">
        <v>90</v>
      </c>
      <c r="U984" s="3">
        <v>0.42859999999999998</v>
      </c>
      <c r="V984" s="2">
        <v>-1</v>
      </c>
    </row>
    <row r="985" spans="1:22" x14ac:dyDescent="0.25">
      <c r="A985" t="s">
        <v>1053</v>
      </c>
      <c r="B985" s="1">
        <v>45634</v>
      </c>
      <c r="C985">
        <v>920</v>
      </c>
      <c r="D985" t="s">
        <v>23</v>
      </c>
      <c r="E985" t="s">
        <v>24</v>
      </c>
      <c r="F985" t="s">
        <v>25</v>
      </c>
      <c r="G985" t="s">
        <v>33</v>
      </c>
      <c r="H985" t="s">
        <v>54</v>
      </c>
      <c r="I985" t="s">
        <v>68</v>
      </c>
      <c r="J985" t="s">
        <v>29</v>
      </c>
      <c r="K985">
        <v>1063</v>
      </c>
      <c r="L985">
        <v>23</v>
      </c>
      <c r="M985" s="2">
        <v>164</v>
      </c>
      <c r="N985" s="2">
        <v>75</v>
      </c>
      <c r="O985" s="2">
        <v>44</v>
      </c>
      <c r="P985" s="2">
        <v>45</v>
      </c>
      <c r="Q985" s="3">
        <v>0.27439999999999998</v>
      </c>
      <c r="R985" s="2">
        <v>200</v>
      </c>
      <c r="S985" s="2">
        <v>90</v>
      </c>
      <c r="T985" s="2">
        <v>70</v>
      </c>
      <c r="U985" s="3">
        <v>0.35</v>
      </c>
      <c r="V985" s="2">
        <v>-25</v>
      </c>
    </row>
    <row r="986" spans="1:22" x14ac:dyDescent="0.25">
      <c r="A986" t="s">
        <v>1054</v>
      </c>
      <c r="B986" s="1">
        <v>45635</v>
      </c>
      <c r="C986">
        <v>959</v>
      </c>
      <c r="D986" t="s">
        <v>135</v>
      </c>
      <c r="E986" t="s">
        <v>79</v>
      </c>
      <c r="F986" t="s">
        <v>25</v>
      </c>
      <c r="G986" t="s">
        <v>26</v>
      </c>
      <c r="H986" t="s">
        <v>27</v>
      </c>
      <c r="I986" t="s">
        <v>59</v>
      </c>
      <c r="J986" t="s">
        <v>29</v>
      </c>
      <c r="K986">
        <v>806</v>
      </c>
      <c r="L986">
        <v>6</v>
      </c>
      <c r="M986" s="2">
        <v>60</v>
      </c>
      <c r="N986" s="2">
        <v>24</v>
      </c>
      <c r="O986" s="2">
        <v>18</v>
      </c>
      <c r="P986" s="2">
        <v>18</v>
      </c>
      <c r="Q986" s="3">
        <v>0.3</v>
      </c>
      <c r="R986" s="2">
        <v>60</v>
      </c>
      <c r="S986" s="2">
        <v>20</v>
      </c>
      <c r="T986" s="2">
        <v>40</v>
      </c>
      <c r="U986" s="3">
        <v>0.66669999999999996</v>
      </c>
      <c r="V986" s="2">
        <v>-22</v>
      </c>
    </row>
    <row r="987" spans="1:22" x14ac:dyDescent="0.25">
      <c r="A987" t="s">
        <v>1055</v>
      </c>
      <c r="B987" s="1">
        <v>45635</v>
      </c>
      <c r="C987">
        <v>435</v>
      </c>
      <c r="D987" t="s">
        <v>95</v>
      </c>
      <c r="E987" t="s">
        <v>53</v>
      </c>
      <c r="F987" t="s">
        <v>25</v>
      </c>
      <c r="G987" t="s">
        <v>33</v>
      </c>
      <c r="H987" t="s">
        <v>54</v>
      </c>
      <c r="I987" t="s">
        <v>68</v>
      </c>
      <c r="J987" t="s">
        <v>29</v>
      </c>
      <c r="K987">
        <v>540</v>
      </c>
      <c r="L987">
        <v>31</v>
      </c>
      <c r="M987" s="2">
        <v>214</v>
      </c>
      <c r="N987" s="2">
        <v>94</v>
      </c>
      <c r="O987" s="2">
        <v>43</v>
      </c>
      <c r="P987" s="2">
        <v>77</v>
      </c>
      <c r="Q987" s="3">
        <v>0.35980000000000001</v>
      </c>
      <c r="R987" s="2">
        <v>200</v>
      </c>
      <c r="S987" s="2">
        <v>90</v>
      </c>
      <c r="T987" s="2">
        <v>70</v>
      </c>
      <c r="U987" s="3">
        <v>0.35</v>
      </c>
      <c r="V987" s="2">
        <v>7</v>
      </c>
    </row>
    <row r="988" spans="1:22" x14ac:dyDescent="0.25">
      <c r="A988" t="s">
        <v>1056</v>
      </c>
      <c r="B988" s="1">
        <v>45636</v>
      </c>
      <c r="C988">
        <v>475</v>
      </c>
      <c r="D988" t="s">
        <v>135</v>
      </c>
      <c r="E988" t="s">
        <v>79</v>
      </c>
      <c r="F988" t="s">
        <v>25</v>
      </c>
      <c r="G988" t="s">
        <v>26</v>
      </c>
      <c r="H988" t="s">
        <v>38</v>
      </c>
      <c r="I988" t="s">
        <v>66</v>
      </c>
      <c r="J988" t="s">
        <v>40</v>
      </c>
      <c r="K988">
        <v>1060</v>
      </c>
      <c r="L988">
        <v>21</v>
      </c>
      <c r="M988" s="2">
        <v>150</v>
      </c>
      <c r="N988" s="2">
        <v>69</v>
      </c>
      <c r="O988" s="2">
        <v>43</v>
      </c>
      <c r="P988" s="2">
        <v>38</v>
      </c>
      <c r="Q988" s="3">
        <v>0.25330000000000003</v>
      </c>
      <c r="R988" s="2">
        <v>100</v>
      </c>
      <c r="S988" s="2">
        <v>50</v>
      </c>
      <c r="T988" s="2">
        <v>30</v>
      </c>
      <c r="U988" s="3">
        <v>0.3</v>
      </c>
      <c r="V988" s="2">
        <v>8</v>
      </c>
    </row>
    <row r="989" spans="1:22" x14ac:dyDescent="0.25">
      <c r="A989" t="s">
        <v>1057</v>
      </c>
      <c r="B989" s="1">
        <v>45636</v>
      </c>
      <c r="C989">
        <v>563</v>
      </c>
      <c r="D989" t="s">
        <v>124</v>
      </c>
      <c r="E989" t="s">
        <v>24</v>
      </c>
      <c r="F989" t="s">
        <v>25</v>
      </c>
      <c r="G989" t="s">
        <v>33</v>
      </c>
      <c r="H989" t="s">
        <v>54</v>
      </c>
      <c r="I989" t="s">
        <v>55</v>
      </c>
      <c r="J989" t="s">
        <v>40</v>
      </c>
      <c r="K989">
        <v>344</v>
      </c>
      <c r="L989">
        <v>0</v>
      </c>
      <c r="M989" s="2">
        <v>46</v>
      </c>
      <c r="N989" s="2">
        <v>0</v>
      </c>
      <c r="O989" s="2">
        <v>11</v>
      </c>
      <c r="P989" s="2">
        <v>47</v>
      </c>
      <c r="Q989" s="3">
        <v>1.0217000000000001</v>
      </c>
      <c r="R989" s="2">
        <v>50</v>
      </c>
      <c r="S989" s="2">
        <v>0</v>
      </c>
      <c r="T989" s="2">
        <v>40</v>
      </c>
      <c r="U989" s="3">
        <v>0.8</v>
      </c>
      <c r="V989" s="2">
        <v>7</v>
      </c>
    </row>
    <row r="990" spans="1:22" x14ac:dyDescent="0.25">
      <c r="A990" t="s">
        <v>1058</v>
      </c>
      <c r="B990" s="1">
        <v>45636</v>
      </c>
      <c r="C990">
        <v>920</v>
      </c>
      <c r="D990" t="s">
        <v>23</v>
      </c>
      <c r="E990" t="s">
        <v>24</v>
      </c>
      <c r="F990" t="s">
        <v>25</v>
      </c>
      <c r="G990" t="s">
        <v>33</v>
      </c>
      <c r="H990" t="s">
        <v>34</v>
      </c>
      <c r="I990" t="s">
        <v>83</v>
      </c>
      <c r="J990" t="s">
        <v>40</v>
      </c>
      <c r="K990">
        <v>557</v>
      </c>
      <c r="L990">
        <v>25</v>
      </c>
      <c r="M990" s="2">
        <v>192</v>
      </c>
      <c r="N990" s="2">
        <v>77</v>
      </c>
      <c r="O990" s="2">
        <v>52</v>
      </c>
      <c r="P990" s="2">
        <v>76</v>
      </c>
      <c r="Q990" s="3">
        <v>0.39579999999999999</v>
      </c>
      <c r="R990" s="2">
        <v>170</v>
      </c>
      <c r="S990" s="2">
        <v>70</v>
      </c>
      <c r="T990" s="2">
        <v>60</v>
      </c>
      <c r="U990" s="3">
        <v>0.35289999999999999</v>
      </c>
      <c r="V990" s="2">
        <v>16</v>
      </c>
    </row>
    <row r="991" spans="1:22" x14ac:dyDescent="0.25">
      <c r="A991" t="s">
        <v>1059</v>
      </c>
      <c r="B991" s="1">
        <v>45637</v>
      </c>
      <c r="C991">
        <v>475</v>
      </c>
      <c r="D991" t="s">
        <v>135</v>
      </c>
      <c r="E991" t="s">
        <v>79</v>
      </c>
      <c r="F991" t="s">
        <v>25</v>
      </c>
      <c r="G991" t="s">
        <v>26</v>
      </c>
      <c r="H991" t="s">
        <v>38</v>
      </c>
      <c r="I991" t="s">
        <v>46</v>
      </c>
      <c r="J991" t="s">
        <v>40</v>
      </c>
      <c r="K991">
        <v>619</v>
      </c>
      <c r="L991">
        <v>25</v>
      </c>
      <c r="M991" s="2">
        <v>153</v>
      </c>
      <c r="N991" s="2">
        <v>68</v>
      </c>
      <c r="O991" s="2">
        <v>58</v>
      </c>
      <c r="P991" s="2">
        <v>27</v>
      </c>
      <c r="Q991" s="3">
        <v>0.17649999999999999</v>
      </c>
      <c r="R991" s="2">
        <v>110</v>
      </c>
      <c r="S991" s="2">
        <v>50</v>
      </c>
      <c r="T991" s="2">
        <v>20</v>
      </c>
      <c r="U991" s="3">
        <v>0.18179999999999999</v>
      </c>
      <c r="V991" s="2">
        <v>7</v>
      </c>
    </row>
    <row r="992" spans="1:22" x14ac:dyDescent="0.25">
      <c r="A992" t="s">
        <v>1060</v>
      </c>
      <c r="B992" s="1">
        <v>45637</v>
      </c>
      <c r="C992">
        <v>614</v>
      </c>
      <c r="D992" t="s">
        <v>85</v>
      </c>
      <c r="E992" t="s">
        <v>24</v>
      </c>
      <c r="F992" t="s">
        <v>32</v>
      </c>
      <c r="G992" t="s">
        <v>26</v>
      </c>
      <c r="H992" t="s">
        <v>38</v>
      </c>
      <c r="I992" t="s">
        <v>46</v>
      </c>
      <c r="J992" t="s">
        <v>40</v>
      </c>
      <c r="K992">
        <v>862</v>
      </c>
      <c r="L992">
        <v>10</v>
      </c>
      <c r="M992" s="2">
        <v>88</v>
      </c>
      <c r="N992" s="2">
        <v>36</v>
      </c>
      <c r="O992" s="2">
        <v>22</v>
      </c>
      <c r="P992" s="2">
        <v>30</v>
      </c>
      <c r="Q992" s="3">
        <v>0.34089999999999998</v>
      </c>
      <c r="R992" s="2">
        <v>80</v>
      </c>
      <c r="S992" s="2">
        <v>30</v>
      </c>
      <c r="T992" s="2">
        <v>40</v>
      </c>
      <c r="U992" s="3">
        <v>0.5</v>
      </c>
      <c r="V992" s="2">
        <v>-10</v>
      </c>
    </row>
    <row r="993" spans="1:22" x14ac:dyDescent="0.25">
      <c r="A993" t="s">
        <v>1061</v>
      </c>
      <c r="B993" s="1">
        <v>45637</v>
      </c>
      <c r="C993">
        <v>915</v>
      </c>
      <c r="D993" t="s">
        <v>76</v>
      </c>
      <c r="E993" t="s">
        <v>45</v>
      </c>
      <c r="F993" t="s">
        <v>32</v>
      </c>
      <c r="G993" t="s">
        <v>33</v>
      </c>
      <c r="H993" t="s">
        <v>54</v>
      </c>
      <c r="I993" t="s">
        <v>55</v>
      </c>
      <c r="J993" t="s">
        <v>40</v>
      </c>
      <c r="K993">
        <v>580</v>
      </c>
      <c r="L993">
        <v>21</v>
      </c>
      <c r="M993" s="2">
        <v>187</v>
      </c>
      <c r="N993" s="2">
        <v>76</v>
      </c>
      <c r="O993" s="2">
        <v>33</v>
      </c>
      <c r="P993" s="2">
        <v>78</v>
      </c>
      <c r="Q993" s="3">
        <v>0.41710000000000003</v>
      </c>
      <c r="R993" s="2">
        <v>120</v>
      </c>
      <c r="S993" s="2">
        <v>40</v>
      </c>
      <c r="T993" s="2">
        <v>80</v>
      </c>
      <c r="U993" s="3">
        <v>0.66669999999999996</v>
      </c>
      <c r="V993" s="2">
        <v>-2</v>
      </c>
    </row>
    <row r="994" spans="1:22" x14ac:dyDescent="0.25">
      <c r="A994" t="s">
        <v>1062</v>
      </c>
      <c r="B994" s="1">
        <v>45637</v>
      </c>
      <c r="C994">
        <v>318</v>
      </c>
      <c r="D994" t="s">
        <v>49</v>
      </c>
      <c r="E994" t="s">
        <v>45</v>
      </c>
      <c r="F994" t="s">
        <v>25</v>
      </c>
      <c r="G994" t="s">
        <v>26</v>
      </c>
      <c r="H994" t="s">
        <v>38</v>
      </c>
      <c r="I994" t="s">
        <v>46</v>
      </c>
      <c r="J994" t="s">
        <v>40</v>
      </c>
      <c r="K994">
        <v>619</v>
      </c>
      <c r="L994">
        <v>25</v>
      </c>
      <c r="M994" s="2">
        <v>163</v>
      </c>
      <c r="N994" s="2">
        <v>68</v>
      </c>
      <c r="O994" s="2">
        <v>59</v>
      </c>
      <c r="P994" s="2">
        <v>39</v>
      </c>
      <c r="Q994" s="3">
        <v>0.23930000000000001</v>
      </c>
      <c r="R994" s="2">
        <v>140</v>
      </c>
      <c r="S994" s="2">
        <v>60</v>
      </c>
      <c r="T994" s="2">
        <v>30</v>
      </c>
      <c r="U994" s="3">
        <v>0.21429999999999999</v>
      </c>
      <c r="V994" s="2">
        <v>9</v>
      </c>
    </row>
    <row r="995" spans="1:22" x14ac:dyDescent="0.25">
      <c r="A995" t="s">
        <v>1063</v>
      </c>
      <c r="B995" s="1">
        <v>45637</v>
      </c>
      <c r="C995">
        <v>815</v>
      </c>
      <c r="D995" t="s">
        <v>37</v>
      </c>
      <c r="E995" t="s">
        <v>24</v>
      </c>
      <c r="F995" t="s">
        <v>32</v>
      </c>
      <c r="G995" t="s">
        <v>26</v>
      </c>
      <c r="H995" t="s">
        <v>38</v>
      </c>
      <c r="I995" t="s">
        <v>66</v>
      </c>
      <c r="J995" t="s">
        <v>40</v>
      </c>
      <c r="K995">
        <v>971</v>
      </c>
      <c r="L995">
        <v>30</v>
      </c>
      <c r="M995" s="2">
        <v>265</v>
      </c>
      <c r="N995" s="2">
        <v>108</v>
      </c>
      <c r="O995" s="2">
        <v>41</v>
      </c>
      <c r="P995" s="2">
        <v>116</v>
      </c>
      <c r="Q995" s="3">
        <v>0.43769999999999998</v>
      </c>
      <c r="R995" s="2">
        <v>210</v>
      </c>
      <c r="S995" s="2">
        <v>80</v>
      </c>
      <c r="T995" s="2">
        <v>120</v>
      </c>
      <c r="U995" s="3">
        <v>0.57140000000000002</v>
      </c>
      <c r="V995" s="2">
        <v>-4</v>
      </c>
    </row>
    <row r="996" spans="1:22" x14ac:dyDescent="0.25">
      <c r="A996" t="s">
        <v>1064</v>
      </c>
      <c r="B996" s="1">
        <v>45637</v>
      </c>
      <c r="C996">
        <v>719</v>
      </c>
      <c r="D996" t="s">
        <v>31</v>
      </c>
      <c r="E996" t="s">
        <v>24</v>
      </c>
      <c r="F996" t="s">
        <v>32</v>
      </c>
      <c r="G996" t="s">
        <v>26</v>
      </c>
      <c r="H996" t="s">
        <v>27</v>
      </c>
      <c r="I996" t="s">
        <v>59</v>
      </c>
      <c r="J996" t="s">
        <v>29</v>
      </c>
      <c r="K996">
        <v>551</v>
      </c>
      <c r="L996">
        <v>26</v>
      </c>
      <c r="M996" s="2">
        <v>185</v>
      </c>
      <c r="N996" s="2">
        <v>81</v>
      </c>
      <c r="O996" s="2">
        <v>38</v>
      </c>
      <c r="P996" s="2">
        <v>66</v>
      </c>
      <c r="Q996" s="3">
        <v>0.35680000000000001</v>
      </c>
      <c r="R996" s="2">
        <v>150</v>
      </c>
      <c r="S996" s="2">
        <v>60</v>
      </c>
      <c r="T996" s="2">
        <v>60</v>
      </c>
      <c r="U996" s="3">
        <v>0.4</v>
      </c>
      <c r="V996" s="2">
        <v>6</v>
      </c>
    </row>
    <row r="997" spans="1:22" x14ac:dyDescent="0.25">
      <c r="A997" t="s">
        <v>1065</v>
      </c>
      <c r="B997" s="1">
        <v>45637</v>
      </c>
      <c r="C997">
        <v>970</v>
      </c>
      <c r="D997" t="s">
        <v>31</v>
      </c>
      <c r="E997" t="s">
        <v>24</v>
      </c>
      <c r="F997" t="s">
        <v>32</v>
      </c>
      <c r="G997" t="s">
        <v>33</v>
      </c>
      <c r="H997" t="s">
        <v>54</v>
      </c>
      <c r="I997" t="s">
        <v>55</v>
      </c>
      <c r="J997" t="s">
        <v>40</v>
      </c>
      <c r="K997">
        <v>650</v>
      </c>
      <c r="L997">
        <v>23</v>
      </c>
      <c r="M997" s="2">
        <v>194</v>
      </c>
      <c r="N997" s="2">
        <v>72</v>
      </c>
      <c r="O997" s="2">
        <v>54</v>
      </c>
      <c r="P997" s="2">
        <v>83</v>
      </c>
      <c r="Q997" s="3">
        <v>0.42780000000000001</v>
      </c>
      <c r="R997" s="2">
        <v>260</v>
      </c>
      <c r="S997" s="2">
        <v>100</v>
      </c>
      <c r="T997" s="2">
        <v>130</v>
      </c>
      <c r="U997" s="3">
        <v>0.5</v>
      </c>
      <c r="V997" s="2">
        <v>-47</v>
      </c>
    </row>
    <row r="998" spans="1:22" x14ac:dyDescent="0.25">
      <c r="A998" t="s">
        <v>1066</v>
      </c>
      <c r="B998" s="1">
        <v>45638</v>
      </c>
      <c r="C998">
        <v>303</v>
      </c>
      <c r="D998" t="s">
        <v>31</v>
      </c>
      <c r="E998" t="s">
        <v>24</v>
      </c>
      <c r="F998" t="s">
        <v>32</v>
      </c>
      <c r="G998" t="s">
        <v>26</v>
      </c>
      <c r="H998" t="s">
        <v>27</v>
      </c>
      <c r="I998" t="s">
        <v>28</v>
      </c>
      <c r="J998" t="s">
        <v>29</v>
      </c>
      <c r="K998">
        <v>422</v>
      </c>
      <c r="L998">
        <v>17</v>
      </c>
      <c r="M998" s="2">
        <v>110</v>
      </c>
      <c r="N998" s="2">
        <v>46</v>
      </c>
      <c r="O998" s="2">
        <v>51</v>
      </c>
      <c r="P998" s="2">
        <v>9</v>
      </c>
      <c r="Q998" s="3">
        <v>8.1799999999999998E-2</v>
      </c>
      <c r="R998" s="2">
        <v>80</v>
      </c>
      <c r="S998" s="2">
        <v>30</v>
      </c>
      <c r="T998" s="2">
        <v>10</v>
      </c>
      <c r="U998" s="3">
        <v>0.125</v>
      </c>
      <c r="V998" s="2">
        <v>-1</v>
      </c>
    </row>
    <row r="999" spans="1:22" x14ac:dyDescent="0.25">
      <c r="A999" t="s">
        <v>1067</v>
      </c>
      <c r="B999" s="1">
        <v>45638</v>
      </c>
      <c r="C999">
        <v>314</v>
      </c>
      <c r="D999" t="s">
        <v>58</v>
      </c>
      <c r="E999" t="s">
        <v>24</v>
      </c>
      <c r="F999" t="s">
        <v>25</v>
      </c>
      <c r="G999" t="s">
        <v>26</v>
      </c>
      <c r="H999" t="s">
        <v>38</v>
      </c>
      <c r="I999" t="s">
        <v>46</v>
      </c>
      <c r="J999" t="s">
        <v>40</v>
      </c>
      <c r="K999">
        <v>1804</v>
      </c>
      <c r="L999">
        <v>25</v>
      </c>
      <c r="M999" s="2">
        <v>130</v>
      </c>
      <c r="N999" s="2">
        <v>82</v>
      </c>
      <c r="O999" s="2">
        <v>49</v>
      </c>
      <c r="P999" s="2">
        <v>-13</v>
      </c>
      <c r="Q999" s="3">
        <v>-0.1</v>
      </c>
      <c r="R999" s="2">
        <v>110</v>
      </c>
      <c r="S999" s="2">
        <v>70</v>
      </c>
      <c r="T999" s="2">
        <v>0</v>
      </c>
      <c r="U999" s="3">
        <v>0</v>
      </c>
      <c r="V999" s="2">
        <v>-13</v>
      </c>
    </row>
    <row r="1000" spans="1:22" x14ac:dyDescent="0.25">
      <c r="A1000" t="s">
        <v>1068</v>
      </c>
      <c r="B1000" s="1">
        <v>45638</v>
      </c>
      <c r="C1000">
        <v>603</v>
      </c>
      <c r="D1000" t="s">
        <v>109</v>
      </c>
      <c r="E1000" t="s">
        <v>79</v>
      </c>
      <c r="F1000" t="s">
        <v>25</v>
      </c>
      <c r="G1000" t="s">
        <v>26</v>
      </c>
      <c r="H1000" t="s">
        <v>27</v>
      </c>
      <c r="I1000" t="s">
        <v>28</v>
      </c>
      <c r="J1000" t="s">
        <v>29</v>
      </c>
      <c r="K1000">
        <v>848</v>
      </c>
      <c r="L1000">
        <v>4</v>
      </c>
      <c r="M1000" s="2">
        <v>42</v>
      </c>
      <c r="N1000" s="2">
        <v>15</v>
      </c>
      <c r="O1000" s="2">
        <v>16</v>
      </c>
      <c r="P1000" s="2">
        <v>12</v>
      </c>
      <c r="Q1000" s="3">
        <v>0.28570000000000001</v>
      </c>
      <c r="R1000" s="2">
        <v>40</v>
      </c>
      <c r="S1000" s="2">
        <v>10</v>
      </c>
      <c r="T1000" s="2">
        <v>20</v>
      </c>
      <c r="U1000" s="3">
        <v>0.5</v>
      </c>
      <c r="V1000" s="2">
        <v>-8</v>
      </c>
    </row>
    <row r="1001" spans="1:22" x14ac:dyDescent="0.25">
      <c r="A1001" t="s">
        <v>1069</v>
      </c>
      <c r="B1001" s="1">
        <v>45638</v>
      </c>
      <c r="C1001">
        <v>305</v>
      </c>
      <c r="D1001" t="s">
        <v>117</v>
      </c>
      <c r="E1001" t="s">
        <v>79</v>
      </c>
      <c r="F1001" t="s">
        <v>32</v>
      </c>
      <c r="G1001" t="s">
        <v>33</v>
      </c>
      <c r="H1001" t="s">
        <v>54</v>
      </c>
      <c r="I1001" t="s">
        <v>68</v>
      </c>
      <c r="J1001" t="s">
        <v>29</v>
      </c>
      <c r="K1001">
        <v>716</v>
      </c>
      <c r="L1001">
        <v>95</v>
      </c>
      <c r="M1001" s="2">
        <v>250</v>
      </c>
      <c r="N1001" s="2">
        <v>105</v>
      </c>
      <c r="O1001" s="2">
        <v>124</v>
      </c>
      <c r="P1001" s="2">
        <v>21</v>
      </c>
      <c r="Q1001" s="3">
        <v>8.4000000000000005E-2</v>
      </c>
      <c r="R1001" s="2">
        <v>240</v>
      </c>
      <c r="S1001" s="2">
        <v>100</v>
      </c>
      <c r="T1001" s="2">
        <v>30</v>
      </c>
      <c r="U1001" s="3">
        <v>0.125</v>
      </c>
      <c r="V1001" s="2">
        <v>-9</v>
      </c>
    </row>
    <row r="1002" spans="1:22" x14ac:dyDescent="0.25">
      <c r="A1002" t="s">
        <v>1070</v>
      </c>
      <c r="B1002" s="1">
        <v>45638</v>
      </c>
      <c r="C1002">
        <v>206</v>
      </c>
      <c r="D1002" t="s">
        <v>52</v>
      </c>
      <c r="E1002" t="s">
        <v>53</v>
      </c>
      <c r="F1002" t="s">
        <v>25</v>
      </c>
      <c r="G1002" t="s">
        <v>26</v>
      </c>
      <c r="H1002" t="s">
        <v>38</v>
      </c>
      <c r="I1002" t="s">
        <v>39</v>
      </c>
      <c r="J1002" t="s">
        <v>40</v>
      </c>
      <c r="K1002">
        <v>1134</v>
      </c>
      <c r="L1002">
        <v>42</v>
      </c>
      <c r="M1002" s="2">
        <v>325</v>
      </c>
      <c r="N1002" s="2">
        <v>130</v>
      </c>
      <c r="O1002" s="2">
        <v>73</v>
      </c>
      <c r="P1002" s="2">
        <v>122</v>
      </c>
      <c r="Q1002" s="3">
        <v>0.37540000000000001</v>
      </c>
      <c r="R1002" s="2">
        <v>300</v>
      </c>
      <c r="S1002" s="2">
        <v>120</v>
      </c>
      <c r="T1002" s="2">
        <v>120</v>
      </c>
      <c r="U1002" s="3">
        <v>0.4</v>
      </c>
      <c r="V1002" s="2">
        <v>2</v>
      </c>
    </row>
    <row r="1003" spans="1:22" x14ac:dyDescent="0.25">
      <c r="A1003" t="s">
        <v>1071</v>
      </c>
      <c r="B1003" s="1">
        <v>45639</v>
      </c>
      <c r="C1003">
        <v>435</v>
      </c>
      <c r="D1003" t="s">
        <v>95</v>
      </c>
      <c r="E1003" t="s">
        <v>53</v>
      </c>
      <c r="F1003" t="s">
        <v>25</v>
      </c>
      <c r="G1003" t="s">
        <v>26</v>
      </c>
      <c r="H1003" t="s">
        <v>38</v>
      </c>
      <c r="I1003" t="s">
        <v>46</v>
      </c>
      <c r="J1003" t="s">
        <v>40</v>
      </c>
      <c r="K1003">
        <v>452</v>
      </c>
      <c r="L1003">
        <v>14</v>
      </c>
      <c r="M1003" s="2">
        <v>116</v>
      </c>
      <c r="N1003" s="2">
        <v>43</v>
      </c>
      <c r="O1003" s="2">
        <v>46</v>
      </c>
      <c r="P1003" s="2">
        <v>30</v>
      </c>
      <c r="Q1003" s="3">
        <v>0.2586</v>
      </c>
      <c r="R1003" s="2">
        <v>100</v>
      </c>
      <c r="S1003" s="2">
        <v>40</v>
      </c>
      <c r="T1003" s="2">
        <v>30</v>
      </c>
      <c r="U1003" s="3">
        <v>0.3</v>
      </c>
      <c r="V1003" s="2">
        <v>0</v>
      </c>
    </row>
    <row r="1004" spans="1:22" x14ac:dyDescent="0.25">
      <c r="A1004" t="s">
        <v>1072</v>
      </c>
      <c r="B1004" s="1">
        <v>45639</v>
      </c>
      <c r="C1004">
        <v>636</v>
      </c>
      <c r="D1004" t="s">
        <v>58</v>
      </c>
      <c r="E1004" t="s">
        <v>24</v>
      </c>
      <c r="F1004" t="s">
        <v>25</v>
      </c>
      <c r="G1004" t="s">
        <v>26</v>
      </c>
      <c r="H1004" t="s">
        <v>27</v>
      </c>
      <c r="I1004" t="s">
        <v>59</v>
      </c>
      <c r="J1004" t="s">
        <v>29</v>
      </c>
      <c r="K1004">
        <v>250</v>
      </c>
      <c r="L1004">
        <v>14</v>
      </c>
      <c r="M1004" s="2">
        <v>88</v>
      </c>
      <c r="N1004" s="2">
        <v>39</v>
      </c>
      <c r="O1004" s="2">
        <v>47</v>
      </c>
      <c r="P1004" s="2">
        <v>2</v>
      </c>
      <c r="Q1004" s="3">
        <v>2.2700000000000001E-2</v>
      </c>
      <c r="R1004" s="2">
        <v>70</v>
      </c>
      <c r="S1004" s="2">
        <v>30</v>
      </c>
      <c r="T1004" s="2">
        <v>0</v>
      </c>
      <c r="U1004" s="3">
        <v>0</v>
      </c>
      <c r="V1004" s="2">
        <v>2</v>
      </c>
    </row>
    <row r="1005" spans="1:22" x14ac:dyDescent="0.25">
      <c r="A1005" t="s">
        <v>1073</v>
      </c>
      <c r="B1005" s="1">
        <v>45639</v>
      </c>
      <c r="C1005">
        <v>440</v>
      </c>
      <c r="D1005" t="s">
        <v>85</v>
      </c>
      <c r="E1005" t="s">
        <v>24</v>
      </c>
      <c r="F1005" t="s">
        <v>32</v>
      </c>
      <c r="G1005" t="s">
        <v>26</v>
      </c>
      <c r="H1005" t="s">
        <v>38</v>
      </c>
      <c r="I1005" t="s">
        <v>39</v>
      </c>
      <c r="J1005" t="s">
        <v>40</v>
      </c>
      <c r="K1005">
        <v>482</v>
      </c>
      <c r="L1005">
        <v>8</v>
      </c>
      <c r="M1005" s="2">
        <v>85</v>
      </c>
      <c r="N1005" s="2">
        <v>32</v>
      </c>
      <c r="O1005" s="2">
        <v>19</v>
      </c>
      <c r="P1005" s="2">
        <v>43</v>
      </c>
      <c r="Q1005" s="3">
        <v>0.50590000000000002</v>
      </c>
      <c r="R1005" s="2">
        <v>70</v>
      </c>
      <c r="S1005" s="2">
        <v>30</v>
      </c>
      <c r="T1005" s="2">
        <v>30</v>
      </c>
      <c r="U1005" s="3">
        <v>0.42859999999999998</v>
      </c>
      <c r="V1005" s="2">
        <v>13</v>
      </c>
    </row>
    <row r="1006" spans="1:22" x14ac:dyDescent="0.25">
      <c r="A1006" t="s">
        <v>1074</v>
      </c>
      <c r="B1006" s="1">
        <v>45639</v>
      </c>
      <c r="C1006">
        <v>603</v>
      </c>
      <c r="D1006" t="s">
        <v>109</v>
      </c>
      <c r="E1006" t="s">
        <v>79</v>
      </c>
      <c r="F1006" t="s">
        <v>25</v>
      </c>
      <c r="G1006" t="s">
        <v>33</v>
      </c>
      <c r="H1006" t="s">
        <v>54</v>
      </c>
      <c r="I1006" t="s">
        <v>101</v>
      </c>
      <c r="J1006" t="s">
        <v>29</v>
      </c>
      <c r="K1006">
        <v>209</v>
      </c>
      <c r="L1006">
        <v>9</v>
      </c>
      <c r="M1006" s="2">
        <v>60</v>
      </c>
      <c r="N1006" s="2">
        <v>25</v>
      </c>
      <c r="O1006" s="2">
        <v>43</v>
      </c>
      <c r="P1006" s="2">
        <v>-18</v>
      </c>
      <c r="Q1006" s="3">
        <v>-0.3</v>
      </c>
      <c r="R1006" s="2">
        <v>40</v>
      </c>
      <c r="S1006" s="2">
        <v>10</v>
      </c>
      <c r="T1006" s="2">
        <v>10</v>
      </c>
      <c r="U1006" s="3">
        <v>0.25</v>
      </c>
      <c r="V1006" s="2">
        <v>-28</v>
      </c>
    </row>
    <row r="1007" spans="1:22" x14ac:dyDescent="0.25">
      <c r="A1007" t="s">
        <v>1075</v>
      </c>
      <c r="B1007" s="1">
        <v>45639</v>
      </c>
      <c r="C1007">
        <v>405</v>
      </c>
      <c r="D1007" t="s">
        <v>148</v>
      </c>
      <c r="E1007" t="s">
        <v>45</v>
      </c>
      <c r="F1007" t="s">
        <v>25</v>
      </c>
      <c r="G1007" t="s">
        <v>33</v>
      </c>
      <c r="H1007" t="s">
        <v>54</v>
      </c>
      <c r="I1007" t="s">
        <v>72</v>
      </c>
      <c r="J1007" t="s">
        <v>29</v>
      </c>
      <c r="K1007">
        <v>-1785</v>
      </c>
      <c r="L1007">
        <v>28</v>
      </c>
      <c r="M1007" s="2">
        <v>218</v>
      </c>
      <c r="N1007" s="2">
        <v>91</v>
      </c>
      <c r="O1007" s="2">
        <v>51</v>
      </c>
      <c r="P1007" s="2">
        <v>76</v>
      </c>
      <c r="Q1007" s="3">
        <v>0.34860000000000002</v>
      </c>
      <c r="R1007" s="2">
        <v>130</v>
      </c>
      <c r="S1007" s="2">
        <v>50</v>
      </c>
      <c r="T1007" s="2">
        <v>70</v>
      </c>
      <c r="U1007" s="3">
        <v>0.53849999999999998</v>
      </c>
      <c r="V1007" s="2">
        <v>6</v>
      </c>
    </row>
    <row r="1008" spans="1:22" x14ac:dyDescent="0.25">
      <c r="A1008" t="s">
        <v>1076</v>
      </c>
      <c r="B1008" s="1">
        <v>45639</v>
      </c>
      <c r="C1008">
        <v>845</v>
      </c>
      <c r="D1008" t="s">
        <v>99</v>
      </c>
      <c r="E1008" t="s">
        <v>79</v>
      </c>
      <c r="F1008" t="s">
        <v>32</v>
      </c>
      <c r="G1008" t="s">
        <v>33</v>
      </c>
      <c r="H1008" t="s">
        <v>54</v>
      </c>
      <c r="I1008" t="s">
        <v>68</v>
      </c>
      <c r="J1008" t="s">
        <v>29</v>
      </c>
      <c r="K1008">
        <v>3641</v>
      </c>
      <c r="L1008">
        <v>122</v>
      </c>
      <c r="M1008" s="2">
        <v>70</v>
      </c>
      <c r="N1008" s="2">
        <v>135</v>
      </c>
      <c r="O1008" s="2">
        <v>155</v>
      </c>
      <c r="P1008" s="2">
        <v>-332</v>
      </c>
      <c r="Q1008" s="3">
        <v>-4.7428999999999997</v>
      </c>
      <c r="R1008" s="2">
        <v>60</v>
      </c>
      <c r="S1008" s="2">
        <v>130</v>
      </c>
      <c r="T1008" s="2">
        <v>-210</v>
      </c>
      <c r="U1008" s="3">
        <v>-3.5</v>
      </c>
      <c r="V1008" s="2">
        <v>-122</v>
      </c>
    </row>
    <row r="1009" spans="1:22" x14ac:dyDescent="0.25">
      <c r="A1009" t="s">
        <v>1077</v>
      </c>
      <c r="B1009" s="1">
        <v>45639</v>
      </c>
      <c r="C1009">
        <v>847</v>
      </c>
      <c r="D1009" t="s">
        <v>37</v>
      </c>
      <c r="E1009" t="s">
        <v>24</v>
      </c>
      <c r="F1009" t="s">
        <v>32</v>
      </c>
      <c r="G1009" t="s">
        <v>33</v>
      </c>
      <c r="H1009" t="s">
        <v>54</v>
      </c>
      <c r="I1009" t="s">
        <v>55</v>
      </c>
      <c r="J1009" t="s">
        <v>40</v>
      </c>
      <c r="K1009">
        <v>1778</v>
      </c>
      <c r="L1009">
        <v>59</v>
      </c>
      <c r="M1009" s="2">
        <v>451</v>
      </c>
      <c r="N1009" s="2">
        <v>211</v>
      </c>
      <c r="O1009" s="2">
        <v>83</v>
      </c>
      <c r="P1009" s="2">
        <v>191</v>
      </c>
      <c r="Q1009" s="3">
        <v>0.42349999999999999</v>
      </c>
      <c r="R1009" s="2">
        <v>540</v>
      </c>
      <c r="S1009" s="2">
        <v>270</v>
      </c>
      <c r="T1009" s="2">
        <v>200</v>
      </c>
      <c r="U1009" s="3">
        <v>0.37040000000000001</v>
      </c>
      <c r="V1009" s="2">
        <v>-9</v>
      </c>
    </row>
    <row r="1010" spans="1:22" x14ac:dyDescent="0.25">
      <c r="A1010" t="s">
        <v>1078</v>
      </c>
      <c r="B1010" s="1">
        <v>45640</v>
      </c>
      <c r="C1010">
        <v>303</v>
      </c>
      <c r="D1010" t="s">
        <v>31</v>
      </c>
      <c r="E1010" t="s">
        <v>24</v>
      </c>
      <c r="F1010" t="s">
        <v>32</v>
      </c>
      <c r="G1010" t="s">
        <v>33</v>
      </c>
      <c r="H1010" t="s">
        <v>34</v>
      </c>
      <c r="I1010" t="s">
        <v>50</v>
      </c>
      <c r="J1010" t="s">
        <v>29</v>
      </c>
      <c r="K1010">
        <v>541</v>
      </c>
      <c r="L1010">
        <v>12</v>
      </c>
      <c r="M1010" s="2">
        <v>96</v>
      </c>
      <c r="N1010" s="2">
        <v>39</v>
      </c>
      <c r="O1010" s="2">
        <v>24</v>
      </c>
      <c r="P1010" s="2">
        <v>40</v>
      </c>
      <c r="Q1010" s="3">
        <v>0.41670000000000001</v>
      </c>
      <c r="R1010" s="2">
        <v>80</v>
      </c>
      <c r="S1010" s="2">
        <v>30</v>
      </c>
      <c r="T1010" s="2">
        <v>50</v>
      </c>
      <c r="U1010" s="3">
        <v>0.625</v>
      </c>
      <c r="V1010" s="2">
        <v>-10</v>
      </c>
    </row>
    <row r="1011" spans="1:22" x14ac:dyDescent="0.25">
      <c r="A1011" t="s">
        <v>1079</v>
      </c>
      <c r="B1011" s="1">
        <v>45640</v>
      </c>
      <c r="C1011">
        <v>515</v>
      </c>
      <c r="D1011" t="s">
        <v>124</v>
      </c>
      <c r="E1011" t="s">
        <v>24</v>
      </c>
      <c r="F1011" t="s">
        <v>25</v>
      </c>
      <c r="G1011" t="s">
        <v>33</v>
      </c>
      <c r="H1011" t="s">
        <v>34</v>
      </c>
      <c r="I1011" t="s">
        <v>50</v>
      </c>
      <c r="J1011" t="s">
        <v>29</v>
      </c>
      <c r="K1011">
        <v>1000</v>
      </c>
      <c r="L1011">
        <v>9</v>
      </c>
      <c r="M1011" s="2">
        <v>68</v>
      </c>
      <c r="N1011" s="2">
        <v>31</v>
      </c>
      <c r="O1011" s="2">
        <v>30</v>
      </c>
      <c r="P1011" s="2">
        <v>7</v>
      </c>
      <c r="Q1011" s="3">
        <v>0.10290000000000001</v>
      </c>
      <c r="R1011" s="2">
        <v>60</v>
      </c>
      <c r="S1011" s="2">
        <v>20</v>
      </c>
      <c r="T1011" s="2">
        <v>30</v>
      </c>
      <c r="U1011" s="3">
        <v>0.5</v>
      </c>
      <c r="V1011" s="2">
        <v>-23</v>
      </c>
    </row>
    <row r="1012" spans="1:22" x14ac:dyDescent="0.25">
      <c r="A1012" t="s">
        <v>1080</v>
      </c>
      <c r="B1012" s="1">
        <v>45640</v>
      </c>
      <c r="C1012">
        <v>937</v>
      </c>
      <c r="D1012" t="s">
        <v>85</v>
      </c>
      <c r="E1012" t="s">
        <v>24</v>
      </c>
      <c r="F1012" t="s">
        <v>32</v>
      </c>
      <c r="G1012" t="s">
        <v>26</v>
      </c>
      <c r="H1012" t="s">
        <v>38</v>
      </c>
      <c r="I1012" t="s">
        <v>39</v>
      </c>
      <c r="J1012" t="s">
        <v>40</v>
      </c>
      <c r="K1012">
        <v>480</v>
      </c>
      <c r="L1012">
        <v>5</v>
      </c>
      <c r="M1012" s="2">
        <v>56</v>
      </c>
      <c r="N1012" s="2">
        <v>21</v>
      </c>
      <c r="O1012" s="2">
        <v>16</v>
      </c>
      <c r="P1012" s="2">
        <v>24</v>
      </c>
      <c r="Q1012" s="3">
        <v>0.42859999999999998</v>
      </c>
      <c r="R1012" s="2">
        <v>30</v>
      </c>
      <c r="S1012" s="2">
        <v>0</v>
      </c>
      <c r="T1012" s="2">
        <v>30</v>
      </c>
      <c r="U1012" s="3">
        <v>1</v>
      </c>
      <c r="V1012" s="2">
        <v>-6</v>
      </c>
    </row>
    <row r="1013" spans="1:22" x14ac:dyDescent="0.25">
      <c r="A1013" t="s">
        <v>1081</v>
      </c>
      <c r="B1013" s="1">
        <v>45640</v>
      </c>
      <c r="C1013">
        <v>713</v>
      </c>
      <c r="D1013" t="s">
        <v>76</v>
      </c>
      <c r="E1013" t="s">
        <v>45</v>
      </c>
      <c r="F1013" t="s">
        <v>32</v>
      </c>
      <c r="G1013" t="s">
        <v>26</v>
      </c>
      <c r="H1013" t="s">
        <v>38</v>
      </c>
      <c r="I1013" t="s">
        <v>39</v>
      </c>
      <c r="J1013" t="s">
        <v>40</v>
      </c>
      <c r="K1013">
        <v>405</v>
      </c>
      <c r="L1013">
        <v>17</v>
      </c>
      <c r="M1013" s="2">
        <v>123</v>
      </c>
      <c r="N1013" s="2">
        <v>52</v>
      </c>
      <c r="O1013" s="2">
        <v>45</v>
      </c>
      <c r="P1013" s="2">
        <v>26</v>
      </c>
      <c r="Q1013" s="3">
        <v>0.2114</v>
      </c>
      <c r="R1013" s="2">
        <v>110</v>
      </c>
      <c r="S1013" s="2">
        <v>30</v>
      </c>
      <c r="T1013" s="2">
        <v>70</v>
      </c>
      <c r="U1013" s="3">
        <v>0.63639999999999997</v>
      </c>
      <c r="V1013" s="2">
        <v>-44</v>
      </c>
    </row>
    <row r="1014" spans="1:22" x14ac:dyDescent="0.25">
      <c r="A1014" t="s">
        <v>1082</v>
      </c>
      <c r="B1014" s="1">
        <v>45641</v>
      </c>
      <c r="C1014">
        <v>857</v>
      </c>
      <c r="D1014" t="s">
        <v>78</v>
      </c>
      <c r="E1014" t="s">
        <v>79</v>
      </c>
      <c r="F1014" t="s">
        <v>32</v>
      </c>
      <c r="G1014" t="s">
        <v>26</v>
      </c>
      <c r="H1014" t="s">
        <v>38</v>
      </c>
      <c r="I1014" t="s">
        <v>46</v>
      </c>
      <c r="J1014" t="s">
        <v>40</v>
      </c>
      <c r="K1014">
        <v>410</v>
      </c>
      <c r="L1014">
        <v>20</v>
      </c>
      <c r="M1014" s="2">
        <v>132</v>
      </c>
      <c r="N1014" s="2">
        <v>55</v>
      </c>
      <c r="O1014" s="2">
        <v>54</v>
      </c>
      <c r="P1014" s="2">
        <v>22</v>
      </c>
      <c r="Q1014" s="3">
        <v>0.16669999999999999</v>
      </c>
      <c r="R1014" s="2">
        <v>90</v>
      </c>
      <c r="S1014" s="2">
        <v>40</v>
      </c>
      <c r="T1014" s="2">
        <v>20</v>
      </c>
      <c r="U1014" s="3">
        <v>0.22220000000000001</v>
      </c>
      <c r="V1014" s="2">
        <v>2</v>
      </c>
    </row>
    <row r="1015" spans="1:22" x14ac:dyDescent="0.25">
      <c r="A1015" t="s">
        <v>1083</v>
      </c>
      <c r="B1015" s="1">
        <v>45641</v>
      </c>
      <c r="C1015">
        <v>920</v>
      </c>
      <c r="D1015" t="s">
        <v>23</v>
      </c>
      <c r="E1015" t="s">
        <v>24</v>
      </c>
      <c r="F1015" t="s">
        <v>25</v>
      </c>
      <c r="G1015" t="s">
        <v>33</v>
      </c>
      <c r="H1015" t="s">
        <v>54</v>
      </c>
      <c r="I1015" t="s">
        <v>55</v>
      </c>
      <c r="J1015" t="s">
        <v>40</v>
      </c>
      <c r="K1015">
        <v>570</v>
      </c>
      <c r="L1015">
        <v>7</v>
      </c>
      <c r="M1015" s="2">
        <v>55</v>
      </c>
      <c r="N1015" s="2">
        <v>22</v>
      </c>
      <c r="O1015" s="2">
        <v>19</v>
      </c>
      <c r="P1015" s="2">
        <v>16</v>
      </c>
      <c r="Q1015" s="3">
        <v>0.29089999999999999</v>
      </c>
      <c r="R1015" s="2">
        <v>60</v>
      </c>
      <c r="S1015" s="2">
        <v>20</v>
      </c>
      <c r="T1015" s="2">
        <v>30</v>
      </c>
      <c r="U1015" s="3">
        <v>0.5</v>
      </c>
      <c r="V1015" s="2">
        <v>-14</v>
      </c>
    </row>
    <row r="1016" spans="1:22" x14ac:dyDescent="0.25">
      <c r="A1016" t="s">
        <v>1084</v>
      </c>
      <c r="B1016" s="1">
        <v>45641</v>
      </c>
      <c r="C1016">
        <v>815</v>
      </c>
      <c r="D1016" t="s">
        <v>37</v>
      </c>
      <c r="E1016" t="s">
        <v>24</v>
      </c>
      <c r="F1016" t="s">
        <v>32</v>
      </c>
      <c r="G1016" t="s">
        <v>26</v>
      </c>
      <c r="H1016" t="s">
        <v>27</v>
      </c>
      <c r="I1016" t="s">
        <v>28</v>
      </c>
      <c r="J1016" t="s">
        <v>29</v>
      </c>
      <c r="K1016">
        <v>580</v>
      </c>
      <c r="L1016">
        <v>21</v>
      </c>
      <c r="M1016" s="2">
        <v>199</v>
      </c>
      <c r="N1016" s="2">
        <v>76</v>
      </c>
      <c r="O1016" s="2">
        <v>33</v>
      </c>
      <c r="P1016" s="2">
        <v>116</v>
      </c>
      <c r="Q1016" s="3">
        <v>0.58289999999999997</v>
      </c>
      <c r="R1016" s="2">
        <v>130</v>
      </c>
      <c r="S1016" s="2">
        <v>50</v>
      </c>
      <c r="T1016" s="2">
        <v>80</v>
      </c>
      <c r="U1016" s="3">
        <v>0.61539999999999995</v>
      </c>
      <c r="V1016" s="2">
        <v>36</v>
      </c>
    </row>
    <row r="1017" spans="1:22" x14ac:dyDescent="0.25">
      <c r="A1017" t="s">
        <v>1085</v>
      </c>
      <c r="B1017" s="1">
        <v>45641</v>
      </c>
      <c r="C1017">
        <v>386</v>
      </c>
      <c r="D1017" t="s">
        <v>117</v>
      </c>
      <c r="E1017" t="s">
        <v>79</v>
      </c>
      <c r="F1017" t="s">
        <v>32</v>
      </c>
      <c r="G1017" t="s">
        <v>26</v>
      </c>
      <c r="H1017" t="s">
        <v>38</v>
      </c>
      <c r="I1017" t="s">
        <v>39</v>
      </c>
      <c r="J1017" t="s">
        <v>40</v>
      </c>
      <c r="K1017">
        <v>573</v>
      </c>
      <c r="L1017">
        <v>7</v>
      </c>
      <c r="M1017" s="2">
        <v>51</v>
      </c>
      <c r="N1017" s="2">
        <v>22</v>
      </c>
      <c r="O1017" s="2">
        <v>19</v>
      </c>
      <c r="P1017" s="2">
        <v>10</v>
      </c>
      <c r="Q1017" s="3">
        <v>0.1961</v>
      </c>
      <c r="R1017" s="2">
        <v>20</v>
      </c>
      <c r="S1017" s="2">
        <v>0</v>
      </c>
      <c r="T1017" s="2">
        <v>20</v>
      </c>
      <c r="U1017" s="3">
        <v>1</v>
      </c>
      <c r="V1017" s="2">
        <v>-10</v>
      </c>
    </row>
    <row r="1018" spans="1:22" x14ac:dyDescent="0.25">
      <c r="A1018" t="s">
        <v>1086</v>
      </c>
      <c r="B1018" s="1">
        <v>45641</v>
      </c>
      <c r="C1018">
        <v>740</v>
      </c>
      <c r="D1018" t="s">
        <v>85</v>
      </c>
      <c r="E1018" t="s">
        <v>24</v>
      </c>
      <c r="F1018" t="s">
        <v>32</v>
      </c>
      <c r="G1018" t="s">
        <v>26</v>
      </c>
      <c r="H1018" t="s">
        <v>27</v>
      </c>
      <c r="I1018" t="s">
        <v>42</v>
      </c>
      <c r="J1018" t="s">
        <v>29</v>
      </c>
      <c r="K1018">
        <v>690</v>
      </c>
      <c r="L1018">
        <v>41</v>
      </c>
      <c r="M1018" s="2">
        <v>320</v>
      </c>
      <c r="N1018" s="2">
        <v>134</v>
      </c>
      <c r="O1018" s="2">
        <v>65</v>
      </c>
      <c r="P1018" s="2">
        <v>121</v>
      </c>
      <c r="Q1018" s="3">
        <v>0.37809999999999999</v>
      </c>
      <c r="R1018" s="2">
        <v>260</v>
      </c>
      <c r="S1018" s="2">
        <v>110</v>
      </c>
      <c r="T1018" s="2">
        <v>90</v>
      </c>
      <c r="U1018" s="3">
        <v>0.34620000000000001</v>
      </c>
      <c r="V1018" s="2">
        <v>31</v>
      </c>
    </row>
    <row r="1019" spans="1:22" x14ac:dyDescent="0.25">
      <c r="A1019" t="s">
        <v>1087</v>
      </c>
      <c r="B1019" s="1">
        <v>45641</v>
      </c>
      <c r="C1019">
        <v>708</v>
      </c>
      <c r="D1019" t="s">
        <v>37</v>
      </c>
      <c r="E1019" t="s">
        <v>24</v>
      </c>
      <c r="F1019" t="s">
        <v>32</v>
      </c>
      <c r="G1019" t="s">
        <v>26</v>
      </c>
      <c r="H1019" t="s">
        <v>38</v>
      </c>
      <c r="I1019" t="s">
        <v>39</v>
      </c>
      <c r="J1019" t="s">
        <v>40</v>
      </c>
      <c r="K1019">
        <v>930</v>
      </c>
      <c r="L1019">
        <v>33</v>
      </c>
      <c r="M1019" s="2">
        <v>309</v>
      </c>
      <c r="N1019" s="2">
        <v>118</v>
      </c>
      <c r="O1019" s="2">
        <v>45</v>
      </c>
      <c r="P1019" s="2">
        <v>188</v>
      </c>
      <c r="Q1019" s="3">
        <v>0.60840000000000005</v>
      </c>
      <c r="R1019" s="2">
        <v>260</v>
      </c>
      <c r="S1019" s="2">
        <v>110</v>
      </c>
      <c r="T1019" s="2">
        <v>110</v>
      </c>
      <c r="U1019" s="3">
        <v>0.42309999999999998</v>
      </c>
      <c r="V1019" s="2">
        <v>78</v>
      </c>
    </row>
    <row r="1020" spans="1:22" x14ac:dyDescent="0.25">
      <c r="A1020" t="s">
        <v>1088</v>
      </c>
      <c r="B1020" s="1">
        <v>45642</v>
      </c>
      <c r="C1020">
        <v>254</v>
      </c>
      <c r="D1020" t="s">
        <v>76</v>
      </c>
      <c r="E1020" t="s">
        <v>45</v>
      </c>
      <c r="F1020" t="s">
        <v>32</v>
      </c>
      <c r="G1020" t="s">
        <v>33</v>
      </c>
      <c r="H1020" t="s">
        <v>54</v>
      </c>
      <c r="I1020" t="s">
        <v>55</v>
      </c>
      <c r="J1020" t="s">
        <v>40</v>
      </c>
      <c r="K1020">
        <v>589</v>
      </c>
      <c r="L1020">
        <v>14</v>
      </c>
      <c r="M1020" s="2">
        <v>131</v>
      </c>
      <c r="N1020" s="2">
        <v>50</v>
      </c>
      <c r="O1020" s="2">
        <v>25</v>
      </c>
      <c r="P1020" s="2">
        <v>71</v>
      </c>
      <c r="Q1020" s="3">
        <v>0.54200000000000004</v>
      </c>
      <c r="R1020" s="2">
        <v>90</v>
      </c>
      <c r="S1020" s="2">
        <v>30</v>
      </c>
      <c r="T1020" s="2">
        <v>40</v>
      </c>
      <c r="U1020" s="3">
        <v>0.44440000000000002</v>
      </c>
      <c r="V1020" s="2">
        <v>31</v>
      </c>
    </row>
    <row r="1021" spans="1:22" x14ac:dyDescent="0.25">
      <c r="A1021" t="s">
        <v>1089</v>
      </c>
      <c r="B1021" s="1">
        <v>45642</v>
      </c>
      <c r="C1021">
        <v>715</v>
      </c>
      <c r="D1021" t="s">
        <v>23</v>
      </c>
      <c r="E1021" t="s">
        <v>24</v>
      </c>
      <c r="F1021" t="s">
        <v>25</v>
      </c>
      <c r="G1021" t="s">
        <v>33</v>
      </c>
      <c r="H1021" t="s">
        <v>54</v>
      </c>
      <c r="I1021" t="s">
        <v>55</v>
      </c>
      <c r="J1021" t="s">
        <v>40</v>
      </c>
      <c r="K1021">
        <v>570</v>
      </c>
      <c r="L1021">
        <v>7</v>
      </c>
      <c r="M1021" s="2">
        <v>52</v>
      </c>
      <c r="N1021" s="2">
        <v>22</v>
      </c>
      <c r="O1021" s="2">
        <v>19</v>
      </c>
      <c r="P1021" s="2">
        <v>11</v>
      </c>
      <c r="Q1021" s="3">
        <v>0.21149999999999999</v>
      </c>
      <c r="R1021" s="2">
        <v>60</v>
      </c>
      <c r="S1021" s="2">
        <v>20</v>
      </c>
      <c r="T1021" s="2">
        <v>30</v>
      </c>
      <c r="U1021" s="3">
        <v>0.5</v>
      </c>
      <c r="V1021" s="2">
        <v>-19</v>
      </c>
    </row>
    <row r="1022" spans="1:22" x14ac:dyDescent="0.25">
      <c r="A1022" t="s">
        <v>1090</v>
      </c>
      <c r="B1022" s="1">
        <v>45642</v>
      </c>
      <c r="C1022">
        <v>513</v>
      </c>
      <c r="D1022" t="s">
        <v>85</v>
      </c>
      <c r="E1022" t="s">
        <v>24</v>
      </c>
      <c r="F1022" t="s">
        <v>32</v>
      </c>
      <c r="G1022" t="s">
        <v>33</v>
      </c>
      <c r="H1022" t="s">
        <v>34</v>
      </c>
      <c r="I1022" t="s">
        <v>83</v>
      </c>
      <c r="J1022" t="s">
        <v>40</v>
      </c>
      <c r="K1022">
        <v>521</v>
      </c>
      <c r="L1022">
        <v>42</v>
      </c>
      <c r="M1022" s="2">
        <v>119</v>
      </c>
      <c r="N1022" s="2">
        <v>47</v>
      </c>
      <c r="O1022" s="2">
        <v>71</v>
      </c>
      <c r="P1022" s="2">
        <v>-9</v>
      </c>
      <c r="Q1022" s="3">
        <v>-7.5600000000000001E-2</v>
      </c>
      <c r="R1022" s="2">
        <v>110</v>
      </c>
      <c r="S1022" s="2">
        <v>40</v>
      </c>
      <c r="T1022" s="2">
        <v>10</v>
      </c>
      <c r="U1022" s="3">
        <v>9.0899999999999995E-2</v>
      </c>
      <c r="V1022" s="2">
        <v>-19</v>
      </c>
    </row>
    <row r="1023" spans="1:22" x14ac:dyDescent="0.25">
      <c r="A1023" t="s">
        <v>1091</v>
      </c>
      <c r="B1023" s="1">
        <v>45642</v>
      </c>
      <c r="C1023">
        <v>351</v>
      </c>
      <c r="D1023" t="s">
        <v>78</v>
      </c>
      <c r="E1023" t="s">
        <v>79</v>
      </c>
      <c r="F1023" t="s">
        <v>32</v>
      </c>
      <c r="G1023" t="s">
        <v>33</v>
      </c>
      <c r="H1023" t="s">
        <v>34</v>
      </c>
      <c r="I1023" t="s">
        <v>50</v>
      </c>
      <c r="J1023" t="s">
        <v>29</v>
      </c>
      <c r="K1023">
        <v>-3534</v>
      </c>
      <c r="L1023">
        <v>22</v>
      </c>
      <c r="M1023" s="2">
        <v>510</v>
      </c>
      <c r="N1023" s="2">
        <v>67</v>
      </c>
      <c r="O1023" s="2">
        <v>53</v>
      </c>
      <c r="P1023" s="2">
        <v>390</v>
      </c>
      <c r="Q1023" s="3">
        <v>0.76470000000000005</v>
      </c>
      <c r="R1023" s="2">
        <v>450</v>
      </c>
      <c r="S1023" s="2">
        <v>60</v>
      </c>
      <c r="T1023" s="2">
        <v>360</v>
      </c>
      <c r="U1023" s="3">
        <v>0.8</v>
      </c>
      <c r="V1023" s="2">
        <v>30</v>
      </c>
    </row>
    <row r="1024" spans="1:22" x14ac:dyDescent="0.25">
      <c r="A1024" t="s">
        <v>1092</v>
      </c>
      <c r="B1024" s="1">
        <v>45642</v>
      </c>
      <c r="C1024">
        <v>641</v>
      </c>
      <c r="D1024" t="s">
        <v>124</v>
      </c>
      <c r="E1024" t="s">
        <v>24</v>
      </c>
      <c r="F1024" t="s">
        <v>25</v>
      </c>
      <c r="G1024" t="s">
        <v>26</v>
      </c>
      <c r="H1024" t="s">
        <v>38</v>
      </c>
      <c r="I1024" t="s">
        <v>46</v>
      </c>
      <c r="J1024" t="s">
        <v>40</v>
      </c>
      <c r="K1024">
        <v>789</v>
      </c>
      <c r="L1024">
        <v>39</v>
      </c>
      <c r="M1024" s="2">
        <v>298</v>
      </c>
      <c r="N1024" s="2">
        <v>122</v>
      </c>
      <c r="O1024" s="2">
        <v>62</v>
      </c>
      <c r="P1024" s="2">
        <v>114</v>
      </c>
      <c r="Q1024" s="3">
        <v>0.3826</v>
      </c>
      <c r="R1024" s="2">
        <v>240</v>
      </c>
      <c r="S1024" s="2">
        <v>90</v>
      </c>
      <c r="T1024" s="2">
        <v>130</v>
      </c>
      <c r="U1024" s="3">
        <v>0.54169999999999996</v>
      </c>
      <c r="V1024" s="2">
        <v>-16</v>
      </c>
    </row>
    <row r="1025" spans="1:22" x14ac:dyDescent="0.25">
      <c r="A1025" t="s">
        <v>1093</v>
      </c>
      <c r="B1025" s="1">
        <v>45642</v>
      </c>
      <c r="C1025">
        <v>425</v>
      </c>
      <c r="D1025" t="s">
        <v>52</v>
      </c>
      <c r="E1025" t="s">
        <v>53</v>
      </c>
      <c r="F1025" t="s">
        <v>25</v>
      </c>
      <c r="G1025" t="s">
        <v>33</v>
      </c>
      <c r="H1025" t="s">
        <v>34</v>
      </c>
      <c r="I1025" t="s">
        <v>50</v>
      </c>
      <c r="J1025" t="s">
        <v>29</v>
      </c>
      <c r="K1025">
        <v>446</v>
      </c>
      <c r="L1025">
        <v>20</v>
      </c>
      <c r="M1025" s="2">
        <v>156</v>
      </c>
      <c r="N1025" s="2">
        <v>63</v>
      </c>
      <c r="O1025" s="2">
        <v>43</v>
      </c>
      <c r="P1025" s="2">
        <v>50</v>
      </c>
      <c r="Q1025" s="3">
        <v>0.32050000000000001</v>
      </c>
      <c r="R1025" s="2">
        <v>180</v>
      </c>
      <c r="S1025" s="2">
        <v>70</v>
      </c>
      <c r="T1025" s="2">
        <v>70</v>
      </c>
      <c r="U1025" s="3">
        <v>0.38890000000000002</v>
      </c>
      <c r="V1025" s="2">
        <v>-20</v>
      </c>
    </row>
    <row r="1026" spans="1:22" x14ac:dyDescent="0.25">
      <c r="A1026" t="s">
        <v>1094</v>
      </c>
      <c r="B1026" s="1">
        <v>45643</v>
      </c>
      <c r="C1026">
        <v>860</v>
      </c>
      <c r="D1026" t="s">
        <v>135</v>
      </c>
      <c r="E1026" t="s">
        <v>79</v>
      </c>
      <c r="F1026" t="s">
        <v>25</v>
      </c>
      <c r="G1026" t="s">
        <v>26</v>
      </c>
      <c r="H1026" t="s">
        <v>38</v>
      </c>
      <c r="I1026" t="s">
        <v>66</v>
      </c>
      <c r="J1026" t="s">
        <v>40</v>
      </c>
      <c r="K1026">
        <v>1053</v>
      </c>
      <c r="L1026">
        <v>20</v>
      </c>
      <c r="M1026" s="2">
        <v>142</v>
      </c>
      <c r="N1026" s="2">
        <v>65</v>
      </c>
      <c r="O1026" s="2">
        <v>42</v>
      </c>
      <c r="P1026" s="2">
        <v>35</v>
      </c>
      <c r="Q1026" s="3">
        <v>0.2465</v>
      </c>
      <c r="R1026" s="2">
        <v>80</v>
      </c>
      <c r="S1026" s="2">
        <v>30</v>
      </c>
      <c r="T1026" s="2">
        <v>50</v>
      </c>
      <c r="U1026" s="3">
        <v>0.625</v>
      </c>
      <c r="V1026" s="2">
        <v>-15</v>
      </c>
    </row>
    <row r="1027" spans="1:22" x14ac:dyDescent="0.25">
      <c r="A1027" t="s">
        <v>1095</v>
      </c>
      <c r="B1027" s="1">
        <v>45643</v>
      </c>
      <c r="C1027">
        <v>603</v>
      </c>
      <c r="D1027" t="s">
        <v>109</v>
      </c>
      <c r="E1027" t="s">
        <v>79</v>
      </c>
      <c r="F1027" t="s">
        <v>25</v>
      </c>
      <c r="G1027" t="s">
        <v>33</v>
      </c>
      <c r="H1027" t="s">
        <v>54</v>
      </c>
      <c r="I1027" t="s">
        <v>101</v>
      </c>
      <c r="J1027" t="s">
        <v>29</v>
      </c>
      <c r="K1027">
        <v>211</v>
      </c>
      <c r="L1027">
        <v>12</v>
      </c>
      <c r="M1027" s="2">
        <v>81</v>
      </c>
      <c r="N1027" s="2">
        <v>34</v>
      </c>
      <c r="O1027" s="2">
        <v>45</v>
      </c>
      <c r="P1027" s="2">
        <v>-4</v>
      </c>
      <c r="Q1027" s="3">
        <v>-4.9399999999999999E-2</v>
      </c>
      <c r="R1027" s="2">
        <v>70</v>
      </c>
      <c r="S1027" s="2">
        <v>30</v>
      </c>
      <c r="T1027" s="2">
        <v>0</v>
      </c>
      <c r="U1027" s="3">
        <v>0</v>
      </c>
      <c r="V1027" s="2">
        <v>-4</v>
      </c>
    </row>
    <row r="1028" spans="1:22" x14ac:dyDescent="0.25">
      <c r="A1028" t="s">
        <v>1096</v>
      </c>
      <c r="B1028" s="1">
        <v>45643</v>
      </c>
      <c r="C1028">
        <v>909</v>
      </c>
      <c r="D1028" t="s">
        <v>62</v>
      </c>
      <c r="E1028" t="s">
        <v>53</v>
      </c>
      <c r="F1028" t="s">
        <v>32</v>
      </c>
      <c r="G1028" t="s">
        <v>33</v>
      </c>
      <c r="H1028" t="s">
        <v>34</v>
      </c>
      <c r="I1028" t="s">
        <v>83</v>
      </c>
      <c r="J1028" t="s">
        <v>40</v>
      </c>
      <c r="K1028">
        <v>3909</v>
      </c>
      <c r="L1028">
        <v>57</v>
      </c>
      <c r="M1028" s="2">
        <v>146</v>
      </c>
      <c r="N1028" s="2">
        <v>173</v>
      </c>
      <c r="O1028" s="2">
        <v>100</v>
      </c>
      <c r="P1028" s="2">
        <v>-127</v>
      </c>
      <c r="Q1028" s="3">
        <v>-0.86990000000000001</v>
      </c>
      <c r="R1028" s="2">
        <v>170</v>
      </c>
      <c r="S1028" s="2">
        <v>200</v>
      </c>
      <c r="T1028" s="2">
        <v>-130</v>
      </c>
      <c r="U1028" s="3">
        <v>-0.76470000000000005</v>
      </c>
      <c r="V1028" s="2">
        <v>3</v>
      </c>
    </row>
    <row r="1029" spans="1:22" x14ac:dyDescent="0.25">
      <c r="A1029" t="s">
        <v>1097</v>
      </c>
      <c r="B1029" s="1">
        <v>45643</v>
      </c>
      <c r="C1029">
        <v>801</v>
      </c>
      <c r="D1029" t="s">
        <v>95</v>
      </c>
      <c r="E1029" t="s">
        <v>53</v>
      </c>
      <c r="F1029" t="s">
        <v>25</v>
      </c>
      <c r="G1029" t="s">
        <v>33</v>
      </c>
      <c r="H1029" t="s">
        <v>34</v>
      </c>
      <c r="I1029" t="s">
        <v>83</v>
      </c>
      <c r="J1029" t="s">
        <v>40</v>
      </c>
      <c r="K1029">
        <v>619</v>
      </c>
      <c r="L1029">
        <v>25</v>
      </c>
      <c r="M1029" s="2">
        <v>163</v>
      </c>
      <c r="N1029" s="2">
        <v>68</v>
      </c>
      <c r="O1029" s="2">
        <v>59</v>
      </c>
      <c r="P1029" s="2">
        <v>39</v>
      </c>
      <c r="Q1029" s="3">
        <v>0.23930000000000001</v>
      </c>
      <c r="R1029" s="2">
        <v>180</v>
      </c>
      <c r="S1029" s="2">
        <v>80</v>
      </c>
      <c r="T1029" s="2">
        <v>50</v>
      </c>
      <c r="U1029" s="3">
        <v>0.27779999999999999</v>
      </c>
      <c r="V1029" s="2">
        <v>-11</v>
      </c>
    </row>
    <row r="1030" spans="1:22" x14ac:dyDescent="0.25">
      <c r="A1030" t="s">
        <v>1098</v>
      </c>
      <c r="B1030" s="1">
        <v>45644</v>
      </c>
      <c r="C1030">
        <v>954</v>
      </c>
      <c r="D1030" t="s">
        <v>117</v>
      </c>
      <c r="E1030" t="s">
        <v>79</v>
      </c>
      <c r="F1030" t="s">
        <v>32</v>
      </c>
      <c r="G1030" t="s">
        <v>26</v>
      </c>
      <c r="H1030" t="s">
        <v>38</v>
      </c>
      <c r="I1030" t="s">
        <v>66</v>
      </c>
      <c r="J1030" t="s">
        <v>40</v>
      </c>
      <c r="K1030">
        <v>1063</v>
      </c>
      <c r="L1030">
        <v>23</v>
      </c>
      <c r="M1030" s="2">
        <v>164</v>
      </c>
      <c r="N1030" s="2">
        <v>75</v>
      </c>
      <c r="O1030" s="2">
        <v>45</v>
      </c>
      <c r="P1030" s="2">
        <v>44</v>
      </c>
      <c r="Q1030" s="3">
        <v>0.26829999999999998</v>
      </c>
      <c r="R1030" s="2">
        <v>110</v>
      </c>
      <c r="S1030" s="2">
        <v>50</v>
      </c>
      <c r="T1030" s="2">
        <v>30</v>
      </c>
      <c r="U1030" s="3">
        <v>0.2727</v>
      </c>
      <c r="V1030" s="2">
        <v>14</v>
      </c>
    </row>
    <row r="1031" spans="1:22" x14ac:dyDescent="0.25">
      <c r="A1031" t="s">
        <v>1099</v>
      </c>
      <c r="B1031" s="1">
        <v>45644</v>
      </c>
      <c r="C1031">
        <v>440</v>
      </c>
      <c r="D1031" t="s">
        <v>85</v>
      </c>
      <c r="E1031" t="s">
        <v>24</v>
      </c>
      <c r="F1031" t="s">
        <v>32</v>
      </c>
      <c r="G1031" t="s">
        <v>33</v>
      </c>
      <c r="H1031" t="s">
        <v>34</v>
      </c>
      <c r="I1031" t="s">
        <v>35</v>
      </c>
      <c r="J1031" t="s">
        <v>29</v>
      </c>
      <c r="K1031">
        <v>405</v>
      </c>
      <c r="L1031">
        <v>17</v>
      </c>
      <c r="M1031" s="2">
        <v>123</v>
      </c>
      <c r="N1031" s="2">
        <v>52</v>
      </c>
      <c r="O1031" s="2">
        <v>45</v>
      </c>
      <c r="P1031" s="2">
        <v>26</v>
      </c>
      <c r="Q1031" s="3">
        <v>0.2114</v>
      </c>
      <c r="R1031" s="2">
        <v>110</v>
      </c>
      <c r="S1031" s="2">
        <v>40</v>
      </c>
      <c r="T1031" s="2">
        <v>60</v>
      </c>
      <c r="U1031" s="3">
        <v>0.54549999999999998</v>
      </c>
      <c r="V1031" s="2">
        <v>-34</v>
      </c>
    </row>
    <row r="1032" spans="1:22" x14ac:dyDescent="0.25">
      <c r="A1032" t="s">
        <v>1100</v>
      </c>
      <c r="B1032" s="1">
        <v>45647</v>
      </c>
      <c r="C1032">
        <v>430</v>
      </c>
      <c r="D1032" t="s">
        <v>76</v>
      </c>
      <c r="E1032" t="s">
        <v>45</v>
      </c>
      <c r="F1032" t="s">
        <v>32</v>
      </c>
      <c r="G1032" t="s">
        <v>26</v>
      </c>
      <c r="H1032" t="s">
        <v>38</v>
      </c>
      <c r="I1032" t="s">
        <v>46</v>
      </c>
      <c r="J1032" t="s">
        <v>40</v>
      </c>
      <c r="K1032">
        <v>419</v>
      </c>
      <c r="L1032">
        <v>13</v>
      </c>
      <c r="M1032" s="2">
        <v>114</v>
      </c>
      <c r="N1032" s="2">
        <v>43</v>
      </c>
      <c r="O1032" s="2">
        <v>36</v>
      </c>
      <c r="P1032" s="2">
        <v>42</v>
      </c>
      <c r="Q1032" s="3">
        <v>0.36840000000000001</v>
      </c>
      <c r="R1032" s="2">
        <v>90</v>
      </c>
      <c r="S1032" s="2">
        <v>30</v>
      </c>
      <c r="T1032" s="2">
        <v>50</v>
      </c>
      <c r="U1032" s="3">
        <v>0.55559999999999998</v>
      </c>
      <c r="V1032" s="2">
        <v>-8</v>
      </c>
    </row>
    <row r="1033" spans="1:22" x14ac:dyDescent="0.25">
      <c r="A1033" t="s">
        <v>1101</v>
      </c>
      <c r="B1033" s="1">
        <v>45647</v>
      </c>
      <c r="C1033">
        <v>541</v>
      </c>
      <c r="D1033" t="s">
        <v>71</v>
      </c>
      <c r="E1033" t="s">
        <v>53</v>
      </c>
      <c r="F1033" t="s">
        <v>25</v>
      </c>
      <c r="G1033" t="s">
        <v>33</v>
      </c>
      <c r="H1033" t="s">
        <v>34</v>
      </c>
      <c r="I1033" t="s">
        <v>35</v>
      </c>
      <c r="J1033" t="s">
        <v>29</v>
      </c>
      <c r="K1033">
        <v>509</v>
      </c>
      <c r="L1033">
        <v>47</v>
      </c>
      <c r="M1033" s="2">
        <v>125</v>
      </c>
      <c r="N1033" s="2">
        <v>52</v>
      </c>
      <c r="O1033" s="2">
        <v>77</v>
      </c>
      <c r="P1033" s="2">
        <v>-4</v>
      </c>
      <c r="Q1033" s="3">
        <v>-3.2000000000000001E-2</v>
      </c>
      <c r="R1033" s="2">
        <v>140</v>
      </c>
      <c r="S1033" s="2">
        <v>60</v>
      </c>
      <c r="T1033" s="2">
        <v>10</v>
      </c>
      <c r="U1033" s="3">
        <v>7.1400000000000005E-2</v>
      </c>
      <c r="V1033" s="2">
        <v>-14</v>
      </c>
    </row>
    <row r="1034" spans="1:22" x14ac:dyDescent="0.25">
      <c r="A1034" t="s">
        <v>1102</v>
      </c>
      <c r="B1034" s="1">
        <v>45647</v>
      </c>
      <c r="C1034">
        <v>440</v>
      </c>
      <c r="D1034" t="s">
        <v>85</v>
      </c>
      <c r="E1034" t="s">
        <v>24</v>
      </c>
      <c r="F1034" t="s">
        <v>32</v>
      </c>
      <c r="G1034" t="s">
        <v>33</v>
      </c>
      <c r="H1034" t="s">
        <v>54</v>
      </c>
      <c r="I1034" t="s">
        <v>68</v>
      </c>
      <c r="J1034" t="s">
        <v>29</v>
      </c>
      <c r="K1034">
        <v>1283</v>
      </c>
      <c r="L1034">
        <v>50</v>
      </c>
      <c r="M1034" s="2">
        <v>363</v>
      </c>
      <c r="N1034" s="2">
        <v>181</v>
      </c>
      <c r="O1034" s="2">
        <v>75</v>
      </c>
      <c r="P1034" s="2">
        <v>107</v>
      </c>
      <c r="Q1034" s="3">
        <v>0.29480000000000001</v>
      </c>
      <c r="R1034" s="2">
        <v>460</v>
      </c>
      <c r="S1034" s="2">
        <v>230</v>
      </c>
      <c r="T1034" s="2">
        <v>170</v>
      </c>
      <c r="U1034" s="3">
        <v>0.36959999999999998</v>
      </c>
      <c r="V1034" s="2">
        <v>-63</v>
      </c>
    </row>
    <row r="1035" spans="1:22" x14ac:dyDescent="0.25">
      <c r="A1035" t="s">
        <v>1103</v>
      </c>
      <c r="B1035" s="1">
        <v>45647</v>
      </c>
      <c r="C1035">
        <v>815</v>
      </c>
      <c r="D1035" t="s">
        <v>37</v>
      </c>
      <c r="E1035" t="s">
        <v>24</v>
      </c>
      <c r="F1035" t="s">
        <v>32</v>
      </c>
      <c r="G1035" t="s">
        <v>33</v>
      </c>
      <c r="H1035" t="s">
        <v>34</v>
      </c>
      <c r="I1035" t="s">
        <v>83</v>
      </c>
      <c r="J1035" t="s">
        <v>40</v>
      </c>
      <c r="K1035">
        <v>789</v>
      </c>
      <c r="L1035">
        <v>39</v>
      </c>
      <c r="M1035" s="2">
        <v>318</v>
      </c>
      <c r="N1035" s="2">
        <v>122</v>
      </c>
      <c r="O1035" s="2">
        <v>61</v>
      </c>
      <c r="P1035" s="2">
        <v>171</v>
      </c>
      <c r="Q1035" s="3">
        <v>0.53769999999999996</v>
      </c>
      <c r="R1035" s="2">
        <v>300</v>
      </c>
      <c r="S1035" s="2">
        <v>110</v>
      </c>
      <c r="T1035" s="2">
        <v>160</v>
      </c>
      <c r="U1035" s="3">
        <v>0.5333</v>
      </c>
      <c r="V1035" s="2">
        <v>11</v>
      </c>
    </row>
    <row r="1036" spans="1:22" x14ac:dyDescent="0.25">
      <c r="A1036" t="s">
        <v>1104</v>
      </c>
      <c r="B1036" s="1">
        <v>45647</v>
      </c>
      <c r="C1036">
        <v>435</v>
      </c>
      <c r="D1036" t="s">
        <v>95</v>
      </c>
      <c r="E1036" t="s">
        <v>53</v>
      </c>
      <c r="F1036" t="s">
        <v>25</v>
      </c>
      <c r="G1036" t="s">
        <v>33</v>
      </c>
      <c r="H1036" t="s">
        <v>34</v>
      </c>
      <c r="I1036" t="s">
        <v>35</v>
      </c>
      <c r="J1036" t="s">
        <v>29</v>
      </c>
      <c r="K1036">
        <v>1053</v>
      </c>
      <c r="L1036">
        <v>20</v>
      </c>
      <c r="M1036" s="2">
        <v>142</v>
      </c>
      <c r="N1036" s="2">
        <v>65</v>
      </c>
      <c r="O1036" s="2">
        <v>41</v>
      </c>
      <c r="P1036" s="2">
        <v>36</v>
      </c>
      <c r="Q1036" s="3">
        <v>0.2535</v>
      </c>
      <c r="R1036" s="2">
        <v>200</v>
      </c>
      <c r="S1036" s="2">
        <v>90</v>
      </c>
      <c r="T1036" s="2">
        <v>90</v>
      </c>
      <c r="U1036" s="3">
        <v>0.45</v>
      </c>
      <c r="V1036" s="2">
        <v>-54</v>
      </c>
    </row>
    <row r="1037" spans="1:22" x14ac:dyDescent="0.25">
      <c r="A1037" t="s">
        <v>1105</v>
      </c>
      <c r="B1037" s="1">
        <v>45647</v>
      </c>
      <c r="C1037">
        <v>435</v>
      </c>
      <c r="D1037" t="s">
        <v>95</v>
      </c>
      <c r="E1037" t="s">
        <v>53</v>
      </c>
      <c r="F1037" t="s">
        <v>25</v>
      </c>
      <c r="G1037" t="s">
        <v>33</v>
      </c>
      <c r="H1037" t="s">
        <v>54</v>
      </c>
      <c r="I1037" t="s">
        <v>68</v>
      </c>
      <c r="J1037" t="s">
        <v>29</v>
      </c>
      <c r="K1037">
        <v>564</v>
      </c>
      <c r="L1037">
        <v>33</v>
      </c>
      <c r="M1037" s="2">
        <v>251</v>
      </c>
      <c r="N1037" s="2">
        <v>103</v>
      </c>
      <c r="O1037" s="2">
        <v>46</v>
      </c>
      <c r="P1037" s="2">
        <v>129</v>
      </c>
      <c r="Q1037" s="3">
        <v>0.51390000000000002</v>
      </c>
      <c r="R1037" s="2">
        <v>210</v>
      </c>
      <c r="S1037" s="2">
        <v>80</v>
      </c>
      <c r="T1037" s="2">
        <v>110</v>
      </c>
      <c r="U1037" s="3">
        <v>0.52380000000000004</v>
      </c>
      <c r="V1037" s="2">
        <v>19</v>
      </c>
    </row>
    <row r="1038" spans="1:22" x14ac:dyDescent="0.25">
      <c r="A1038" t="s">
        <v>1106</v>
      </c>
      <c r="B1038" s="1">
        <v>45648</v>
      </c>
      <c r="C1038">
        <v>636</v>
      </c>
      <c r="D1038" t="s">
        <v>58</v>
      </c>
      <c r="E1038" t="s">
        <v>24</v>
      </c>
      <c r="F1038" t="s">
        <v>25</v>
      </c>
      <c r="G1038" t="s">
        <v>26</v>
      </c>
      <c r="H1038" t="s">
        <v>27</v>
      </c>
      <c r="I1038" t="s">
        <v>28</v>
      </c>
      <c r="J1038" t="s">
        <v>29</v>
      </c>
      <c r="K1038">
        <v>244</v>
      </c>
      <c r="L1038">
        <v>12</v>
      </c>
      <c r="M1038" s="2">
        <v>92</v>
      </c>
      <c r="N1038" s="2">
        <v>39</v>
      </c>
      <c r="O1038" s="2">
        <v>40</v>
      </c>
      <c r="P1038" s="2">
        <v>13</v>
      </c>
      <c r="Q1038" s="3">
        <v>0.14130000000000001</v>
      </c>
      <c r="R1038" s="2">
        <v>60</v>
      </c>
      <c r="S1038" s="2">
        <v>20</v>
      </c>
      <c r="T1038" s="2">
        <v>30</v>
      </c>
      <c r="U1038" s="3">
        <v>0.5</v>
      </c>
      <c r="V1038" s="2">
        <v>-17</v>
      </c>
    </row>
    <row r="1039" spans="1:22" x14ac:dyDescent="0.25">
      <c r="A1039" t="s">
        <v>1107</v>
      </c>
      <c r="B1039" s="1">
        <v>45648</v>
      </c>
      <c r="C1039">
        <v>405</v>
      </c>
      <c r="D1039" t="s">
        <v>148</v>
      </c>
      <c r="E1039" t="s">
        <v>45</v>
      </c>
      <c r="F1039" t="s">
        <v>25</v>
      </c>
      <c r="G1039" t="s">
        <v>33</v>
      </c>
      <c r="H1039" t="s">
        <v>54</v>
      </c>
      <c r="I1039" t="s">
        <v>55</v>
      </c>
      <c r="J1039" t="s">
        <v>40</v>
      </c>
      <c r="K1039">
        <v>788</v>
      </c>
      <c r="L1039">
        <v>27</v>
      </c>
      <c r="M1039" s="2">
        <v>205</v>
      </c>
      <c r="N1039" s="2">
        <v>82</v>
      </c>
      <c r="O1039" s="2">
        <v>58</v>
      </c>
      <c r="P1039" s="2">
        <v>65</v>
      </c>
      <c r="Q1039" s="3">
        <v>0.31709999999999999</v>
      </c>
      <c r="R1039" s="2">
        <v>130</v>
      </c>
      <c r="S1039" s="2">
        <v>50</v>
      </c>
      <c r="T1039" s="2">
        <v>60</v>
      </c>
      <c r="U1039" s="3">
        <v>0.46150000000000002</v>
      </c>
      <c r="V1039" s="2">
        <v>5</v>
      </c>
    </row>
    <row r="1040" spans="1:22" x14ac:dyDescent="0.25">
      <c r="A1040" t="s">
        <v>1108</v>
      </c>
      <c r="B1040" s="1">
        <v>45648</v>
      </c>
      <c r="C1040">
        <v>206</v>
      </c>
      <c r="D1040" t="s">
        <v>52</v>
      </c>
      <c r="E1040" t="s">
        <v>53</v>
      </c>
      <c r="F1040" t="s">
        <v>25</v>
      </c>
      <c r="G1040" t="s">
        <v>33</v>
      </c>
      <c r="H1040" t="s">
        <v>54</v>
      </c>
      <c r="I1040" t="s">
        <v>72</v>
      </c>
      <c r="J1040" t="s">
        <v>29</v>
      </c>
      <c r="K1040">
        <v>573</v>
      </c>
      <c r="L1040">
        <v>7</v>
      </c>
      <c r="M1040" s="2">
        <v>54</v>
      </c>
      <c r="N1040" s="2">
        <v>22</v>
      </c>
      <c r="O1040" s="2">
        <v>19</v>
      </c>
      <c r="P1040" s="2">
        <v>15</v>
      </c>
      <c r="Q1040" s="3">
        <v>0.27779999999999999</v>
      </c>
      <c r="R1040" s="2">
        <v>30</v>
      </c>
      <c r="S1040" s="2">
        <v>10</v>
      </c>
      <c r="T1040" s="2">
        <v>20</v>
      </c>
      <c r="U1040" s="3">
        <v>0.66669999999999996</v>
      </c>
      <c r="V1040" s="2">
        <v>-5</v>
      </c>
    </row>
    <row r="1041" spans="1:22" x14ac:dyDescent="0.25">
      <c r="A1041" t="s">
        <v>1109</v>
      </c>
      <c r="B1041" s="1">
        <v>45649</v>
      </c>
      <c r="C1041">
        <v>970</v>
      </c>
      <c r="D1041" t="s">
        <v>31</v>
      </c>
      <c r="E1041" t="s">
        <v>24</v>
      </c>
      <c r="F1041" t="s">
        <v>32</v>
      </c>
      <c r="G1041" t="s">
        <v>26</v>
      </c>
      <c r="H1041" t="s">
        <v>27</v>
      </c>
      <c r="I1041" t="s">
        <v>59</v>
      </c>
      <c r="J1041" t="s">
        <v>29</v>
      </c>
      <c r="K1041">
        <v>561</v>
      </c>
      <c r="L1041">
        <v>29</v>
      </c>
      <c r="M1041" s="2">
        <v>213</v>
      </c>
      <c r="N1041" s="2">
        <v>88</v>
      </c>
      <c r="O1041" s="2">
        <v>42</v>
      </c>
      <c r="P1041" s="2">
        <v>104</v>
      </c>
      <c r="Q1041" s="3">
        <v>0.48830000000000001</v>
      </c>
      <c r="R1041" s="2">
        <v>160</v>
      </c>
      <c r="S1041" s="2">
        <v>70</v>
      </c>
      <c r="T1041" s="2">
        <v>60</v>
      </c>
      <c r="U1041" s="3">
        <v>0.375</v>
      </c>
      <c r="V1041" s="2">
        <v>44</v>
      </c>
    </row>
    <row r="1042" spans="1:22" x14ac:dyDescent="0.25">
      <c r="A1042" t="s">
        <v>1110</v>
      </c>
      <c r="B1042" s="1">
        <v>45650</v>
      </c>
      <c r="C1042">
        <v>516</v>
      </c>
      <c r="D1042" t="s">
        <v>99</v>
      </c>
      <c r="E1042" t="s">
        <v>79</v>
      </c>
      <c r="F1042" t="s">
        <v>32</v>
      </c>
      <c r="G1042" t="s">
        <v>26</v>
      </c>
      <c r="H1042" t="s">
        <v>27</v>
      </c>
      <c r="I1042" t="s">
        <v>28</v>
      </c>
      <c r="J1042" t="s">
        <v>29</v>
      </c>
      <c r="K1042">
        <v>984</v>
      </c>
      <c r="L1042">
        <v>22</v>
      </c>
      <c r="M1042" s="2">
        <v>211</v>
      </c>
      <c r="N1042" s="2">
        <v>81</v>
      </c>
      <c r="O1042" s="2">
        <v>33</v>
      </c>
      <c r="P1042" s="2">
        <v>125</v>
      </c>
      <c r="Q1042" s="3">
        <v>0.59240000000000004</v>
      </c>
      <c r="R1042" s="2">
        <v>200</v>
      </c>
      <c r="S1042" s="2">
        <v>80</v>
      </c>
      <c r="T1042" s="2">
        <v>90</v>
      </c>
      <c r="U1042" s="3">
        <v>0.45</v>
      </c>
      <c r="V1042" s="2">
        <v>35</v>
      </c>
    </row>
    <row r="1043" spans="1:22" x14ac:dyDescent="0.25">
      <c r="A1043" t="s">
        <v>1111</v>
      </c>
      <c r="B1043" s="1">
        <v>45650</v>
      </c>
      <c r="C1043">
        <v>712</v>
      </c>
      <c r="D1043" t="s">
        <v>124</v>
      </c>
      <c r="E1043" t="s">
        <v>24</v>
      </c>
      <c r="F1043" t="s">
        <v>25</v>
      </c>
      <c r="G1043" t="s">
        <v>26</v>
      </c>
      <c r="H1043" t="s">
        <v>38</v>
      </c>
      <c r="I1043" t="s">
        <v>46</v>
      </c>
      <c r="J1043" t="s">
        <v>40</v>
      </c>
      <c r="K1043">
        <v>803</v>
      </c>
      <c r="L1043">
        <v>36</v>
      </c>
      <c r="M1043" s="2">
        <v>278</v>
      </c>
      <c r="N1043" s="2">
        <v>113</v>
      </c>
      <c r="O1043" s="2">
        <v>58</v>
      </c>
      <c r="P1043" s="2">
        <v>107</v>
      </c>
      <c r="Q1043" s="3">
        <v>0.38490000000000002</v>
      </c>
      <c r="R1043" s="2">
        <v>250</v>
      </c>
      <c r="S1043" s="2">
        <v>100</v>
      </c>
      <c r="T1043" s="2">
        <v>100</v>
      </c>
      <c r="U1043" s="3">
        <v>0.4</v>
      </c>
      <c r="V1043" s="2">
        <v>7</v>
      </c>
    </row>
    <row r="1044" spans="1:22" x14ac:dyDescent="0.25">
      <c r="A1044" t="s">
        <v>1112</v>
      </c>
      <c r="B1044" s="1">
        <v>45651</v>
      </c>
      <c r="C1044">
        <v>505</v>
      </c>
      <c r="D1044" t="s">
        <v>44</v>
      </c>
      <c r="E1044" t="s">
        <v>45</v>
      </c>
      <c r="F1044" t="s">
        <v>25</v>
      </c>
      <c r="G1044" t="s">
        <v>33</v>
      </c>
      <c r="H1044" t="s">
        <v>34</v>
      </c>
      <c r="I1044" t="s">
        <v>83</v>
      </c>
      <c r="J1044" t="s">
        <v>40</v>
      </c>
      <c r="K1044">
        <v>1804</v>
      </c>
      <c r="L1044">
        <v>25</v>
      </c>
      <c r="M1044" s="2">
        <v>130</v>
      </c>
      <c r="N1044" s="2">
        <v>82</v>
      </c>
      <c r="O1044" s="2">
        <v>48</v>
      </c>
      <c r="P1044" s="2">
        <v>-12</v>
      </c>
      <c r="Q1044" s="3">
        <v>-9.2299999999999993E-2</v>
      </c>
      <c r="R1044" s="2">
        <v>140</v>
      </c>
      <c r="S1044" s="2">
        <v>90</v>
      </c>
      <c r="T1044" s="2">
        <v>10</v>
      </c>
      <c r="U1044" s="3">
        <v>7.1400000000000005E-2</v>
      </c>
      <c r="V1044" s="2">
        <v>-22</v>
      </c>
    </row>
    <row r="1045" spans="1:22" x14ac:dyDescent="0.25">
      <c r="A1045" t="s">
        <v>1113</v>
      </c>
      <c r="B1045" s="1">
        <v>45651</v>
      </c>
      <c r="C1045">
        <v>603</v>
      </c>
      <c r="D1045" t="s">
        <v>109</v>
      </c>
      <c r="E1045" t="s">
        <v>79</v>
      </c>
      <c r="F1045" t="s">
        <v>25</v>
      </c>
      <c r="G1045" t="s">
        <v>26</v>
      </c>
      <c r="H1045" t="s">
        <v>38</v>
      </c>
      <c r="I1045" t="s">
        <v>46</v>
      </c>
      <c r="J1045" t="s">
        <v>40</v>
      </c>
      <c r="K1045">
        <v>243</v>
      </c>
      <c r="L1045">
        <v>12</v>
      </c>
      <c r="M1045" s="2">
        <v>79</v>
      </c>
      <c r="N1045" s="2">
        <v>33</v>
      </c>
      <c r="O1045" s="2">
        <v>45</v>
      </c>
      <c r="P1045" s="2">
        <v>-6</v>
      </c>
      <c r="Q1045" s="3">
        <v>-7.5899999999999995E-2</v>
      </c>
      <c r="R1045" s="2">
        <v>50</v>
      </c>
      <c r="S1045" s="2">
        <v>20</v>
      </c>
      <c r="T1045" s="2">
        <v>0</v>
      </c>
      <c r="U1045" s="3">
        <v>0</v>
      </c>
      <c r="V1045" s="2">
        <v>-6</v>
      </c>
    </row>
    <row r="1046" spans="1:22" x14ac:dyDescent="0.25">
      <c r="A1046" t="s">
        <v>1114</v>
      </c>
      <c r="B1046" s="1">
        <v>45651</v>
      </c>
      <c r="C1046">
        <v>740</v>
      </c>
      <c r="D1046" t="s">
        <v>85</v>
      </c>
      <c r="E1046" t="s">
        <v>24</v>
      </c>
      <c r="F1046" t="s">
        <v>32</v>
      </c>
      <c r="G1046" t="s">
        <v>33</v>
      </c>
      <c r="H1046" t="s">
        <v>54</v>
      </c>
      <c r="I1046" t="s">
        <v>55</v>
      </c>
      <c r="J1046" t="s">
        <v>40</v>
      </c>
      <c r="K1046">
        <v>422</v>
      </c>
      <c r="L1046">
        <v>17</v>
      </c>
      <c r="M1046" s="2">
        <v>103</v>
      </c>
      <c r="N1046" s="2">
        <v>46</v>
      </c>
      <c r="O1046" s="2">
        <v>51</v>
      </c>
      <c r="P1046" s="2">
        <v>6</v>
      </c>
      <c r="Q1046" s="3">
        <v>5.8299999999999998E-2</v>
      </c>
      <c r="R1046" s="2">
        <v>130</v>
      </c>
      <c r="S1046" s="2">
        <v>50</v>
      </c>
      <c r="T1046" s="2">
        <v>40</v>
      </c>
      <c r="U1046" s="3">
        <v>0.30769999999999997</v>
      </c>
      <c r="V1046" s="2">
        <v>-34</v>
      </c>
    </row>
    <row r="1047" spans="1:22" x14ac:dyDescent="0.25">
      <c r="A1047" t="s">
        <v>1115</v>
      </c>
      <c r="B1047" s="1">
        <v>45651</v>
      </c>
      <c r="C1047">
        <v>509</v>
      </c>
      <c r="D1047" t="s">
        <v>52</v>
      </c>
      <c r="E1047" t="s">
        <v>53</v>
      </c>
      <c r="F1047" t="s">
        <v>25</v>
      </c>
      <c r="G1047" t="s">
        <v>33</v>
      </c>
      <c r="H1047" t="s">
        <v>54</v>
      </c>
      <c r="I1047" t="s">
        <v>68</v>
      </c>
      <c r="J1047" t="s">
        <v>29</v>
      </c>
      <c r="K1047">
        <v>403</v>
      </c>
      <c r="L1047">
        <v>24</v>
      </c>
      <c r="M1047" s="2">
        <v>145</v>
      </c>
      <c r="N1047" s="2">
        <v>65</v>
      </c>
      <c r="O1047" s="2">
        <v>57</v>
      </c>
      <c r="P1047" s="2">
        <v>23</v>
      </c>
      <c r="Q1047" s="3">
        <v>0.15859999999999999</v>
      </c>
      <c r="R1047" s="2">
        <v>140</v>
      </c>
      <c r="S1047" s="2">
        <v>60</v>
      </c>
      <c r="T1047" s="2">
        <v>30</v>
      </c>
      <c r="U1047" s="3">
        <v>0.21429999999999999</v>
      </c>
      <c r="V1047" s="2">
        <v>-7</v>
      </c>
    </row>
    <row r="1048" spans="1:22" x14ac:dyDescent="0.25">
      <c r="A1048" t="s">
        <v>1116</v>
      </c>
      <c r="B1048" s="1">
        <v>45651</v>
      </c>
      <c r="C1048">
        <v>504</v>
      </c>
      <c r="D1048" t="s">
        <v>49</v>
      </c>
      <c r="E1048" t="s">
        <v>45</v>
      </c>
      <c r="F1048" t="s">
        <v>25</v>
      </c>
      <c r="G1048" t="s">
        <v>26</v>
      </c>
      <c r="H1048" t="s">
        <v>38</v>
      </c>
      <c r="I1048" t="s">
        <v>46</v>
      </c>
      <c r="J1048" t="s">
        <v>40</v>
      </c>
      <c r="K1048">
        <v>593</v>
      </c>
      <c r="L1048">
        <v>30</v>
      </c>
      <c r="M1048" s="2">
        <v>177</v>
      </c>
      <c r="N1048" s="2">
        <v>79</v>
      </c>
      <c r="O1048" s="2">
        <v>64</v>
      </c>
      <c r="P1048" s="2">
        <v>34</v>
      </c>
      <c r="Q1048" s="3">
        <v>0.19209999999999999</v>
      </c>
      <c r="R1048" s="2">
        <v>150</v>
      </c>
      <c r="S1048" s="2">
        <v>60</v>
      </c>
      <c r="T1048" s="2">
        <v>60</v>
      </c>
      <c r="U1048" s="3">
        <v>0.4</v>
      </c>
      <c r="V1048" s="2">
        <v>-26</v>
      </c>
    </row>
    <row r="1049" spans="1:22" x14ac:dyDescent="0.25">
      <c r="A1049" t="s">
        <v>1117</v>
      </c>
      <c r="B1049" s="1">
        <v>45652</v>
      </c>
      <c r="C1049">
        <v>603</v>
      </c>
      <c r="D1049" t="s">
        <v>109</v>
      </c>
      <c r="E1049" t="s">
        <v>79</v>
      </c>
      <c r="F1049" t="s">
        <v>25</v>
      </c>
      <c r="G1049" t="s">
        <v>33</v>
      </c>
      <c r="H1049" t="s">
        <v>54</v>
      </c>
      <c r="I1049" t="s">
        <v>68</v>
      </c>
      <c r="J1049" t="s">
        <v>29</v>
      </c>
      <c r="K1049">
        <v>320</v>
      </c>
      <c r="L1049">
        <v>41</v>
      </c>
      <c r="M1049" s="2">
        <v>109</v>
      </c>
      <c r="N1049" s="2">
        <v>45</v>
      </c>
      <c r="O1049" s="2">
        <v>71</v>
      </c>
      <c r="P1049" s="2">
        <v>-7</v>
      </c>
      <c r="Q1049" s="3">
        <v>-6.4199999999999993E-2</v>
      </c>
      <c r="R1049" s="2">
        <v>90</v>
      </c>
      <c r="S1049" s="2">
        <v>30</v>
      </c>
      <c r="T1049" s="2">
        <v>30</v>
      </c>
      <c r="U1049" s="3">
        <v>0.33329999999999999</v>
      </c>
      <c r="V1049" s="2">
        <v>-37</v>
      </c>
    </row>
    <row r="1050" spans="1:22" x14ac:dyDescent="0.25">
      <c r="A1050" t="s">
        <v>1118</v>
      </c>
      <c r="B1050" s="1">
        <v>45652</v>
      </c>
      <c r="C1050">
        <v>937</v>
      </c>
      <c r="D1050" t="s">
        <v>85</v>
      </c>
      <c r="E1050" t="s">
        <v>24</v>
      </c>
      <c r="F1050" t="s">
        <v>32</v>
      </c>
      <c r="G1050" t="s">
        <v>26</v>
      </c>
      <c r="H1050" t="s">
        <v>38</v>
      </c>
      <c r="I1050" t="s">
        <v>39</v>
      </c>
      <c r="J1050" t="s">
        <v>40</v>
      </c>
      <c r="K1050">
        <v>480</v>
      </c>
      <c r="L1050">
        <v>5</v>
      </c>
      <c r="M1050" s="2">
        <v>53</v>
      </c>
      <c r="N1050" s="2">
        <v>21</v>
      </c>
      <c r="O1050" s="2">
        <v>16</v>
      </c>
      <c r="P1050" s="2">
        <v>16</v>
      </c>
      <c r="Q1050" s="3">
        <v>0.3019</v>
      </c>
      <c r="R1050" s="2">
        <v>30</v>
      </c>
      <c r="S1050" s="2">
        <v>0</v>
      </c>
      <c r="T1050" s="2">
        <v>30</v>
      </c>
      <c r="U1050" s="3">
        <v>1</v>
      </c>
      <c r="V1050" s="2">
        <v>-14</v>
      </c>
    </row>
    <row r="1051" spans="1:22" x14ac:dyDescent="0.25">
      <c r="A1051" t="s">
        <v>1119</v>
      </c>
      <c r="B1051" s="1">
        <v>45652</v>
      </c>
      <c r="C1051">
        <v>972</v>
      </c>
      <c r="D1051" t="s">
        <v>76</v>
      </c>
      <c r="E1051" t="s">
        <v>45</v>
      </c>
      <c r="F1051" t="s">
        <v>32</v>
      </c>
      <c r="G1051" t="s">
        <v>33</v>
      </c>
      <c r="H1051" t="s">
        <v>34</v>
      </c>
      <c r="I1051" t="s">
        <v>50</v>
      </c>
      <c r="J1051" t="s">
        <v>29</v>
      </c>
      <c r="K1051">
        <v>1321</v>
      </c>
      <c r="L1051">
        <v>74</v>
      </c>
      <c r="M1051" s="2">
        <v>525</v>
      </c>
      <c r="N1051" s="2">
        <v>241</v>
      </c>
      <c r="O1051" s="2">
        <v>96</v>
      </c>
      <c r="P1051" s="2">
        <v>188</v>
      </c>
      <c r="Q1051" s="3">
        <v>0.35809999999999997</v>
      </c>
      <c r="R1051" s="2">
        <v>620</v>
      </c>
      <c r="S1051" s="2">
        <v>280</v>
      </c>
      <c r="T1051" s="2">
        <v>240</v>
      </c>
      <c r="U1051" s="3">
        <v>0.3871</v>
      </c>
      <c r="V1051" s="2">
        <v>-52</v>
      </c>
    </row>
    <row r="1052" spans="1:22" x14ac:dyDescent="0.25">
      <c r="A1052" t="s">
        <v>1120</v>
      </c>
      <c r="B1052" s="1">
        <v>45652</v>
      </c>
      <c r="C1052">
        <v>786</v>
      </c>
      <c r="D1052" t="s">
        <v>117</v>
      </c>
      <c r="E1052" t="s">
        <v>79</v>
      </c>
      <c r="F1052" t="s">
        <v>32</v>
      </c>
      <c r="G1052" t="s">
        <v>33</v>
      </c>
      <c r="H1052" t="s">
        <v>34</v>
      </c>
      <c r="I1052" t="s">
        <v>50</v>
      </c>
      <c r="J1052" t="s">
        <v>29</v>
      </c>
      <c r="K1052">
        <v>798</v>
      </c>
      <c r="L1052">
        <v>25</v>
      </c>
      <c r="M1052" s="2">
        <v>210</v>
      </c>
      <c r="N1052" s="2">
        <v>78</v>
      </c>
      <c r="O1052" s="2">
        <v>56</v>
      </c>
      <c r="P1052" s="2">
        <v>93</v>
      </c>
      <c r="Q1052" s="3">
        <v>0.44290000000000002</v>
      </c>
      <c r="R1052" s="2">
        <v>170</v>
      </c>
      <c r="S1052" s="2">
        <v>70</v>
      </c>
      <c r="T1052" s="2">
        <v>60</v>
      </c>
      <c r="U1052" s="3">
        <v>0.35289999999999999</v>
      </c>
      <c r="V1052" s="2">
        <v>33</v>
      </c>
    </row>
    <row r="1053" spans="1:22" x14ac:dyDescent="0.25">
      <c r="A1053" t="s">
        <v>1121</v>
      </c>
      <c r="B1053" s="1">
        <v>45652</v>
      </c>
      <c r="C1053">
        <v>917</v>
      </c>
      <c r="D1053" t="s">
        <v>99</v>
      </c>
      <c r="E1053" t="s">
        <v>79</v>
      </c>
      <c r="F1053" t="s">
        <v>32</v>
      </c>
      <c r="G1053" t="s">
        <v>33</v>
      </c>
      <c r="H1053" t="s">
        <v>54</v>
      </c>
      <c r="I1053" t="s">
        <v>101</v>
      </c>
      <c r="J1053" t="s">
        <v>29</v>
      </c>
      <c r="K1053">
        <v>933</v>
      </c>
      <c r="L1053">
        <v>59</v>
      </c>
      <c r="M1053" s="2">
        <v>719</v>
      </c>
      <c r="N1053" s="2">
        <v>211</v>
      </c>
      <c r="O1053" s="2">
        <v>83</v>
      </c>
      <c r="P1053" s="2">
        <v>565</v>
      </c>
      <c r="Q1053" s="3">
        <v>0.78580000000000005</v>
      </c>
      <c r="R1053" s="2">
        <v>660</v>
      </c>
      <c r="S1053" s="2">
        <v>200</v>
      </c>
      <c r="T1053" s="2">
        <v>390</v>
      </c>
      <c r="U1053" s="3">
        <v>0.59089999999999998</v>
      </c>
      <c r="V1053" s="2">
        <v>175</v>
      </c>
    </row>
    <row r="1054" spans="1:22" x14ac:dyDescent="0.25">
      <c r="A1054" t="s">
        <v>1122</v>
      </c>
      <c r="B1054" s="1">
        <v>45652</v>
      </c>
      <c r="C1054">
        <v>435</v>
      </c>
      <c r="D1054" t="s">
        <v>95</v>
      </c>
      <c r="E1054" t="s">
        <v>53</v>
      </c>
      <c r="F1054" t="s">
        <v>25</v>
      </c>
      <c r="G1054" t="s">
        <v>33</v>
      </c>
      <c r="H1054" t="s">
        <v>34</v>
      </c>
      <c r="I1054" t="s">
        <v>35</v>
      </c>
      <c r="J1054" t="s">
        <v>29</v>
      </c>
      <c r="K1054">
        <v>1075</v>
      </c>
      <c r="L1054">
        <v>19</v>
      </c>
      <c r="M1054" s="2">
        <v>148</v>
      </c>
      <c r="N1054" s="2">
        <v>63</v>
      </c>
      <c r="O1054" s="2">
        <v>40</v>
      </c>
      <c r="P1054" s="2">
        <v>53</v>
      </c>
      <c r="Q1054" s="3">
        <v>0.35809999999999997</v>
      </c>
      <c r="R1054" s="2">
        <v>160</v>
      </c>
      <c r="S1054" s="2">
        <v>70</v>
      </c>
      <c r="T1054" s="2">
        <v>50</v>
      </c>
      <c r="U1054" s="3">
        <v>0.3125</v>
      </c>
      <c r="V1054" s="2">
        <v>3</v>
      </c>
    </row>
    <row r="1055" spans="1:22" x14ac:dyDescent="0.25">
      <c r="A1055" t="s">
        <v>1123</v>
      </c>
      <c r="B1055" s="1">
        <v>45653</v>
      </c>
      <c r="C1055">
        <v>262</v>
      </c>
      <c r="D1055" t="s">
        <v>23</v>
      </c>
      <c r="E1055" t="s">
        <v>24</v>
      </c>
      <c r="F1055" t="s">
        <v>25</v>
      </c>
      <c r="G1055" t="s">
        <v>33</v>
      </c>
      <c r="H1055" t="s">
        <v>34</v>
      </c>
      <c r="I1055" t="s">
        <v>35</v>
      </c>
      <c r="J1055" t="s">
        <v>29</v>
      </c>
      <c r="K1055">
        <v>391</v>
      </c>
      <c r="L1055">
        <v>20</v>
      </c>
      <c r="M1055" s="2">
        <v>129</v>
      </c>
      <c r="N1055" s="2">
        <v>54</v>
      </c>
      <c r="O1055" s="2">
        <v>53</v>
      </c>
      <c r="P1055" s="2">
        <v>21</v>
      </c>
      <c r="Q1055" s="3">
        <v>0.1628</v>
      </c>
      <c r="R1055" s="2">
        <v>110</v>
      </c>
      <c r="S1055" s="2">
        <v>50</v>
      </c>
      <c r="T1055" s="2">
        <v>20</v>
      </c>
      <c r="U1055" s="3">
        <v>0.18179999999999999</v>
      </c>
      <c r="V1055" s="2">
        <v>1</v>
      </c>
    </row>
    <row r="1056" spans="1:22" x14ac:dyDescent="0.25">
      <c r="A1056" t="s">
        <v>1124</v>
      </c>
      <c r="B1056" s="1">
        <v>45653</v>
      </c>
      <c r="C1056">
        <v>407</v>
      </c>
      <c r="D1056" t="s">
        <v>117</v>
      </c>
      <c r="E1056" t="s">
        <v>79</v>
      </c>
      <c r="F1056" t="s">
        <v>32</v>
      </c>
      <c r="G1056" t="s">
        <v>26</v>
      </c>
      <c r="H1056" t="s">
        <v>38</v>
      </c>
      <c r="I1056" t="s">
        <v>66</v>
      </c>
      <c r="J1056" t="s">
        <v>40</v>
      </c>
      <c r="K1056">
        <v>1079</v>
      </c>
      <c r="L1056">
        <v>24</v>
      </c>
      <c r="M1056" s="2">
        <v>188</v>
      </c>
      <c r="N1056" s="2">
        <v>80</v>
      </c>
      <c r="O1056" s="2">
        <v>46</v>
      </c>
      <c r="P1056" s="2">
        <v>74</v>
      </c>
      <c r="Q1056" s="3">
        <v>0.39360000000000001</v>
      </c>
      <c r="R1056" s="2">
        <v>120</v>
      </c>
      <c r="S1056" s="2">
        <v>60</v>
      </c>
      <c r="T1056" s="2">
        <v>30</v>
      </c>
      <c r="U1056" s="3">
        <v>0.25</v>
      </c>
      <c r="V1056" s="2">
        <v>44</v>
      </c>
    </row>
    <row r="1057" spans="1:22" x14ac:dyDescent="0.25">
      <c r="A1057" t="s">
        <v>1125</v>
      </c>
      <c r="B1057" s="1">
        <v>45653</v>
      </c>
      <c r="C1057">
        <v>505</v>
      </c>
      <c r="D1057" t="s">
        <v>44</v>
      </c>
      <c r="E1057" t="s">
        <v>45</v>
      </c>
      <c r="F1057" t="s">
        <v>25</v>
      </c>
      <c r="G1057" t="s">
        <v>33</v>
      </c>
      <c r="H1057" t="s">
        <v>34</v>
      </c>
      <c r="I1057" t="s">
        <v>83</v>
      </c>
      <c r="J1057" t="s">
        <v>40</v>
      </c>
      <c r="K1057">
        <v>1698</v>
      </c>
      <c r="L1057">
        <v>26</v>
      </c>
      <c r="M1057" s="2">
        <v>109</v>
      </c>
      <c r="N1057" s="2">
        <v>86</v>
      </c>
      <c r="O1057" s="2">
        <v>49</v>
      </c>
      <c r="P1057" s="2">
        <v>-26</v>
      </c>
      <c r="Q1057" s="3">
        <v>-0.23849999999999999</v>
      </c>
      <c r="R1057" s="2">
        <v>150</v>
      </c>
      <c r="S1057" s="2">
        <v>110</v>
      </c>
      <c r="T1057" s="2">
        <v>10</v>
      </c>
      <c r="U1057" s="3">
        <v>6.6699999999999995E-2</v>
      </c>
      <c r="V1057" s="2">
        <v>-36</v>
      </c>
    </row>
    <row r="1058" spans="1:22" x14ac:dyDescent="0.25">
      <c r="A1058" t="s">
        <v>1126</v>
      </c>
      <c r="B1058" s="1">
        <v>45653</v>
      </c>
      <c r="C1058">
        <v>541</v>
      </c>
      <c r="D1058" t="s">
        <v>71</v>
      </c>
      <c r="E1058" t="s">
        <v>53</v>
      </c>
      <c r="F1058" t="s">
        <v>25</v>
      </c>
      <c r="G1058" t="s">
        <v>26</v>
      </c>
      <c r="H1058" t="s">
        <v>38</v>
      </c>
      <c r="I1058" t="s">
        <v>46</v>
      </c>
      <c r="J1058" t="s">
        <v>40</v>
      </c>
      <c r="K1058">
        <v>572</v>
      </c>
      <c r="L1058">
        <v>29</v>
      </c>
      <c r="M1058" s="2">
        <v>218</v>
      </c>
      <c r="N1058" s="2">
        <v>90</v>
      </c>
      <c r="O1058" s="2">
        <v>42</v>
      </c>
      <c r="P1058" s="2">
        <v>108</v>
      </c>
      <c r="Q1058" s="3">
        <v>0.49540000000000001</v>
      </c>
      <c r="R1058" s="2">
        <v>160</v>
      </c>
      <c r="S1058" s="2">
        <v>60</v>
      </c>
      <c r="T1058" s="2">
        <v>90</v>
      </c>
      <c r="U1058" s="3">
        <v>0.5625</v>
      </c>
      <c r="V1058" s="2">
        <v>18</v>
      </c>
    </row>
    <row r="1059" spans="1:22" x14ac:dyDescent="0.25">
      <c r="A1059" t="s">
        <v>1127</v>
      </c>
      <c r="B1059" s="1">
        <v>45653</v>
      </c>
      <c r="C1059">
        <v>775</v>
      </c>
      <c r="D1059" t="s">
        <v>65</v>
      </c>
      <c r="E1059" t="s">
        <v>53</v>
      </c>
      <c r="F1059" t="s">
        <v>25</v>
      </c>
      <c r="G1059" t="s">
        <v>26</v>
      </c>
      <c r="H1059" t="s">
        <v>38</v>
      </c>
      <c r="I1059" t="s">
        <v>66</v>
      </c>
      <c r="J1059" t="s">
        <v>40</v>
      </c>
      <c r="K1059">
        <v>830</v>
      </c>
      <c r="L1059">
        <v>40</v>
      </c>
      <c r="M1059" s="2">
        <v>332</v>
      </c>
      <c r="N1059" s="2">
        <v>127</v>
      </c>
      <c r="O1059" s="2">
        <v>63</v>
      </c>
      <c r="P1059" s="2">
        <v>181</v>
      </c>
      <c r="Q1059" s="3">
        <v>0.54520000000000002</v>
      </c>
      <c r="R1059" s="2">
        <v>290</v>
      </c>
      <c r="S1059" s="2">
        <v>120</v>
      </c>
      <c r="T1059" s="2">
        <v>120</v>
      </c>
      <c r="U1059" s="3">
        <v>0.4138</v>
      </c>
      <c r="V1059" s="2">
        <v>61</v>
      </c>
    </row>
    <row r="1060" spans="1:22" x14ac:dyDescent="0.25">
      <c r="A1060" t="s">
        <v>1128</v>
      </c>
      <c r="B1060" s="1">
        <v>45654</v>
      </c>
      <c r="C1060">
        <v>715</v>
      </c>
      <c r="D1060" t="s">
        <v>23</v>
      </c>
      <c r="E1060" t="s">
        <v>24</v>
      </c>
      <c r="F1060" t="s">
        <v>25</v>
      </c>
      <c r="G1060" t="s">
        <v>26</v>
      </c>
      <c r="H1060" t="s">
        <v>38</v>
      </c>
      <c r="I1060" t="s">
        <v>46</v>
      </c>
      <c r="J1060" t="s">
        <v>40</v>
      </c>
      <c r="K1060">
        <v>863</v>
      </c>
      <c r="L1060">
        <v>9</v>
      </c>
      <c r="M1060" s="2">
        <v>85</v>
      </c>
      <c r="N1060" s="2">
        <v>34</v>
      </c>
      <c r="O1060" s="2">
        <v>21</v>
      </c>
      <c r="P1060" s="2">
        <v>30</v>
      </c>
      <c r="Q1060" s="3">
        <v>0.35289999999999999</v>
      </c>
      <c r="R1060" s="2">
        <v>70</v>
      </c>
      <c r="S1060" s="2">
        <v>30</v>
      </c>
      <c r="T1060" s="2">
        <v>30</v>
      </c>
      <c r="U1060" s="3">
        <v>0.42859999999999998</v>
      </c>
      <c r="V1060" s="2">
        <v>0</v>
      </c>
    </row>
    <row r="1061" spans="1:22" x14ac:dyDescent="0.25">
      <c r="A1061" t="s">
        <v>1129</v>
      </c>
      <c r="B1061" s="1">
        <v>45654</v>
      </c>
      <c r="C1061">
        <v>608</v>
      </c>
      <c r="D1061" t="s">
        <v>23</v>
      </c>
      <c r="E1061" t="s">
        <v>24</v>
      </c>
      <c r="F1061" t="s">
        <v>25</v>
      </c>
      <c r="G1061" t="s">
        <v>33</v>
      </c>
      <c r="H1061" t="s">
        <v>54</v>
      </c>
      <c r="I1061" t="s">
        <v>55</v>
      </c>
      <c r="J1061" t="s">
        <v>40</v>
      </c>
      <c r="K1061">
        <v>567</v>
      </c>
      <c r="L1061">
        <v>7</v>
      </c>
      <c r="M1061" s="2">
        <v>60</v>
      </c>
      <c r="N1061" s="2">
        <v>24</v>
      </c>
      <c r="O1061" s="2">
        <v>19</v>
      </c>
      <c r="P1061" s="2">
        <v>19</v>
      </c>
      <c r="Q1061" s="3">
        <v>0.31669999999999998</v>
      </c>
      <c r="R1061" s="2">
        <v>70</v>
      </c>
      <c r="S1061" s="2">
        <v>30</v>
      </c>
      <c r="T1061" s="2">
        <v>30</v>
      </c>
      <c r="U1061" s="3">
        <v>0.42859999999999998</v>
      </c>
      <c r="V1061" s="2">
        <v>-11</v>
      </c>
    </row>
    <row r="1062" spans="1:22" x14ac:dyDescent="0.25">
      <c r="A1062" t="s">
        <v>1130</v>
      </c>
      <c r="B1062" s="1">
        <v>45654</v>
      </c>
      <c r="C1062">
        <v>603</v>
      </c>
      <c r="D1062" t="s">
        <v>109</v>
      </c>
      <c r="E1062" t="s">
        <v>79</v>
      </c>
      <c r="F1062" t="s">
        <v>25</v>
      </c>
      <c r="G1062" t="s">
        <v>26</v>
      </c>
      <c r="H1062" t="s">
        <v>27</v>
      </c>
      <c r="I1062" t="s">
        <v>28</v>
      </c>
      <c r="J1062" t="s">
        <v>29</v>
      </c>
      <c r="K1062">
        <v>851</v>
      </c>
      <c r="L1062">
        <v>4</v>
      </c>
      <c r="M1062" s="2">
        <v>44</v>
      </c>
      <c r="N1062" s="2">
        <v>16</v>
      </c>
      <c r="O1062" s="2">
        <v>15</v>
      </c>
      <c r="P1062" s="2">
        <v>15</v>
      </c>
      <c r="Q1062" s="3">
        <v>0.34089999999999998</v>
      </c>
      <c r="R1062" s="2">
        <v>40</v>
      </c>
      <c r="S1062" s="2">
        <v>10</v>
      </c>
      <c r="T1062" s="2">
        <v>20</v>
      </c>
      <c r="U1062" s="3">
        <v>0.5</v>
      </c>
      <c r="V1062" s="2">
        <v>-5</v>
      </c>
    </row>
    <row r="1063" spans="1:22" x14ac:dyDescent="0.25">
      <c r="A1063" t="s">
        <v>1131</v>
      </c>
      <c r="B1063" s="1">
        <v>45654</v>
      </c>
      <c r="C1063">
        <v>845</v>
      </c>
      <c r="D1063" t="s">
        <v>99</v>
      </c>
      <c r="E1063" t="s">
        <v>79</v>
      </c>
      <c r="F1063" t="s">
        <v>32</v>
      </c>
      <c r="G1063" t="s">
        <v>26</v>
      </c>
      <c r="H1063" t="s">
        <v>38</v>
      </c>
      <c r="I1063" t="s">
        <v>46</v>
      </c>
      <c r="J1063" t="s">
        <v>40</v>
      </c>
      <c r="K1063">
        <v>1622</v>
      </c>
      <c r="L1063">
        <v>96</v>
      </c>
      <c r="M1063" s="2">
        <v>513</v>
      </c>
      <c r="N1063" s="2">
        <v>255</v>
      </c>
      <c r="O1063" s="2">
        <v>129</v>
      </c>
      <c r="P1063" s="2">
        <v>129</v>
      </c>
      <c r="Q1063" s="3">
        <v>0.2515</v>
      </c>
      <c r="R1063" s="2">
        <v>290</v>
      </c>
      <c r="S1063" s="2">
        <v>140</v>
      </c>
      <c r="T1063" s="2">
        <v>70</v>
      </c>
      <c r="U1063" s="3">
        <v>0.2414</v>
      </c>
      <c r="V1063" s="2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12D6A-2F1F-4975-B2FF-33385EDB4D56}">
  <dimension ref="B1:P42"/>
  <sheetViews>
    <sheetView tabSelected="1" zoomScale="80" zoomScaleNormal="80" workbookViewId="0">
      <selection activeCell="O29" sqref="O29"/>
    </sheetView>
  </sheetViews>
  <sheetFormatPr defaultRowHeight="15" x14ac:dyDescent="0.25"/>
  <cols>
    <col min="2" max="2" width="12.5703125" bestFit="1" customWidth="1"/>
    <col min="3" max="3" width="13.140625" bestFit="1" customWidth="1"/>
    <col min="4" max="4" width="12.140625" bestFit="1" customWidth="1"/>
    <col min="5" max="5" width="16.5703125" bestFit="1" customWidth="1"/>
    <col min="6" max="7" width="12.140625" bestFit="1" customWidth="1"/>
    <col min="8" max="8" width="14.140625" customWidth="1"/>
    <col min="9" max="9" width="12.140625" bestFit="1" customWidth="1"/>
    <col min="10" max="10" width="13.28515625" bestFit="1" customWidth="1"/>
    <col min="11" max="11" width="10.85546875" bestFit="1" customWidth="1"/>
    <col min="12" max="12" width="11.7109375" bestFit="1" customWidth="1"/>
    <col min="13" max="16" width="9.85546875" bestFit="1" customWidth="1"/>
    <col min="17" max="17" width="10.140625" bestFit="1" customWidth="1"/>
    <col min="18" max="18" width="14.140625" bestFit="1" customWidth="1"/>
    <col min="19" max="19" width="10" bestFit="1" customWidth="1"/>
    <col min="20" max="20" width="11.5703125" bestFit="1" customWidth="1"/>
    <col min="21" max="22" width="9.85546875" bestFit="1" customWidth="1"/>
    <col min="23" max="23" width="12.140625" bestFit="1" customWidth="1"/>
    <col min="24" max="24" width="15.28515625" bestFit="1" customWidth="1"/>
    <col min="25" max="25" width="11.85546875" bestFit="1" customWidth="1"/>
    <col min="26" max="161" width="16.28515625" bestFit="1" customWidth="1"/>
    <col min="162" max="162" width="11.85546875" bestFit="1" customWidth="1"/>
    <col min="163" max="310" width="10.5703125" bestFit="1" customWidth="1"/>
    <col min="311" max="311" width="13.7109375" bestFit="1" customWidth="1"/>
    <col min="312" max="472" width="12.28515625" bestFit="1" customWidth="1"/>
    <col min="473" max="473" width="15.42578125" bestFit="1" customWidth="1"/>
    <col min="474" max="595" width="8.28515625" bestFit="1" customWidth="1"/>
    <col min="596" max="596" width="9" bestFit="1" customWidth="1"/>
    <col min="597" max="597" width="11.28515625" bestFit="1" customWidth="1"/>
    <col min="598" max="598" width="11.5703125" bestFit="1" customWidth="1"/>
    <col min="599" max="599" width="14.7109375" bestFit="1" customWidth="1"/>
    <col min="600" max="600" width="11.5703125" bestFit="1" customWidth="1"/>
    <col min="601" max="601" width="14.7109375" bestFit="1" customWidth="1"/>
    <col min="602" max="602" width="11.5703125" bestFit="1" customWidth="1"/>
    <col min="603" max="603" width="14.7109375" bestFit="1" customWidth="1"/>
    <col min="604" max="604" width="11.5703125" bestFit="1" customWidth="1"/>
    <col min="605" max="605" width="14.7109375" bestFit="1" customWidth="1"/>
    <col min="606" max="606" width="12.5703125" bestFit="1" customWidth="1"/>
    <col min="607" max="607" width="15.7109375" bestFit="1" customWidth="1"/>
    <col min="608" max="608" width="12.5703125" bestFit="1" customWidth="1"/>
    <col min="609" max="609" width="15.7109375" bestFit="1" customWidth="1"/>
    <col min="610" max="610" width="12.5703125" bestFit="1" customWidth="1"/>
    <col min="611" max="611" width="15.7109375" bestFit="1" customWidth="1"/>
    <col min="612" max="612" width="12.5703125" bestFit="1" customWidth="1"/>
    <col min="613" max="613" width="15.7109375" bestFit="1" customWidth="1"/>
    <col min="614" max="614" width="12.5703125" bestFit="1" customWidth="1"/>
    <col min="615" max="615" width="15.7109375" bestFit="1" customWidth="1"/>
    <col min="616" max="616" width="12.5703125" bestFit="1" customWidth="1"/>
    <col min="617" max="617" width="15.7109375" bestFit="1" customWidth="1"/>
    <col min="618" max="618" width="12.5703125" bestFit="1" customWidth="1"/>
    <col min="619" max="619" width="15.7109375" bestFit="1" customWidth="1"/>
    <col min="620" max="620" width="12.5703125" bestFit="1" customWidth="1"/>
    <col min="621" max="621" width="15.7109375" bestFit="1" customWidth="1"/>
    <col min="622" max="622" width="12.5703125" bestFit="1" customWidth="1"/>
    <col min="623" max="623" width="15.7109375" bestFit="1" customWidth="1"/>
    <col min="624" max="624" width="12.5703125" bestFit="1" customWidth="1"/>
    <col min="625" max="625" width="15.7109375" bestFit="1" customWidth="1"/>
    <col min="626" max="626" width="12.5703125" bestFit="1" customWidth="1"/>
    <col min="627" max="627" width="15.7109375" bestFit="1" customWidth="1"/>
    <col min="628" max="628" width="12.5703125" bestFit="1" customWidth="1"/>
    <col min="629" max="629" width="15.7109375" bestFit="1" customWidth="1"/>
    <col min="630" max="630" width="12.5703125" bestFit="1" customWidth="1"/>
    <col min="631" max="631" width="15.7109375" bestFit="1" customWidth="1"/>
    <col min="632" max="632" width="12.5703125" bestFit="1" customWidth="1"/>
    <col min="633" max="633" width="15.7109375" bestFit="1" customWidth="1"/>
    <col min="634" max="634" width="12.5703125" bestFit="1" customWidth="1"/>
    <col min="635" max="635" width="15.7109375" bestFit="1" customWidth="1"/>
    <col min="636" max="636" width="12.5703125" bestFit="1" customWidth="1"/>
    <col min="637" max="637" width="15.7109375" bestFit="1" customWidth="1"/>
    <col min="638" max="638" width="12.5703125" bestFit="1" customWidth="1"/>
    <col min="639" max="639" width="15.7109375" bestFit="1" customWidth="1"/>
    <col min="640" max="640" width="11.28515625" bestFit="1" customWidth="1"/>
    <col min="641" max="641" width="7.28515625" bestFit="1" customWidth="1"/>
    <col min="642" max="642" width="11.85546875" bestFit="1" customWidth="1"/>
    <col min="643" max="643" width="7.28515625" bestFit="1" customWidth="1"/>
    <col min="644" max="644" width="11.85546875" bestFit="1" customWidth="1"/>
    <col min="645" max="645" width="12.85546875" bestFit="1" customWidth="1"/>
    <col min="646" max="646" width="8.28515625" bestFit="1" customWidth="1"/>
    <col min="647" max="647" width="12.85546875" bestFit="1" customWidth="1"/>
    <col min="648" max="648" width="7.28515625" bestFit="1" customWidth="1"/>
    <col min="649" max="649" width="11.85546875" bestFit="1" customWidth="1"/>
    <col min="650" max="650" width="7.28515625" bestFit="1" customWidth="1"/>
    <col min="651" max="651" width="11.85546875" bestFit="1" customWidth="1"/>
    <col min="652" max="652" width="7.28515625" bestFit="1" customWidth="1"/>
    <col min="653" max="653" width="11.85546875" bestFit="1" customWidth="1"/>
    <col min="654" max="654" width="7.28515625" bestFit="1" customWidth="1"/>
    <col min="655" max="655" width="11.85546875" bestFit="1" customWidth="1"/>
    <col min="656" max="656" width="7.28515625" bestFit="1" customWidth="1"/>
    <col min="657" max="657" width="11.85546875" bestFit="1" customWidth="1"/>
    <col min="658" max="658" width="7.28515625" bestFit="1" customWidth="1"/>
    <col min="659" max="659" width="11.85546875" bestFit="1" customWidth="1"/>
    <col min="660" max="660" width="12.85546875" bestFit="1" customWidth="1"/>
    <col min="661" max="661" width="8.28515625" bestFit="1" customWidth="1"/>
    <col min="662" max="662" width="11.85546875" bestFit="1" customWidth="1"/>
    <col min="663" max="663" width="7.28515625" bestFit="1" customWidth="1"/>
    <col min="664" max="664" width="11.85546875" bestFit="1" customWidth="1"/>
    <col min="665" max="665" width="12.85546875" bestFit="1" customWidth="1"/>
    <col min="666" max="666" width="9" bestFit="1" customWidth="1"/>
    <col min="667" max="667" width="14" bestFit="1" customWidth="1"/>
    <col min="668" max="668" width="8" bestFit="1" customWidth="1"/>
    <col min="669" max="669" width="12.85546875" bestFit="1" customWidth="1"/>
    <col min="670" max="670" width="8" bestFit="1" customWidth="1"/>
    <col min="671" max="671" width="12.85546875" bestFit="1" customWidth="1"/>
    <col min="672" max="672" width="7.28515625" bestFit="1" customWidth="1"/>
    <col min="673" max="673" width="11.85546875" bestFit="1" customWidth="1"/>
    <col min="674" max="674" width="7.28515625" bestFit="1" customWidth="1"/>
    <col min="675" max="675" width="11.85546875" bestFit="1" customWidth="1"/>
    <col min="676" max="676" width="7.28515625" bestFit="1" customWidth="1"/>
    <col min="677" max="677" width="11.85546875" bestFit="1" customWidth="1"/>
    <col min="678" max="678" width="12.85546875" bestFit="1" customWidth="1"/>
    <col min="679" max="679" width="8.28515625" bestFit="1" customWidth="1"/>
    <col min="680" max="680" width="11.85546875" bestFit="1" customWidth="1"/>
    <col min="681" max="681" width="7.28515625" bestFit="1" customWidth="1"/>
    <col min="682" max="682" width="11.85546875" bestFit="1" customWidth="1"/>
    <col min="683" max="683" width="7.28515625" bestFit="1" customWidth="1"/>
    <col min="684" max="684" width="11.85546875" bestFit="1" customWidth="1"/>
    <col min="685" max="685" width="7.28515625" bestFit="1" customWidth="1"/>
    <col min="686" max="686" width="11.85546875" bestFit="1" customWidth="1"/>
    <col min="687" max="687" width="7.28515625" bestFit="1" customWidth="1"/>
    <col min="688" max="688" width="11.85546875" bestFit="1" customWidth="1"/>
    <col min="689" max="689" width="7.28515625" bestFit="1" customWidth="1"/>
    <col min="690" max="690" width="11.85546875" bestFit="1" customWidth="1"/>
    <col min="691" max="691" width="12.85546875" bestFit="1" customWidth="1"/>
    <col min="692" max="692" width="8.28515625" bestFit="1" customWidth="1"/>
    <col min="693" max="693" width="11.85546875" bestFit="1" customWidth="1"/>
    <col min="694" max="694" width="7.28515625" bestFit="1" customWidth="1"/>
    <col min="695" max="695" width="11.85546875" bestFit="1" customWidth="1"/>
    <col min="696" max="696" width="7.28515625" bestFit="1" customWidth="1"/>
    <col min="697" max="697" width="11.85546875" bestFit="1" customWidth="1"/>
    <col min="698" max="698" width="7.28515625" bestFit="1" customWidth="1"/>
    <col min="699" max="699" width="11.85546875" bestFit="1" customWidth="1"/>
    <col min="700" max="700" width="7.28515625" bestFit="1" customWidth="1"/>
    <col min="701" max="701" width="11.85546875" bestFit="1" customWidth="1"/>
    <col min="702" max="702" width="7.28515625" bestFit="1" customWidth="1"/>
    <col min="703" max="703" width="11.85546875" bestFit="1" customWidth="1"/>
    <col min="704" max="704" width="12.85546875" bestFit="1" customWidth="1"/>
    <col min="705" max="705" width="8.28515625" bestFit="1" customWidth="1"/>
    <col min="706" max="706" width="11.85546875" bestFit="1" customWidth="1"/>
    <col min="707" max="707" width="7.28515625" bestFit="1" customWidth="1"/>
    <col min="708" max="708" width="11.85546875" bestFit="1" customWidth="1"/>
    <col min="709" max="709" width="7.28515625" bestFit="1" customWidth="1"/>
    <col min="710" max="710" width="11.85546875" bestFit="1" customWidth="1"/>
    <col min="711" max="711" width="7.28515625" bestFit="1" customWidth="1"/>
    <col min="712" max="712" width="11.85546875" bestFit="1" customWidth="1"/>
    <col min="713" max="713" width="7.28515625" bestFit="1" customWidth="1"/>
    <col min="714" max="714" width="11.85546875" bestFit="1" customWidth="1"/>
    <col min="715" max="715" width="12.85546875" bestFit="1" customWidth="1"/>
    <col min="716" max="716" width="8.28515625" bestFit="1" customWidth="1"/>
    <col min="717" max="717" width="11.85546875" bestFit="1" customWidth="1"/>
    <col min="718" max="718" width="7.28515625" bestFit="1" customWidth="1"/>
    <col min="719" max="719" width="11.85546875" bestFit="1" customWidth="1"/>
    <col min="720" max="720" width="12.85546875" bestFit="1" customWidth="1"/>
    <col min="721" max="721" width="8.28515625" bestFit="1" customWidth="1"/>
    <col min="722" max="722" width="11.85546875" bestFit="1" customWidth="1"/>
    <col min="723" max="723" width="7.28515625" bestFit="1" customWidth="1"/>
    <col min="724" max="724" width="11.85546875" bestFit="1" customWidth="1"/>
    <col min="725" max="725" width="7.28515625" bestFit="1" customWidth="1"/>
    <col min="726" max="726" width="11.85546875" bestFit="1" customWidth="1"/>
    <col min="727" max="727" width="7.28515625" bestFit="1" customWidth="1"/>
    <col min="728" max="728" width="11.85546875" bestFit="1" customWidth="1"/>
    <col min="729" max="729" width="12.85546875" bestFit="1" customWidth="1"/>
    <col min="730" max="730" width="8.28515625" bestFit="1" customWidth="1"/>
    <col min="731" max="731" width="11.85546875" bestFit="1" customWidth="1"/>
    <col min="732" max="732" width="12.85546875" bestFit="1" customWidth="1"/>
    <col min="733" max="733" width="8.28515625" bestFit="1" customWidth="1"/>
    <col min="734" max="734" width="11.85546875" bestFit="1" customWidth="1"/>
    <col min="735" max="735" width="7.28515625" bestFit="1" customWidth="1"/>
    <col min="736" max="736" width="11.85546875" bestFit="1" customWidth="1"/>
    <col min="737" max="737" width="12.85546875" bestFit="1" customWidth="1"/>
    <col min="738" max="738" width="9" bestFit="1" customWidth="1"/>
    <col min="739" max="739" width="14" bestFit="1" customWidth="1"/>
    <col min="740" max="740" width="7.28515625" bestFit="1" customWidth="1"/>
    <col min="741" max="741" width="11.85546875" bestFit="1" customWidth="1"/>
    <col min="742" max="742" width="12.85546875" bestFit="1" customWidth="1"/>
    <col min="743" max="743" width="8.28515625" bestFit="1" customWidth="1"/>
    <col min="744" max="744" width="11.85546875" bestFit="1" customWidth="1"/>
    <col min="745" max="745" width="7.28515625" bestFit="1" customWidth="1"/>
    <col min="746" max="746" width="11.85546875" bestFit="1" customWidth="1"/>
    <col min="747" max="747" width="12.85546875" bestFit="1" customWidth="1"/>
    <col min="748" max="748" width="8.28515625" bestFit="1" customWidth="1"/>
    <col min="749" max="749" width="11.85546875" bestFit="1" customWidth="1"/>
    <col min="750" max="750" width="7.28515625" bestFit="1" customWidth="1"/>
    <col min="751" max="751" width="11.85546875" bestFit="1" customWidth="1"/>
    <col min="752" max="752" width="7.28515625" bestFit="1" customWidth="1"/>
    <col min="753" max="753" width="11.85546875" bestFit="1" customWidth="1"/>
    <col min="754" max="754" width="7.28515625" bestFit="1" customWidth="1"/>
    <col min="755" max="755" width="11.85546875" bestFit="1" customWidth="1"/>
    <col min="756" max="756" width="12.85546875" bestFit="1" customWidth="1"/>
    <col min="757" max="757" width="8.28515625" bestFit="1" customWidth="1"/>
    <col min="758" max="758" width="11.85546875" bestFit="1" customWidth="1"/>
    <col min="759" max="759" width="7.28515625" bestFit="1" customWidth="1"/>
    <col min="760" max="760" width="11.85546875" bestFit="1" customWidth="1"/>
    <col min="761" max="761" width="7.28515625" bestFit="1" customWidth="1"/>
    <col min="762" max="762" width="11.85546875" bestFit="1" customWidth="1"/>
    <col min="763" max="763" width="7.28515625" bestFit="1" customWidth="1"/>
    <col min="764" max="764" width="11.85546875" bestFit="1" customWidth="1"/>
    <col min="765" max="765" width="12.85546875" bestFit="1" customWidth="1"/>
    <col min="766" max="766" width="8.28515625" bestFit="1" customWidth="1"/>
    <col min="767" max="767" width="10.85546875" bestFit="1" customWidth="1"/>
    <col min="768" max="768" width="7.28515625" bestFit="1" customWidth="1"/>
    <col min="769" max="769" width="10.85546875" bestFit="1" customWidth="1"/>
    <col min="770" max="770" width="7.28515625" bestFit="1" customWidth="1"/>
    <col min="771" max="771" width="11.85546875" bestFit="1" customWidth="1"/>
    <col min="772" max="772" width="12.85546875" bestFit="1" customWidth="1"/>
    <col min="773" max="773" width="8.28515625" bestFit="1" customWidth="1"/>
    <col min="774" max="774" width="11.85546875" bestFit="1" customWidth="1"/>
    <col min="775" max="775" width="7.28515625" bestFit="1" customWidth="1"/>
    <col min="776" max="776" width="11.85546875" bestFit="1" customWidth="1"/>
    <col min="777" max="777" width="12.85546875" bestFit="1" customWidth="1"/>
    <col min="778" max="778" width="9" bestFit="1" customWidth="1"/>
    <col min="779" max="779" width="14" bestFit="1" customWidth="1"/>
    <col min="780" max="780" width="12.85546875" bestFit="1" customWidth="1"/>
    <col min="781" max="781" width="8.28515625" bestFit="1" customWidth="1"/>
    <col min="782" max="782" width="10.85546875" bestFit="1" customWidth="1"/>
    <col min="783" max="783" width="7.28515625" bestFit="1" customWidth="1"/>
    <col min="784" max="784" width="10.85546875" bestFit="1" customWidth="1"/>
    <col min="785" max="785" width="7.28515625" bestFit="1" customWidth="1"/>
    <col min="786" max="786" width="11.85546875" bestFit="1" customWidth="1"/>
    <col min="787" max="787" width="7.28515625" bestFit="1" customWidth="1"/>
    <col min="788" max="788" width="11.85546875" bestFit="1" customWidth="1"/>
    <col min="789" max="789" width="12.85546875" bestFit="1" customWidth="1"/>
    <col min="790" max="790" width="9" bestFit="1" customWidth="1"/>
    <col min="791" max="791" width="14" bestFit="1" customWidth="1"/>
    <col min="792" max="792" width="7.28515625" bestFit="1" customWidth="1"/>
    <col min="793" max="793" width="11.85546875" bestFit="1" customWidth="1"/>
    <col min="794" max="794" width="12.85546875" bestFit="1" customWidth="1"/>
    <col min="795" max="795" width="8.28515625" bestFit="1" customWidth="1"/>
    <col min="796" max="796" width="11.85546875" bestFit="1" customWidth="1"/>
    <col min="797" max="797" width="7.28515625" bestFit="1" customWidth="1"/>
    <col min="798" max="798" width="11.85546875" bestFit="1" customWidth="1"/>
    <col min="799" max="799" width="7.28515625" bestFit="1" customWidth="1"/>
    <col min="800" max="800" width="11.85546875" bestFit="1" customWidth="1"/>
    <col min="801" max="801" width="7.28515625" bestFit="1" customWidth="1"/>
    <col min="802" max="802" width="11.85546875" bestFit="1" customWidth="1"/>
    <col min="803" max="803" width="12.85546875" bestFit="1" customWidth="1"/>
    <col min="804" max="804" width="8.28515625" bestFit="1" customWidth="1"/>
    <col min="805" max="805" width="11.85546875" bestFit="1" customWidth="1"/>
    <col min="806" max="806" width="7.28515625" bestFit="1" customWidth="1"/>
    <col min="807" max="807" width="11.85546875" bestFit="1" customWidth="1"/>
    <col min="808" max="808" width="12.85546875" bestFit="1" customWidth="1"/>
    <col min="809" max="809" width="8.28515625" bestFit="1" customWidth="1"/>
    <col min="810" max="810" width="10.85546875" bestFit="1" customWidth="1"/>
    <col min="811" max="811" width="7.28515625" bestFit="1" customWidth="1"/>
    <col min="812" max="812" width="10.85546875" bestFit="1" customWidth="1"/>
    <col min="813" max="813" width="7.28515625" bestFit="1" customWidth="1"/>
    <col min="814" max="814" width="11.85546875" bestFit="1" customWidth="1"/>
    <col min="815" max="815" width="7.28515625" bestFit="1" customWidth="1"/>
    <col min="816" max="816" width="11.85546875" bestFit="1" customWidth="1"/>
    <col min="817" max="817" width="7.28515625" bestFit="1" customWidth="1"/>
    <col min="818" max="818" width="11.85546875" bestFit="1" customWidth="1"/>
    <col min="819" max="819" width="12.85546875" bestFit="1" customWidth="1"/>
    <col min="820" max="820" width="8.28515625" bestFit="1" customWidth="1"/>
    <col min="821" max="821" width="11.85546875" bestFit="1" customWidth="1"/>
    <col min="822" max="822" width="7.28515625" bestFit="1" customWidth="1"/>
    <col min="823" max="823" width="11.85546875" bestFit="1" customWidth="1"/>
    <col min="824" max="824" width="12.85546875" bestFit="1" customWidth="1"/>
    <col min="825" max="825" width="9" bestFit="1" customWidth="1"/>
    <col min="826" max="826" width="14" bestFit="1" customWidth="1"/>
    <col min="827" max="827" width="7.28515625" bestFit="1" customWidth="1"/>
    <col min="828" max="828" width="11.85546875" bestFit="1" customWidth="1"/>
    <col min="829" max="829" width="12.85546875" bestFit="1" customWidth="1"/>
    <col min="830" max="830" width="8.28515625" bestFit="1" customWidth="1"/>
    <col min="831" max="831" width="10.85546875" bestFit="1" customWidth="1"/>
    <col min="832" max="832" width="7.28515625" bestFit="1" customWidth="1"/>
    <col min="833" max="833" width="10.85546875" bestFit="1" customWidth="1"/>
    <col min="834" max="834" width="12.85546875" bestFit="1" customWidth="1"/>
    <col min="835" max="835" width="9" bestFit="1" customWidth="1"/>
    <col min="836" max="836" width="14" bestFit="1" customWidth="1"/>
    <col min="837" max="837" width="12.85546875" bestFit="1" customWidth="1"/>
    <col min="838" max="838" width="8.28515625" bestFit="1" customWidth="1"/>
    <col min="839" max="839" width="11.85546875" bestFit="1" customWidth="1"/>
    <col min="840" max="840" width="7.28515625" bestFit="1" customWidth="1"/>
    <col min="841" max="841" width="11.85546875" bestFit="1" customWidth="1"/>
    <col min="842" max="842" width="12.85546875" bestFit="1" customWidth="1"/>
    <col min="843" max="843" width="9" bestFit="1" customWidth="1"/>
    <col min="844" max="844" width="14" bestFit="1" customWidth="1"/>
    <col min="845" max="845" width="7.28515625" bestFit="1" customWidth="1"/>
    <col min="846" max="846" width="11.85546875" bestFit="1" customWidth="1"/>
    <col min="847" max="847" width="7.28515625" bestFit="1" customWidth="1"/>
    <col min="848" max="848" width="11.85546875" bestFit="1" customWidth="1"/>
    <col min="849" max="849" width="7.28515625" bestFit="1" customWidth="1"/>
    <col min="850" max="850" width="11.85546875" bestFit="1" customWidth="1"/>
    <col min="851" max="851" width="7.28515625" bestFit="1" customWidth="1"/>
    <col min="852" max="852" width="11.85546875" bestFit="1" customWidth="1"/>
    <col min="853" max="853" width="12.85546875" bestFit="1" customWidth="1"/>
    <col min="854" max="854" width="8.28515625" bestFit="1" customWidth="1"/>
    <col min="855" max="855" width="11.85546875" bestFit="1" customWidth="1"/>
    <col min="856" max="856" width="7.28515625" bestFit="1" customWidth="1"/>
    <col min="857" max="857" width="11.85546875" bestFit="1" customWidth="1"/>
    <col min="858" max="858" width="12.85546875" bestFit="1" customWidth="1"/>
    <col min="859" max="859" width="9" bestFit="1" customWidth="1"/>
    <col min="860" max="860" width="14" bestFit="1" customWidth="1"/>
    <col min="861" max="861" width="7.28515625" bestFit="1" customWidth="1"/>
    <col min="862" max="862" width="11.85546875" bestFit="1" customWidth="1"/>
    <col min="863" max="863" width="7.28515625" bestFit="1" customWidth="1"/>
    <col min="864" max="864" width="11.85546875" bestFit="1" customWidth="1"/>
    <col min="865" max="865" width="12.85546875" bestFit="1" customWidth="1"/>
    <col min="866" max="866" width="8.28515625" bestFit="1" customWidth="1"/>
    <col min="867" max="867" width="11.85546875" bestFit="1" customWidth="1"/>
    <col min="868" max="868" width="12.85546875" bestFit="1" customWidth="1"/>
    <col min="869" max="869" width="8.28515625" bestFit="1" customWidth="1"/>
    <col min="870" max="870" width="11.85546875" bestFit="1" customWidth="1"/>
    <col min="871" max="871" width="12.85546875" bestFit="1" customWidth="1"/>
    <col min="872" max="872" width="8.28515625" bestFit="1" customWidth="1"/>
    <col min="873" max="873" width="11.85546875" bestFit="1" customWidth="1"/>
    <col min="874" max="874" width="12.85546875" bestFit="1" customWidth="1"/>
    <col min="875" max="875" width="8.28515625" bestFit="1" customWidth="1"/>
    <col min="876" max="876" width="11.85546875" bestFit="1" customWidth="1"/>
    <col min="877" max="877" width="7.28515625" bestFit="1" customWidth="1"/>
    <col min="878" max="878" width="11.85546875" bestFit="1" customWidth="1"/>
    <col min="879" max="879" width="12.85546875" bestFit="1" customWidth="1"/>
    <col min="880" max="880" width="9" bestFit="1" customWidth="1"/>
    <col min="881" max="881" width="14" bestFit="1" customWidth="1"/>
    <col min="882" max="882" width="7.28515625" bestFit="1" customWidth="1"/>
    <col min="883" max="883" width="11.85546875" bestFit="1" customWidth="1"/>
    <col min="884" max="884" width="7.28515625" bestFit="1" customWidth="1"/>
    <col min="885" max="885" width="11.85546875" bestFit="1" customWidth="1"/>
    <col min="886" max="886" width="12.85546875" bestFit="1" customWidth="1"/>
    <col min="887" max="887" width="8.28515625" bestFit="1" customWidth="1"/>
    <col min="888" max="888" width="11.85546875" bestFit="1" customWidth="1"/>
    <col min="889" max="889" width="12.85546875" bestFit="1" customWidth="1"/>
    <col min="890" max="890" width="9" bestFit="1" customWidth="1"/>
    <col min="891" max="891" width="14" bestFit="1" customWidth="1"/>
    <col min="892" max="892" width="7.28515625" bestFit="1" customWidth="1"/>
    <col min="893" max="893" width="11.85546875" bestFit="1" customWidth="1"/>
    <col min="894" max="894" width="7.28515625" bestFit="1" customWidth="1"/>
    <col min="895" max="895" width="11.85546875" bestFit="1" customWidth="1"/>
    <col min="896" max="896" width="12.85546875" bestFit="1" customWidth="1"/>
    <col min="897" max="897" width="8.28515625" bestFit="1" customWidth="1"/>
    <col min="898" max="898" width="11.85546875" bestFit="1" customWidth="1"/>
    <col min="899" max="899" width="7.28515625" bestFit="1" customWidth="1"/>
    <col min="900" max="900" width="11.85546875" bestFit="1" customWidth="1"/>
    <col min="901" max="901" width="7.28515625" bestFit="1" customWidth="1"/>
    <col min="902" max="902" width="11.85546875" bestFit="1" customWidth="1"/>
    <col min="903" max="903" width="12.85546875" bestFit="1" customWidth="1"/>
    <col min="904" max="904" width="8.28515625" bestFit="1" customWidth="1"/>
    <col min="905" max="905" width="11.85546875" bestFit="1" customWidth="1"/>
    <col min="906" max="906" width="7.28515625" bestFit="1" customWidth="1"/>
    <col min="907" max="907" width="11.85546875" bestFit="1" customWidth="1"/>
    <col min="908" max="908" width="12.85546875" bestFit="1" customWidth="1"/>
    <col min="909" max="909" width="8.28515625" bestFit="1" customWidth="1"/>
    <col min="910" max="910" width="11.85546875" bestFit="1" customWidth="1"/>
    <col min="911" max="911" width="12.85546875" bestFit="1" customWidth="1"/>
    <col min="912" max="912" width="8.28515625" bestFit="1" customWidth="1"/>
    <col min="913" max="913" width="11.85546875" bestFit="1" customWidth="1"/>
    <col min="914" max="914" width="12.85546875" bestFit="1" customWidth="1"/>
    <col min="915" max="915" width="8.28515625" bestFit="1" customWidth="1"/>
    <col min="916" max="916" width="11.85546875" bestFit="1" customWidth="1"/>
    <col min="917" max="917" width="12.85546875" bestFit="1" customWidth="1"/>
    <col min="918" max="918" width="8.28515625" bestFit="1" customWidth="1"/>
    <col min="919" max="919" width="11.85546875" bestFit="1" customWidth="1"/>
    <col min="920" max="920" width="7.28515625" bestFit="1" customWidth="1"/>
    <col min="921" max="921" width="11.85546875" bestFit="1" customWidth="1"/>
    <col min="922" max="922" width="12.85546875" bestFit="1" customWidth="1"/>
    <col min="923" max="923" width="8.28515625" bestFit="1" customWidth="1"/>
    <col min="924" max="924" width="11.85546875" bestFit="1" customWidth="1"/>
    <col min="925" max="925" width="12.85546875" bestFit="1" customWidth="1"/>
    <col min="926" max="926" width="8.28515625" bestFit="1" customWidth="1"/>
    <col min="927" max="927" width="11.85546875" bestFit="1" customWidth="1"/>
    <col min="928" max="928" width="7.28515625" bestFit="1" customWidth="1"/>
    <col min="929" max="929" width="11.85546875" bestFit="1" customWidth="1"/>
    <col min="930" max="930" width="12.85546875" bestFit="1" customWidth="1"/>
    <col min="931" max="931" width="8.28515625" bestFit="1" customWidth="1"/>
    <col min="932" max="932" width="11.85546875" bestFit="1" customWidth="1"/>
    <col min="933" max="933" width="7.28515625" bestFit="1" customWidth="1"/>
    <col min="934" max="934" width="11.85546875" bestFit="1" customWidth="1"/>
    <col min="935" max="935" width="12.85546875" bestFit="1" customWidth="1"/>
    <col min="936" max="936" width="8.28515625" bestFit="1" customWidth="1"/>
    <col min="937" max="937" width="11.85546875" bestFit="1" customWidth="1"/>
    <col min="938" max="938" width="7.28515625" bestFit="1" customWidth="1"/>
    <col min="939" max="939" width="11.85546875" bestFit="1" customWidth="1"/>
    <col min="940" max="940" width="7.28515625" bestFit="1" customWidth="1"/>
    <col min="941" max="941" width="11.85546875" bestFit="1" customWidth="1"/>
    <col min="942" max="942" width="12.85546875" bestFit="1" customWidth="1"/>
    <col min="943" max="943" width="8.28515625" bestFit="1" customWidth="1"/>
    <col min="944" max="944" width="11.85546875" bestFit="1" customWidth="1"/>
    <col min="945" max="945" width="7.28515625" bestFit="1" customWidth="1"/>
    <col min="946" max="946" width="11.85546875" bestFit="1" customWidth="1"/>
    <col min="947" max="947" width="7.28515625" bestFit="1" customWidth="1"/>
    <col min="948" max="948" width="11.85546875" bestFit="1" customWidth="1"/>
    <col min="949" max="949" width="7.28515625" bestFit="1" customWidth="1"/>
    <col min="950" max="950" width="11.85546875" bestFit="1" customWidth="1"/>
    <col min="951" max="951" width="12.85546875" bestFit="1" customWidth="1"/>
    <col min="952" max="952" width="9" bestFit="1" customWidth="1"/>
    <col min="953" max="953" width="14" bestFit="1" customWidth="1"/>
    <col min="954" max="954" width="7.28515625" bestFit="1" customWidth="1"/>
    <col min="955" max="955" width="11.85546875" bestFit="1" customWidth="1"/>
    <col min="956" max="956" width="12.85546875" bestFit="1" customWidth="1"/>
    <col min="957" max="957" width="8.28515625" bestFit="1" customWidth="1"/>
    <col min="958" max="958" width="11.85546875" bestFit="1" customWidth="1"/>
    <col min="959" max="959" width="7.28515625" bestFit="1" customWidth="1"/>
    <col min="960" max="960" width="11.85546875" bestFit="1" customWidth="1"/>
    <col min="961" max="961" width="12.85546875" bestFit="1" customWidth="1"/>
    <col min="962" max="962" width="8.28515625" bestFit="1" customWidth="1"/>
    <col min="963" max="963" width="11.85546875" bestFit="1" customWidth="1"/>
    <col min="964" max="964" width="7.28515625" bestFit="1" customWidth="1"/>
    <col min="965" max="965" width="11.85546875" bestFit="1" customWidth="1"/>
    <col min="966" max="966" width="12.85546875" bestFit="1" customWidth="1"/>
    <col min="967" max="967" width="8.28515625" bestFit="1" customWidth="1"/>
    <col min="968" max="968" width="11.85546875" bestFit="1" customWidth="1"/>
    <col min="969" max="969" width="12.85546875" bestFit="1" customWidth="1"/>
    <col min="970" max="970" width="8.28515625" bestFit="1" customWidth="1"/>
    <col min="971" max="971" width="11.85546875" bestFit="1" customWidth="1"/>
    <col min="972" max="972" width="7.28515625" bestFit="1" customWidth="1"/>
    <col min="973" max="973" width="11.85546875" bestFit="1" customWidth="1"/>
    <col min="974" max="974" width="7.28515625" bestFit="1" customWidth="1"/>
    <col min="975" max="975" width="11.85546875" bestFit="1" customWidth="1"/>
    <col min="976" max="976" width="12.85546875" bestFit="1" customWidth="1"/>
    <col min="977" max="977" width="8.28515625" bestFit="1" customWidth="1"/>
    <col min="978" max="978" width="11.85546875" bestFit="1" customWidth="1"/>
    <col min="979" max="979" width="12.85546875" bestFit="1" customWidth="1"/>
    <col min="980" max="980" width="8.28515625" bestFit="1" customWidth="1"/>
    <col min="981" max="981" width="12.85546875" bestFit="1" customWidth="1"/>
    <col min="982" max="982" width="8.28515625" bestFit="1" customWidth="1"/>
    <col min="983" max="984" width="12.85546875" bestFit="1" customWidth="1"/>
    <col min="985" max="985" width="8.28515625" bestFit="1" customWidth="1"/>
    <col min="986" max="986" width="11.85546875" bestFit="1" customWidth="1"/>
    <col min="987" max="987" width="7.28515625" bestFit="1" customWidth="1"/>
    <col min="988" max="988" width="11.85546875" bestFit="1" customWidth="1"/>
    <col min="989" max="989" width="12.85546875" bestFit="1" customWidth="1"/>
    <col min="990" max="990" width="8.28515625" bestFit="1" customWidth="1"/>
    <col min="991" max="991" width="11.85546875" bestFit="1" customWidth="1"/>
    <col min="992" max="992" width="7.28515625" bestFit="1" customWidth="1"/>
    <col min="993" max="993" width="11.85546875" bestFit="1" customWidth="1"/>
    <col min="994" max="994" width="12.85546875" bestFit="1" customWidth="1"/>
    <col min="995" max="995" width="8.28515625" bestFit="1" customWidth="1"/>
    <col min="996" max="996" width="11.85546875" bestFit="1" customWidth="1"/>
    <col min="997" max="997" width="7.28515625" bestFit="1" customWidth="1"/>
    <col min="998" max="998" width="11.85546875" bestFit="1" customWidth="1"/>
    <col min="999" max="999" width="12.85546875" bestFit="1" customWidth="1"/>
    <col min="1000" max="1000" width="9" bestFit="1" customWidth="1"/>
    <col min="1001" max="1001" width="14" bestFit="1" customWidth="1"/>
    <col min="1002" max="1002" width="7.28515625" bestFit="1" customWidth="1"/>
    <col min="1003" max="1003" width="11.85546875" bestFit="1" customWidth="1"/>
    <col min="1004" max="1004" width="7.28515625" bestFit="1" customWidth="1"/>
    <col min="1005" max="1005" width="11.85546875" bestFit="1" customWidth="1"/>
    <col min="1006" max="1006" width="7.28515625" bestFit="1" customWidth="1"/>
    <col min="1007" max="1007" width="11.85546875" bestFit="1" customWidth="1"/>
    <col min="1008" max="1008" width="7.28515625" bestFit="1" customWidth="1"/>
    <col min="1009" max="1009" width="11.85546875" bestFit="1" customWidth="1"/>
    <col min="1010" max="1010" width="12.85546875" bestFit="1" customWidth="1"/>
    <col min="1011" max="1011" width="8.28515625" bestFit="1" customWidth="1"/>
    <col min="1012" max="1012" width="11.85546875" bestFit="1" customWidth="1"/>
    <col min="1013" max="1013" width="7.28515625" bestFit="1" customWidth="1"/>
    <col min="1014" max="1014" width="11.85546875" bestFit="1" customWidth="1"/>
    <col min="1015" max="1015" width="12.85546875" bestFit="1" customWidth="1"/>
    <col min="1016" max="1016" width="8.28515625" bestFit="1" customWidth="1"/>
    <col min="1017" max="1017" width="11.85546875" bestFit="1" customWidth="1"/>
    <col min="1018" max="1018" width="7.28515625" bestFit="1" customWidth="1"/>
    <col min="1019" max="1019" width="11.85546875" bestFit="1" customWidth="1"/>
    <col min="1020" max="1020" width="7.28515625" bestFit="1" customWidth="1"/>
    <col min="1021" max="1021" width="11.85546875" bestFit="1" customWidth="1"/>
    <col min="1022" max="1022" width="7.28515625" bestFit="1" customWidth="1"/>
    <col min="1023" max="1023" width="11.85546875" bestFit="1" customWidth="1"/>
    <col min="1024" max="1024" width="12.85546875" bestFit="1" customWidth="1"/>
    <col min="1025" max="1025" width="8.28515625" bestFit="1" customWidth="1"/>
    <col min="1026" max="1027" width="12.85546875" bestFit="1" customWidth="1"/>
    <col min="1028" max="1028" width="8.28515625" bestFit="1" customWidth="1"/>
    <col min="1029" max="1029" width="12.85546875" bestFit="1" customWidth="1"/>
    <col min="1030" max="1030" width="8.28515625" bestFit="1" customWidth="1"/>
    <col min="1031" max="1032" width="12.85546875" bestFit="1" customWidth="1"/>
    <col min="1033" max="1033" width="8.28515625" bestFit="1" customWidth="1"/>
    <col min="1034" max="1034" width="11.85546875" bestFit="1" customWidth="1"/>
    <col min="1035" max="1035" width="12.85546875" bestFit="1" customWidth="1"/>
    <col min="1036" max="1036" width="8.28515625" bestFit="1" customWidth="1"/>
    <col min="1037" max="1037" width="11.85546875" bestFit="1" customWidth="1"/>
    <col min="1038" max="1038" width="7.28515625" bestFit="1" customWidth="1"/>
    <col min="1039" max="1039" width="11.85546875" bestFit="1" customWidth="1"/>
    <col min="1040" max="1040" width="12.85546875" bestFit="1" customWidth="1"/>
    <col min="1041" max="1041" width="8.28515625" bestFit="1" customWidth="1"/>
    <col min="1042" max="1042" width="11.85546875" bestFit="1" customWidth="1"/>
    <col min="1043" max="1043" width="7.28515625" bestFit="1" customWidth="1"/>
    <col min="1044" max="1044" width="11.85546875" bestFit="1" customWidth="1"/>
    <col min="1045" max="1045" width="7.28515625" bestFit="1" customWidth="1"/>
    <col min="1046" max="1046" width="11.85546875" bestFit="1" customWidth="1"/>
    <col min="1047" max="1047" width="8.28515625" bestFit="1" customWidth="1"/>
    <col min="1048" max="1048" width="12.85546875" bestFit="1" customWidth="1"/>
    <col min="1049" max="1049" width="8.28515625" bestFit="1" customWidth="1"/>
    <col min="1050" max="1051" width="12.85546875" bestFit="1" customWidth="1"/>
    <col min="1052" max="1052" width="8.28515625" bestFit="1" customWidth="1"/>
    <col min="1053" max="1053" width="11.85546875" bestFit="1" customWidth="1"/>
    <col min="1054" max="1054" width="7.28515625" bestFit="1" customWidth="1"/>
    <col min="1055" max="1055" width="11.85546875" bestFit="1" customWidth="1"/>
    <col min="1056" max="1056" width="12.85546875" bestFit="1" customWidth="1"/>
    <col min="1057" max="1057" width="8.28515625" bestFit="1" customWidth="1"/>
    <col min="1058" max="1058" width="11.85546875" bestFit="1" customWidth="1"/>
    <col min="1059" max="1059" width="7.28515625" bestFit="1" customWidth="1"/>
    <col min="1060" max="1060" width="11.85546875" bestFit="1" customWidth="1"/>
    <col min="1061" max="1061" width="8.28515625" bestFit="1" customWidth="1"/>
    <col min="1062" max="1062" width="12.85546875" bestFit="1" customWidth="1"/>
    <col min="1063" max="1063" width="8.28515625" bestFit="1" customWidth="1"/>
    <col min="1064" max="1065" width="12.85546875" bestFit="1" customWidth="1"/>
    <col min="1066" max="1066" width="8.28515625" bestFit="1" customWidth="1"/>
    <col min="1067" max="1068" width="12.85546875" bestFit="1" customWidth="1"/>
    <col min="1069" max="1069" width="8.28515625" bestFit="1" customWidth="1"/>
    <col min="1070" max="1070" width="11.85546875" bestFit="1" customWidth="1"/>
    <col min="1071" max="1071" width="7.28515625" bestFit="1" customWidth="1"/>
    <col min="1072" max="1072" width="11.85546875" bestFit="1" customWidth="1"/>
    <col min="1073" max="1073" width="12.85546875" bestFit="1" customWidth="1"/>
    <col min="1074" max="1074" width="8.28515625" bestFit="1" customWidth="1"/>
    <col min="1075" max="1075" width="11.85546875" bestFit="1" customWidth="1"/>
    <col min="1076" max="1076" width="12.85546875" bestFit="1" customWidth="1"/>
    <col min="1077" max="1077" width="8.28515625" bestFit="1" customWidth="1"/>
    <col min="1078" max="1079" width="12.85546875" bestFit="1" customWidth="1"/>
    <col min="1080" max="1080" width="8.28515625" bestFit="1" customWidth="1"/>
    <col min="1081" max="1081" width="11.85546875" bestFit="1" customWidth="1"/>
    <col min="1082" max="1082" width="8.28515625" bestFit="1" customWidth="1"/>
    <col min="1083" max="1083" width="12.85546875" bestFit="1" customWidth="1"/>
    <col min="1084" max="1084" width="8.28515625" bestFit="1" customWidth="1"/>
    <col min="1085" max="1086" width="12.85546875" bestFit="1" customWidth="1"/>
    <col min="1087" max="1087" width="8.28515625" bestFit="1" customWidth="1"/>
    <col min="1088" max="1088" width="11.85546875" bestFit="1" customWidth="1"/>
    <col min="1089" max="1089" width="7.28515625" bestFit="1" customWidth="1"/>
    <col min="1090" max="1090" width="11.85546875" bestFit="1" customWidth="1"/>
    <col min="1091" max="1091" width="12.85546875" bestFit="1" customWidth="1"/>
    <col min="1092" max="1092" width="8.28515625" bestFit="1" customWidth="1"/>
    <col min="1093" max="1093" width="11.85546875" bestFit="1" customWidth="1"/>
    <col min="1094" max="1094" width="7.28515625" bestFit="1" customWidth="1"/>
    <col min="1095" max="1095" width="11.85546875" bestFit="1" customWidth="1"/>
    <col min="1096" max="1096" width="8.28515625" bestFit="1" customWidth="1"/>
    <col min="1097" max="1097" width="11.85546875" bestFit="1" customWidth="1"/>
    <col min="1098" max="1098" width="12.85546875" bestFit="1" customWidth="1"/>
    <col min="1099" max="1099" width="8.28515625" bestFit="1" customWidth="1"/>
    <col min="1100" max="1101" width="12.85546875" bestFit="1" customWidth="1"/>
    <col min="1102" max="1102" width="8.28515625" bestFit="1" customWidth="1"/>
    <col min="1103" max="1103" width="11.85546875" bestFit="1" customWidth="1"/>
    <col min="1104" max="1104" width="8.28515625" bestFit="1" customWidth="1"/>
    <col min="1105" max="1105" width="11.85546875" bestFit="1" customWidth="1"/>
    <col min="1106" max="1106" width="12.85546875" bestFit="1" customWidth="1"/>
    <col min="1107" max="1107" width="8.28515625" bestFit="1" customWidth="1"/>
    <col min="1108" max="1109" width="12.85546875" bestFit="1" customWidth="1"/>
    <col min="1110" max="1110" width="8.28515625" bestFit="1" customWidth="1"/>
    <col min="1111" max="1112" width="12.85546875" bestFit="1" customWidth="1"/>
    <col min="1113" max="1113" width="8.28515625" bestFit="1" customWidth="1"/>
    <col min="1114" max="1114" width="12.85546875" bestFit="1" customWidth="1"/>
    <col min="1115" max="1115" width="8.28515625" bestFit="1" customWidth="1"/>
    <col min="1116" max="1117" width="12.85546875" bestFit="1" customWidth="1"/>
    <col min="1118" max="1118" width="8.28515625" bestFit="1" customWidth="1"/>
    <col min="1119" max="1119" width="11.85546875" bestFit="1" customWidth="1"/>
    <col min="1120" max="1120" width="8.28515625" bestFit="1" customWidth="1"/>
    <col min="1121" max="1121" width="11.85546875" bestFit="1" customWidth="1"/>
    <col min="1122" max="1122" width="12.85546875" bestFit="1" customWidth="1"/>
    <col min="1123" max="1123" width="8.28515625" bestFit="1" customWidth="1"/>
    <col min="1124" max="1124" width="12.85546875" bestFit="1" customWidth="1"/>
    <col min="1125" max="1125" width="8.28515625" bestFit="1" customWidth="1"/>
    <col min="1126" max="1127" width="12.85546875" bestFit="1" customWidth="1"/>
    <col min="1128" max="1128" width="8.28515625" bestFit="1" customWidth="1"/>
    <col min="1129" max="1129" width="12.85546875" bestFit="1" customWidth="1"/>
    <col min="1130" max="1130" width="8.28515625" bestFit="1" customWidth="1"/>
    <col min="1131" max="1132" width="12.85546875" bestFit="1" customWidth="1"/>
    <col min="1133" max="1133" width="8.28515625" bestFit="1" customWidth="1"/>
    <col min="1134" max="1134" width="11.85546875" bestFit="1" customWidth="1"/>
    <col min="1135" max="1135" width="8.28515625" bestFit="1" customWidth="1"/>
    <col min="1136" max="1137" width="12.85546875" bestFit="1" customWidth="1"/>
    <col min="1138" max="1138" width="8.28515625" bestFit="1" customWidth="1"/>
    <col min="1139" max="1139" width="12.85546875" bestFit="1" customWidth="1"/>
    <col min="1140" max="1140" width="8.28515625" bestFit="1" customWidth="1"/>
    <col min="1141" max="1142" width="12.85546875" bestFit="1" customWidth="1"/>
    <col min="1143" max="1143" width="8.28515625" bestFit="1" customWidth="1"/>
    <col min="1144" max="1144" width="12.85546875" bestFit="1" customWidth="1"/>
    <col min="1145" max="1145" width="8.28515625" bestFit="1" customWidth="1"/>
    <col min="1146" max="1147" width="12.85546875" bestFit="1" customWidth="1"/>
    <col min="1148" max="1148" width="8.28515625" bestFit="1" customWidth="1"/>
    <col min="1149" max="1149" width="11.85546875" bestFit="1" customWidth="1"/>
    <col min="1150" max="1150" width="8.28515625" bestFit="1" customWidth="1"/>
    <col min="1151" max="1151" width="11.85546875" bestFit="1" customWidth="1"/>
    <col min="1152" max="1152" width="8.28515625" bestFit="1" customWidth="1"/>
    <col min="1153" max="1153" width="12.85546875" bestFit="1" customWidth="1"/>
    <col min="1154" max="1154" width="8.28515625" bestFit="1" customWidth="1"/>
    <col min="1155" max="1156" width="12.85546875" bestFit="1" customWidth="1"/>
    <col min="1157" max="1157" width="8.28515625" bestFit="1" customWidth="1"/>
    <col min="1158" max="1158" width="12.85546875" bestFit="1" customWidth="1"/>
    <col min="1159" max="1159" width="8.28515625" bestFit="1" customWidth="1"/>
    <col min="1160" max="1161" width="12.85546875" bestFit="1" customWidth="1"/>
    <col min="1162" max="1162" width="8.28515625" bestFit="1" customWidth="1"/>
    <col min="1163" max="1163" width="11.85546875" bestFit="1" customWidth="1"/>
    <col min="1164" max="1164" width="12.85546875" bestFit="1" customWidth="1"/>
    <col min="1165" max="1165" width="8.28515625" bestFit="1" customWidth="1"/>
    <col min="1166" max="1166" width="11.85546875" bestFit="1" customWidth="1"/>
    <col min="1167" max="1167" width="8.28515625" bestFit="1" customWidth="1"/>
    <col min="1168" max="1169" width="12.85546875" bestFit="1" customWidth="1"/>
    <col min="1170" max="1170" width="8.28515625" bestFit="1" customWidth="1"/>
    <col min="1171" max="1171" width="12.85546875" bestFit="1" customWidth="1"/>
    <col min="1172" max="1172" width="8.28515625" bestFit="1" customWidth="1"/>
    <col min="1173" max="1174" width="12.85546875" bestFit="1" customWidth="1"/>
    <col min="1175" max="1175" width="8.28515625" bestFit="1" customWidth="1"/>
    <col min="1176" max="1176" width="12.85546875" bestFit="1" customWidth="1"/>
    <col min="1177" max="1177" width="8.28515625" bestFit="1" customWidth="1"/>
    <col min="1178" max="1179" width="12.85546875" bestFit="1" customWidth="1"/>
    <col min="1180" max="1180" width="8.28515625" bestFit="1" customWidth="1"/>
    <col min="1181" max="1182" width="12.85546875" bestFit="1" customWidth="1"/>
    <col min="1183" max="1183" width="8.28515625" bestFit="1" customWidth="1"/>
    <col min="1184" max="1184" width="11.85546875" bestFit="1" customWidth="1"/>
    <col min="1185" max="1185" width="8.28515625" bestFit="1" customWidth="1"/>
    <col min="1186" max="1186" width="11.85546875" bestFit="1" customWidth="1"/>
    <col min="1187" max="1187" width="8.28515625" bestFit="1" customWidth="1"/>
    <col min="1188" max="1188" width="12.85546875" bestFit="1" customWidth="1"/>
    <col min="1189" max="1189" width="8.28515625" bestFit="1" customWidth="1"/>
    <col min="1190" max="1191" width="12.85546875" bestFit="1" customWidth="1"/>
    <col min="1192" max="1192" width="8.28515625" bestFit="1" customWidth="1"/>
    <col min="1193" max="1193" width="12.85546875" bestFit="1" customWidth="1"/>
    <col min="1194" max="1194" width="8.28515625" bestFit="1" customWidth="1"/>
    <col min="1195" max="1196" width="12.85546875" bestFit="1" customWidth="1"/>
    <col min="1197" max="1197" width="8.28515625" bestFit="1" customWidth="1"/>
    <col min="1198" max="1198" width="11.85546875" bestFit="1" customWidth="1"/>
    <col min="1199" max="1199" width="8.28515625" bestFit="1" customWidth="1"/>
    <col min="1200" max="1200" width="11.85546875" bestFit="1" customWidth="1"/>
    <col min="1201" max="1201" width="8.28515625" bestFit="1" customWidth="1"/>
    <col min="1202" max="1202" width="11.85546875" bestFit="1" customWidth="1"/>
    <col min="1203" max="1203" width="8.28515625" bestFit="1" customWidth="1"/>
    <col min="1204" max="1204" width="11.85546875" bestFit="1" customWidth="1"/>
    <col min="1205" max="1205" width="8.28515625" bestFit="1" customWidth="1"/>
    <col min="1206" max="1206" width="12.85546875" bestFit="1" customWidth="1"/>
    <col min="1207" max="1207" width="8.28515625" bestFit="1" customWidth="1"/>
    <col min="1208" max="1209" width="12.85546875" bestFit="1" customWidth="1"/>
    <col min="1210" max="1210" width="8.28515625" bestFit="1" customWidth="1"/>
    <col min="1211" max="1212" width="12.85546875" bestFit="1" customWidth="1"/>
    <col min="1213" max="1213" width="8.28515625" bestFit="1" customWidth="1"/>
    <col min="1214" max="1215" width="12.85546875" bestFit="1" customWidth="1"/>
    <col min="1216" max="1216" width="8.28515625" bestFit="1" customWidth="1"/>
    <col min="1217" max="1217" width="12.85546875" bestFit="1" customWidth="1"/>
    <col min="1218" max="1218" width="8.28515625" bestFit="1" customWidth="1"/>
    <col min="1219" max="1220" width="12.85546875" bestFit="1" customWidth="1"/>
    <col min="1221" max="1221" width="8.28515625" bestFit="1" customWidth="1"/>
    <col min="1222" max="1223" width="12.85546875" bestFit="1" customWidth="1"/>
    <col min="1224" max="1224" width="8.28515625" bestFit="1" customWidth="1"/>
    <col min="1225" max="1225" width="12.85546875" bestFit="1" customWidth="1"/>
    <col min="1226" max="1226" width="8.28515625" bestFit="1" customWidth="1"/>
    <col min="1227" max="1228" width="12.85546875" bestFit="1" customWidth="1"/>
    <col min="1229" max="1229" width="8.28515625" bestFit="1" customWidth="1"/>
    <col min="1230" max="1230" width="11.85546875" bestFit="1" customWidth="1"/>
    <col min="1231" max="1231" width="8.28515625" bestFit="1" customWidth="1"/>
    <col min="1232" max="1232" width="11.85546875" bestFit="1" customWidth="1"/>
    <col min="1233" max="1233" width="8.28515625" bestFit="1" customWidth="1"/>
    <col min="1234" max="1234" width="12.85546875" bestFit="1" customWidth="1"/>
    <col min="1235" max="1235" width="8.28515625" bestFit="1" customWidth="1"/>
    <col min="1236" max="1237" width="12.85546875" bestFit="1" customWidth="1"/>
    <col min="1238" max="1238" width="8.28515625" bestFit="1" customWidth="1"/>
    <col min="1239" max="1240" width="12.85546875" bestFit="1" customWidth="1"/>
    <col min="1241" max="1241" width="8.28515625" bestFit="1" customWidth="1"/>
    <col min="1242" max="1242" width="12.85546875" bestFit="1" customWidth="1"/>
    <col min="1243" max="1243" width="8.28515625" bestFit="1" customWidth="1"/>
    <col min="1244" max="1245" width="12.85546875" bestFit="1" customWidth="1"/>
    <col min="1246" max="1246" width="8.28515625" bestFit="1" customWidth="1"/>
    <col min="1247" max="1248" width="12.85546875" bestFit="1" customWidth="1"/>
    <col min="1249" max="1249" width="8.28515625" bestFit="1" customWidth="1"/>
    <col min="1250" max="1250" width="12.85546875" bestFit="1" customWidth="1"/>
    <col min="1251" max="1251" width="8.28515625" bestFit="1" customWidth="1"/>
    <col min="1252" max="1253" width="12.85546875" bestFit="1" customWidth="1"/>
    <col min="1254" max="1254" width="8.28515625" bestFit="1" customWidth="1"/>
    <col min="1255" max="1256" width="12.85546875" bestFit="1" customWidth="1"/>
    <col min="1257" max="1257" width="8.28515625" bestFit="1" customWidth="1"/>
    <col min="1258" max="1258" width="12.85546875" bestFit="1" customWidth="1"/>
    <col min="1259" max="1259" width="8.28515625" bestFit="1" customWidth="1"/>
    <col min="1260" max="1261" width="12.85546875" bestFit="1" customWidth="1"/>
    <col min="1262" max="1262" width="8.28515625" bestFit="1" customWidth="1"/>
    <col min="1263" max="1263" width="12.85546875" bestFit="1" customWidth="1"/>
    <col min="1264" max="1264" width="8.28515625" bestFit="1" customWidth="1"/>
    <col min="1265" max="1266" width="12.85546875" bestFit="1" customWidth="1"/>
    <col min="1267" max="1267" width="8.28515625" bestFit="1" customWidth="1"/>
    <col min="1268" max="1268" width="12.85546875" bestFit="1" customWidth="1"/>
    <col min="1269" max="1269" width="8.28515625" bestFit="1" customWidth="1"/>
    <col min="1270" max="1271" width="12.85546875" bestFit="1" customWidth="1"/>
    <col min="1272" max="1272" width="8.28515625" bestFit="1" customWidth="1"/>
    <col min="1273" max="1273" width="12.85546875" bestFit="1" customWidth="1"/>
    <col min="1274" max="1274" width="8.28515625" bestFit="1" customWidth="1"/>
    <col min="1275" max="1276" width="12.85546875" bestFit="1" customWidth="1"/>
    <col min="1277" max="1277" width="8.28515625" bestFit="1" customWidth="1"/>
    <col min="1278" max="1279" width="12.85546875" bestFit="1" customWidth="1"/>
    <col min="1280" max="1280" width="8.28515625" bestFit="1" customWidth="1"/>
    <col min="1281" max="1282" width="12.85546875" bestFit="1" customWidth="1"/>
    <col min="1283" max="1283" width="8.28515625" bestFit="1" customWidth="1"/>
    <col min="1284" max="1285" width="12.85546875" bestFit="1" customWidth="1"/>
    <col min="1286" max="1286" width="8.28515625" bestFit="1" customWidth="1"/>
    <col min="1287" max="1288" width="12.85546875" bestFit="1" customWidth="1"/>
    <col min="1289" max="1289" width="8.28515625" bestFit="1" customWidth="1"/>
    <col min="1290" max="1291" width="12.85546875" bestFit="1" customWidth="1"/>
    <col min="1292" max="1292" width="8.28515625" bestFit="1" customWidth="1"/>
    <col min="1293" max="1293" width="12.85546875" bestFit="1" customWidth="1"/>
    <col min="1294" max="1294" width="8.28515625" bestFit="1" customWidth="1"/>
    <col min="1295" max="1296" width="12.85546875" bestFit="1" customWidth="1"/>
    <col min="1297" max="1297" width="8.28515625" bestFit="1" customWidth="1"/>
    <col min="1298" max="1299" width="12.85546875" bestFit="1" customWidth="1"/>
    <col min="1300" max="1300" width="8.28515625" bestFit="1" customWidth="1"/>
    <col min="1301" max="1302" width="12.85546875" bestFit="1" customWidth="1"/>
    <col min="1303" max="1303" width="8.28515625" bestFit="1" customWidth="1"/>
    <col min="1304" max="1305" width="12.85546875" bestFit="1" customWidth="1"/>
    <col min="1306" max="1306" width="8.28515625" bestFit="1" customWidth="1"/>
    <col min="1307" max="1308" width="12.85546875" bestFit="1" customWidth="1"/>
    <col min="1309" max="1309" width="8.28515625" bestFit="1" customWidth="1"/>
    <col min="1310" max="1310" width="12.85546875" bestFit="1" customWidth="1"/>
    <col min="1311" max="1311" width="8.28515625" bestFit="1" customWidth="1"/>
    <col min="1312" max="1313" width="12.85546875" bestFit="1" customWidth="1"/>
    <col min="1314" max="1314" width="8.28515625" bestFit="1" customWidth="1"/>
    <col min="1315" max="1316" width="12.85546875" bestFit="1" customWidth="1"/>
    <col min="1317" max="1317" width="8.28515625" bestFit="1" customWidth="1"/>
    <col min="1318" max="1319" width="12.85546875" bestFit="1" customWidth="1"/>
    <col min="1320" max="1320" width="8.28515625" bestFit="1" customWidth="1"/>
    <col min="1321" max="1321" width="12.85546875" bestFit="1" customWidth="1"/>
    <col min="1322" max="1322" width="8.28515625" bestFit="1" customWidth="1"/>
    <col min="1323" max="1324" width="12.85546875" bestFit="1" customWidth="1"/>
    <col min="1325" max="1325" width="8.28515625" bestFit="1" customWidth="1"/>
    <col min="1326" max="1326" width="12.85546875" bestFit="1" customWidth="1"/>
    <col min="1327" max="1327" width="8.28515625" bestFit="1" customWidth="1"/>
    <col min="1328" max="1328" width="12.85546875" bestFit="1" customWidth="1"/>
    <col min="1329" max="1329" width="8.28515625" bestFit="1" customWidth="1"/>
    <col min="1330" max="1331" width="12.85546875" bestFit="1" customWidth="1"/>
    <col min="1332" max="1332" width="8.28515625" bestFit="1" customWidth="1"/>
    <col min="1333" max="1334" width="12.85546875" bestFit="1" customWidth="1"/>
    <col min="1335" max="1335" width="8.28515625" bestFit="1" customWidth="1"/>
    <col min="1336" max="1337" width="12.85546875" bestFit="1" customWidth="1"/>
    <col min="1338" max="1338" width="8.28515625" bestFit="1" customWidth="1"/>
    <col min="1339" max="1340" width="12.85546875" bestFit="1" customWidth="1"/>
    <col min="1341" max="1341" width="8.28515625" bestFit="1" customWidth="1"/>
    <col min="1342" max="1342" width="12.85546875" bestFit="1" customWidth="1"/>
    <col min="1343" max="1343" width="8.28515625" bestFit="1" customWidth="1"/>
    <col min="1344" max="1345" width="12.85546875" bestFit="1" customWidth="1"/>
    <col min="1346" max="1346" width="8.28515625" bestFit="1" customWidth="1"/>
    <col min="1347" max="1348" width="12.85546875" bestFit="1" customWidth="1"/>
    <col min="1349" max="1349" width="8.28515625" bestFit="1" customWidth="1"/>
    <col min="1350" max="1350" width="12.85546875" bestFit="1" customWidth="1"/>
    <col min="1351" max="1351" width="8.28515625" bestFit="1" customWidth="1"/>
    <col min="1352" max="1352" width="12.85546875" bestFit="1" customWidth="1"/>
    <col min="1353" max="1353" width="8.28515625" bestFit="1" customWidth="1"/>
    <col min="1354" max="1355" width="12.85546875" bestFit="1" customWidth="1"/>
    <col min="1356" max="1356" width="8.28515625" bestFit="1" customWidth="1"/>
    <col min="1357" max="1358" width="12.85546875" bestFit="1" customWidth="1"/>
    <col min="1359" max="1359" width="8.28515625" bestFit="1" customWidth="1"/>
    <col min="1360" max="1360" width="12.85546875" bestFit="1" customWidth="1"/>
    <col min="1361" max="1361" width="8.28515625" bestFit="1" customWidth="1"/>
    <col min="1362" max="1362" width="12.85546875" bestFit="1" customWidth="1"/>
    <col min="1363" max="1363" width="8.28515625" bestFit="1" customWidth="1"/>
    <col min="1364" max="1365" width="12.85546875" bestFit="1" customWidth="1"/>
    <col min="1366" max="1366" width="8.28515625" bestFit="1" customWidth="1"/>
    <col min="1367" max="1368" width="12.85546875" bestFit="1" customWidth="1"/>
    <col min="1369" max="1369" width="8.28515625" bestFit="1" customWidth="1"/>
    <col min="1370" max="1370" width="12.85546875" bestFit="1" customWidth="1"/>
    <col min="1371" max="1371" width="8.28515625" bestFit="1" customWidth="1"/>
    <col min="1372" max="1373" width="12.85546875" bestFit="1" customWidth="1"/>
    <col min="1374" max="1374" width="8.28515625" bestFit="1" customWidth="1"/>
    <col min="1375" max="1376" width="12.85546875" bestFit="1" customWidth="1"/>
    <col min="1377" max="1377" width="8.28515625" bestFit="1" customWidth="1"/>
    <col min="1378" max="1378" width="12.85546875" bestFit="1" customWidth="1"/>
    <col min="1379" max="1379" width="8.28515625" bestFit="1" customWidth="1"/>
    <col min="1380" max="1380" width="12.85546875" bestFit="1" customWidth="1"/>
    <col min="1381" max="1381" width="8.28515625" bestFit="1" customWidth="1"/>
    <col min="1382" max="1383" width="12.85546875" bestFit="1" customWidth="1"/>
    <col min="1384" max="1384" width="8.28515625" bestFit="1" customWidth="1"/>
    <col min="1385" max="1385" width="12.85546875" bestFit="1" customWidth="1"/>
    <col min="1386" max="1386" width="8.28515625" bestFit="1" customWidth="1"/>
    <col min="1387" max="1388" width="12.85546875" bestFit="1" customWidth="1"/>
    <col min="1389" max="1389" width="8.28515625" bestFit="1" customWidth="1"/>
    <col min="1390" max="1390" width="12.85546875" bestFit="1" customWidth="1"/>
    <col min="1391" max="1391" width="8.28515625" bestFit="1" customWidth="1"/>
    <col min="1392" max="1393" width="12.85546875" bestFit="1" customWidth="1"/>
    <col min="1394" max="1394" width="8.28515625" bestFit="1" customWidth="1"/>
    <col min="1395" max="1396" width="12.85546875" bestFit="1" customWidth="1"/>
    <col min="1397" max="1397" width="8.28515625" bestFit="1" customWidth="1"/>
    <col min="1398" max="1399" width="12.85546875" bestFit="1" customWidth="1"/>
    <col min="1400" max="1400" width="8.28515625" bestFit="1" customWidth="1"/>
    <col min="1401" max="1402" width="12.85546875" bestFit="1" customWidth="1"/>
    <col min="1403" max="1403" width="8.28515625" bestFit="1" customWidth="1"/>
    <col min="1404" max="1404" width="12.85546875" bestFit="1" customWidth="1"/>
    <col min="1405" max="1405" width="8.28515625" bestFit="1" customWidth="1"/>
    <col min="1406" max="1407" width="12.85546875" bestFit="1" customWidth="1"/>
    <col min="1408" max="1408" width="8.28515625" bestFit="1" customWidth="1"/>
    <col min="1409" max="1410" width="12.85546875" bestFit="1" customWidth="1"/>
    <col min="1411" max="1411" width="8.28515625" bestFit="1" customWidth="1"/>
    <col min="1412" max="1413" width="12.85546875" bestFit="1" customWidth="1"/>
    <col min="1414" max="1414" width="8.28515625" bestFit="1" customWidth="1"/>
    <col min="1415" max="1416" width="12.85546875" bestFit="1" customWidth="1"/>
    <col min="1417" max="1417" width="8.28515625" bestFit="1" customWidth="1"/>
    <col min="1418" max="1419" width="12.85546875" bestFit="1" customWidth="1"/>
    <col min="1420" max="1420" width="8.28515625" bestFit="1" customWidth="1"/>
    <col min="1421" max="1422" width="12.85546875" bestFit="1" customWidth="1"/>
    <col min="1423" max="1423" width="8.28515625" bestFit="1" customWidth="1"/>
    <col min="1424" max="1425" width="12.85546875" bestFit="1" customWidth="1"/>
    <col min="1426" max="1426" width="8.28515625" bestFit="1" customWidth="1"/>
    <col min="1427" max="1428" width="12.85546875" bestFit="1" customWidth="1"/>
    <col min="1429" max="1429" width="8.28515625" bestFit="1" customWidth="1"/>
    <col min="1430" max="1431" width="12.85546875" bestFit="1" customWidth="1"/>
    <col min="1432" max="1432" width="8.28515625" bestFit="1" customWidth="1"/>
    <col min="1433" max="1434" width="12.85546875" bestFit="1" customWidth="1"/>
    <col min="1435" max="1435" width="8.28515625" bestFit="1" customWidth="1"/>
    <col min="1436" max="1437" width="12.85546875" bestFit="1" customWidth="1"/>
    <col min="1438" max="1438" width="8.28515625" bestFit="1" customWidth="1"/>
    <col min="1439" max="1440" width="12.85546875" bestFit="1" customWidth="1"/>
    <col min="1441" max="1441" width="11.28515625" bestFit="1" customWidth="1"/>
  </cols>
  <sheetData>
    <row r="1" spans="2:13" ht="18.75" x14ac:dyDescent="0.3">
      <c r="B1" s="26" t="s">
        <v>1132</v>
      </c>
      <c r="C1" s="27"/>
      <c r="D1" s="27"/>
      <c r="E1" s="27"/>
      <c r="F1" s="27"/>
      <c r="G1" s="27"/>
    </row>
    <row r="2" spans="2:13" ht="18.75" x14ac:dyDescent="0.3">
      <c r="B2" s="28" t="s">
        <v>1133</v>
      </c>
      <c r="C2" s="28"/>
      <c r="D2" s="28"/>
      <c r="E2" s="28"/>
      <c r="F2" s="28"/>
      <c r="G2" s="28"/>
    </row>
    <row r="3" spans="2:13" x14ac:dyDescent="0.25">
      <c r="B3" s="4"/>
      <c r="C3" s="4"/>
      <c r="D3" s="4"/>
      <c r="E3" s="4"/>
      <c r="F3" s="4"/>
      <c r="G3" s="4"/>
    </row>
    <row r="4" spans="2:13" x14ac:dyDescent="0.25">
      <c r="B4" s="8" t="s">
        <v>1134</v>
      </c>
      <c r="C4" s="8"/>
      <c r="D4" s="8" t="s">
        <v>1135</v>
      </c>
      <c r="E4" s="8"/>
      <c r="F4" s="8" t="s">
        <v>16</v>
      </c>
      <c r="G4" s="8"/>
    </row>
    <row r="5" spans="2:13" x14ac:dyDescent="0.25">
      <c r="B5" s="5">
        <f>SUM('coffee shop project'!M:M)</f>
        <v>202895</v>
      </c>
      <c r="C5" s="5"/>
      <c r="D5" s="9">
        <f>SUM('coffee shop project'!P:P)</f>
        <v>64311</v>
      </c>
      <c r="E5" s="9"/>
      <c r="F5" s="7">
        <f>SUM('coffee shop project'!P:P)/SUM('coffee shop project'!M:M)</f>
        <v>0.31696690406367828</v>
      </c>
      <c r="G5" s="7"/>
    </row>
    <row r="8" spans="2:13" x14ac:dyDescent="0.25">
      <c r="B8" s="10" t="s">
        <v>1136</v>
      </c>
      <c r="C8" s="10"/>
      <c r="D8" s="10" t="s">
        <v>1137</v>
      </c>
      <c r="E8" s="10"/>
      <c r="F8" s="10" t="s">
        <v>1138</v>
      </c>
      <c r="G8" s="10"/>
    </row>
    <row r="9" spans="2:13" x14ac:dyDescent="0.25">
      <c r="B9" s="6">
        <f>SUM('coffee shop project'!M:M)/SUM('coffee shop project'!R:R)</f>
        <v>1.1338716888342462</v>
      </c>
      <c r="C9" s="6"/>
      <c r="D9" s="6">
        <f>SUM('coffee shop project'!P:P)/SUM('coffee shop project'!T:T)</f>
        <v>1.006431924882629</v>
      </c>
      <c r="E9" s="6"/>
      <c r="F9" s="4">
        <f>ROWS('coffee shop project'!A2:A1063)</f>
        <v>1062</v>
      </c>
      <c r="G9" s="4"/>
    </row>
    <row r="12" spans="2:13" x14ac:dyDescent="0.25">
      <c r="B12" s="11" t="s">
        <v>1139</v>
      </c>
      <c r="C12" s="11"/>
      <c r="D12" s="11"/>
      <c r="E12" s="11"/>
      <c r="F12" s="11"/>
      <c r="G12" s="11"/>
      <c r="J12" s="20"/>
      <c r="K12" s="20"/>
      <c r="L12" s="20"/>
      <c r="M12" s="20"/>
    </row>
    <row r="13" spans="2:13" x14ac:dyDescent="0.25">
      <c r="B13" s="17" t="s">
        <v>1140</v>
      </c>
      <c r="C13" s="17" t="s">
        <v>1141</v>
      </c>
      <c r="D13" s="17" t="s">
        <v>1142</v>
      </c>
      <c r="E13" s="17" t="s">
        <v>1145</v>
      </c>
      <c r="F13" s="17" t="s">
        <v>1143</v>
      </c>
      <c r="G13" s="17" t="s">
        <v>1146</v>
      </c>
      <c r="J13" s="21"/>
      <c r="K13" s="21"/>
      <c r="L13" s="21"/>
      <c r="M13" s="21"/>
    </row>
    <row r="14" spans="2:13" x14ac:dyDescent="0.25">
      <c r="B14" t="s">
        <v>1144</v>
      </c>
      <c r="C14" s="13">
        <f>SUM('coffee shop project'!R:R)</f>
        <v>178940</v>
      </c>
      <c r="D14" s="13">
        <f>SUM('coffee shop project'!M:M)</f>
        <v>202895</v>
      </c>
      <c r="E14" s="12">
        <f>D14-C14</f>
        <v>23955</v>
      </c>
      <c r="F14" s="14">
        <f>E14/C14</f>
        <v>0.13387168883424611</v>
      </c>
      <c r="G14" t="s">
        <v>1147</v>
      </c>
      <c r="J14" s="21"/>
      <c r="K14" s="21"/>
      <c r="L14" s="21"/>
      <c r="M14" s="21"/>
    </row>
    <row r="15" spans="2:13" x14ac:dyDescent="0.25">
      <c r="B15" t="s">
        <v>15</v>
      </c>
      <c r="C15" s="13">
        <f>SUM('coffee shop project'!T:T)</f>
        <v>63900</v>
      </c>
      <c r="D15" s="13">
        <f>SUM('coffee shop project'!P:P)</f>
        <v>64311</v>
      </c>
      <c r="E15">
        <f>D15-C15</f>
        <v>411</v>
      </c>
      <c r="F15" s="14">
        <f>E15/D15</f>
        <v>6.390819610953025E-3</v>
      </c>
      <c r="G15" t="s">
        <v>1148</v>
      </c>
    </row>
    <row r="16" spans="2:13" x14ac:dyDescent="0.25">
      <c r="B16" t="s">
        <v>13</v>
      </c>
      <c r="C16">
        <f>SUM('coffee shop project'!S:S)</f>
        <v>76120</v>
      </c>
      <c r="D16">
        <f>SUM('coffee shop project'!N:N)</f>
        <v>87508</v>
      </c>
      <c r="E16">
        <f>D16-C16</f>
        <v>11388</v>
      </c>
      <c r="F16" s="14">
        <f>E16/D16</f>
        <v>0.1301366732184486</v>
      </c>
      <c r="G16" t="s">
        <v>1147</v>
      </c>
    </row>
    <row r="19" spans="2:16" x14ac:dyDescent="0.25">
      <c r="B19" s="11" t="s">
        <v>1154</v>
      </c>
      <c r="C19" s="11"/>
      <c r="D19" s="11"/>
      <c r="E19" s="11"/>
      <c r="F19" s="11"/>
      <c r="G19" s="19"/>
      <c r="H19" s="11" t="s">
        <v>1155</v>
      </c>
      <c r="I19" s="11"/>
      <c r="J19" s="11"/>
      <c r="K19" s="11"/>
      <c r="L19" s="4"/>
      <c r="M19" s="4"/>
      <c r="N19" s="4"/>
      <c r="O19" s="4"/>
      <c r="P19" s="4"/>
    </row>
    <row r="20" spans="2:16" x14ac:dyDescent="0.25">
      <c r="B20" s="18"/>
      <c r="C20" s="25">
        <v>1</v>
      </c>
      <c r="D20" s="25">
        <v>2</v>
      </c>
      <c r="E20" s="25">
        <v>3</v>
      </c>
      <c r="F20" s="25">
        <v>4</v>
      </c>
      <c r="G20" s="18"/>
      <c r="H20" s="25">
        <v>5</v>
      </c>
      <c r="I20" s="25">
        <v>6</v>
      </c>
      <c r="J20" s="25">
        <v>7</v>
      </c>
      <c r="K20" s="25">
        <v>8</v>
      </c>
      <c r="L20" s="15"/>
      <c r="M20" s="15"/>
      <c r="N20" s="15"/>
    </row>
    <row r="21" spans="2:16" x14ac:dyDescent="0.25">
      <c r="B21" t="s">
        <v>1144</v>
      </c>
      <c r="C21">
        <f>SUMIFS('coffee shop project'!M:M,'coffee shop project'!B:B, "&gt;=1/1/2024",'coffee shop project'!B:B, "&lt;=03/31/2024")</f>
        <v>49221</v>
      </c>
      <c r="D21">
        <f>SUMIFS('coffee shop project'!M:M,'coffee shop project'!B:B, "&gt;=4/1/2024",'coffee shop project'!B:B, "&lt;=06/30/2024")</f>
        <v>54512</v>
      </c>
      <c r="E21">
        <f>SUMIFS('coffee shop project'!M:M,'coffee shop project'!B:B, "&gt;=7/1/2024",'coffee shop project'!B:B, "&lt;=09/30/2024")</f>
        <v>47823</v>
      </c>
      <c r="F21">
        <f>SUMIFS('coffee shop project'!M:M,'coffee shop project'!B:B,"&gt;=10/1/2024",'coffee shop project'!B:B,"&lt;=12/31/2024")</f>
        <v>51339</v>
      </c>
      <c r="H21">
        <f>_xlfn.FORECAST.LINEAR(H20,C21:F21,C20:F20)</f>
        <v>50640</v>
      </c>
      <c r="I21">
        <f>_xlfn.FORECAST.LINEAR(I20,C21:F21,C20:F20)</f>
        <v>50606.5</v>
      </c>
      <c r="J21">
        <f>_xlfn.FORECAST.LINEAR(J20,C21:F21,C20:F20)</f>
        <v>50573</v>
      </c>
      <c r="K21">
        <f>_xlfn.FORECAST.LINEAR(K20,C21:F21,C20:F20)</f>
        <v>50539.5</v>
      </c>
    </row>
    <row r="22" spans="2:16" x14ac:dyDescent="0.25">
      <c r="B22" t="s">
        <v>15</v>
      </c>
      <c r="C22">
        <f>SUMIFS('coffee shop project'!P:P,'coffee shop project'!B:B, "&gt;=1/1/2024",'coffee shop project'!B:B, "&lt;=03/31/2024")</f>
        <v>16298</v>
      </c>
      <c r="D22">
        <f>SUMIFS('coffee shop project'!P:P,'coffee shop project'!B:B, "&gt;=4/1/2024",'coffee shop project'!B:B, "&lt;=06/30/2024")</f>
        <v>17103</v>
      </c>
      <c r="E22">
        <f>SUMIFS('coffee shop project'!P:P,'coffee shop project'!B:B, "&gt;=7/1/2024",'coffee shop project'!B:B, "&lt;=09/30/2024")</f>
        <v>14894</v>
      </c>
      <c r="F22">
        <f>SUMIFS('coffee shop project'!P:P,'coffee shop project'!B:B,"&gt;=10/1/2024",'coffee shop project'!B:B,"&lt;=12/31/2024")</f>
        <v>16016</v>
      </c>
      <c r="H22">
        <f>_xlfn.FORECAST.LINEAR(H20,C22:F22,C20:F20)</f>
        <v>15314</v>
      </c>
      <c r="I22">
        <f>_xlfn.FORECAST.LINEAR(I20,C22:F22,C20:F20)</f>
        <v>15008.5</v>
      </c>
      <c r="J22">
        <f>_xlfn.FORECAST.LINEAR(J20,C22:F22,C20:F20)</f>
        <v>14703</v>
      </c>
      <c r="K22">
        <f>_xlfn.FORECAST.LINEAR(K20,C22:F22,C20:F20)</f>
        <v>14397.5</v>
      </c>
    </row>
    <row r="23" spans="2:16" x14ac:dyDescent="0.25">
      <c r="B23" t="s">
        <v>13</v>
      </c>
      <c r="C23">
        <f>SUMIFS('coffee shop project'!N:N,'coffee shop project'!B:B, "&gt;=1/1/2024",'coffee shop project'!B:B, "&lt;=03/31/2024")</f>
        <v>20911</v>
      </c>
      <c r="D23">
        <f>SUMIFS('coffee shop project'!N:N,'coffee shop project'!B:B, "&gt;=4/1/2024",'coffee shop project'!B:B, "&lt;=06/30/2024")</f>
        <v>23618</v>
      </c>
      <c r="E23">
        <f>SUMIFS('coffee shop project'!N:N,'coffee shop project'!B:B, "&gt;=7/1/2024",'coffee shop project'!B:B, "&lt;=09/30/2024")</f>
        <v>20589</v>
      </c>
      <c r="F23">
        <f>SUMIFS('coffee shop project'!N:N,'coffee shop project'!B:B,"&gt;=10/1/2024",'coffee shop project'!B:B,"&lt;=12/31/2024")</f>
        <v>22390</v>
      </c>
      <c r="H23">
        <f>_xlfn.FORECAST.LINEAR(H20,C23:F23,C20:F20)</f>
        <v>22229</v>
      </c>
      <c r="I23">
        <f>_xlfn.FORECAST.LINEAR(I20,C23:F23,C20:F20)</f>
        <v>22369.8</v>
      </c>
      <c r="J23">
        <f>_xlfn.FORECAST.LINEAR(J20,C23:F23,C20:F20)</f>
        <v>22510.6</v>
      </c>
      <c r="K23">
        <f>_xlfn.FORECAST.LINEAR(K20,C23:F23,C20:F20)</f>
        <v>22651.4</v>
      </c>
    </row>
    <row r="26" spans="2:16" ht="18.75" x14ac:dyDescent="0.3">
      <c r="B26" s="22" t="s">
        <v>1152</v>
      </c>
      <c r="C26" s="22"/>
      <c r="D26" s="22"/>
      <c r="E26" s="22"/>
      <c r="F26" s="22"/>
      <c r="G26" s="22"/>
      <c r="H26" s="22"/>
    </row>
    <row r="27" spans="2:16" x14ac:dyDescent="0.25">
      <c r="C27" s="16" t="s">
        <v>1149</v>
      </c>
    </row>
    <row r="28" spans="2:16" x14ac:dyDescent="0.25">
      <c r="C28" s="23" t="s">
        <v>50</v>
      </c>
      <c r="D28" s="23" t="s">
        <v>46</v>
      </c>
      <c r="E28" s="23" t="s">
        <v>68</v>
      </c>
      <c r="F28" s="23" t="s">
        <v>39</v>
      </c>
      <c r="G28" s="23" t="s">
        <v>55</v>
      </c>
      <c r="H28" s="23" t="s">
        <v>1150</v>
      </c>
    </row>
    <row r="29" spans="2:16" x14ac:dyDescent="0.25">
      <c r="B29" t="s">
        <v>1151</v>
      </c>
      <c r="C29" s="24">
        <v>30761</v>
      </c>
      <c r="D29" s="24">
        <v>24048</v>
      </c>
      <c r="E29" s="24">
        <v>21716</v>
      </c>
      <c r="F29" s="24">
        <v>19295</v>
      </c>
      <c r="G29" s="24">
        <v>18888</v>
      </c>
      <c r="H29" s="24">
        <v>114708</v>
      </c>
    </row>
    <row r="32" spans="2:16" ht="18.75" x14ac:dyDescent="0.3">
      <c r="B32" s="22" t="s">
        <v>1153</v>
      </c>
      <c r="C32" s="22"/>
      <c r="D32" s="22"/>
      <c r="E32" s="22"/>
      <c r="F32" s="22"/>
      <c r="G32" s="22"/>
      <c r="H32" s="22"/>
    </row>
    <row r="33" spans="2:8" x14ac:dyDescent="0.25">
      <c r="C33" s="16" t="s">
        <v>1149</v>
      </c>
    </row>
    <row r="34" spans="2:8" x14ac:dyDescent="0.25">
      <c r="C34" s="23" t="s">
        <v>62</v>
      </c>
      <c r="D34" s="23" t="s">
        <v>99</v>
      </c>
      <c r="E34" s="23" t="s">
        <v>37</v>
      </c>
      <c r="F34" s="23" t="s">
        <v>65</v>
      </c>
      <c r="G34" s="23" t="s">
        <v>124</v>
      </c>
      <c r="H34" s="23" t="s">
        <v>1150</v>
      </c>
    </row>
    <row r="35" spans="2:8" x14ac:dyDescent="0.25">
      <c r="B35" t="s">
        <v>1151</v>
      </c>
      <c r="C35" s="24">
        <v>23032</v>
      </c>
      <c r="D35" s="24">
        <v>17731</v>
      </c>
      <c r="E35" s="24">
        <v>16812</v>
      </c>
      <c r="F35" s="24">
        <v>14822</v>
      </c>
      <c r="G35" s="24">
        <v>13359</v>
      </c>
      <c r="H35" s="24">
        <v>85756</v>
      </c>
    </row>
    <row r="38" spans="2:8" x14ac:dyDescent="0.25">
      <c r="B38" s="30" t="s">
        <v>1162</v>
      </c>
      <c r="C38" s="30"/>
      <c r="D38" s="30"/>
      <c r="E38" s="30"/>
      <c r="F38" s="30"/>
    </row>
    <row r="39" spans="2:8" x14ac:dyDescent="0.25">
      <c r="B39" s="30"/>
      <c r="C39" s="30"/>
      <c r="D39" s="30"/>
      <c r="E39" s="30"/>
      <c r="F39" s="30"/>
    </row>
    <row r="40" spans="2:8" x14ac:dyDescent="0.25">
      <c r="B40" s="29" t="s">
        <v>1156</v>
      </c>
      <c r="C40" s="29"/>
      <c r="D40" s="29" t="s">
        <v>1157</v>
      </c>
      <c r="E40" s="29"/>
      <c r="F40" s="29"/>
      <c r="G40" s="29"/>
    </row>
    <row r="41" spans="2:8" x14ac:dyDescent="0.25">
      <c r="B41" s="29" t="s">
        <v>1158</v>
      </c>
      <c r="C41" s="29"/>
      <c r="D41" s="29" t="s">
        <v>1159</v>
      </c>
      <c r="E41" s="29"/>
      <c r="F41" s="29"/>
      <c r="G41" s="29"/>
    </row>
    <row r="42" spans="2:8" x14ac:dyDescent="0.25">
      <c r="B42" s="29" t="s">
        <v>1160</v>
      </c>
      <c r="C42" s="29"/>
      <c r="D42" s="29" t="s">
        <v>1161</v>
      </c>
      <c r="E42" s="29"/>
      <c r="F42" s="29"/>
      <c r="G42" s="29"/>
    </row>
  </sheetData>
  <mergeCells count="28">
    <mergeCell ref="B42:C42"/>
    <mergeCell ref="B38:F39"/>
    <mergeCell ref="B32:H32"/>
    <mergeCell ref="B26:H26"/>
    <mergeCell ref="D42:G42"/>
    <mergeCell ref="D41:G41"/>
    <mergeCell ref="B40:C40"/>
    <mergeCell ref="D40:G40"/>
    <mergeCell ref="B41:C41"/>
    <mergeCell ref="L19:P19"/>
    <mergeCell ref="B12:G12"/>
    <mergeCell ref="H19:K19"/>
    <mergeCell ref="B9:C9"/>
    <mergeCell ref="D9:E9"/>
    <mergeCell ref="F9:G9"/>
    <mergeCell ref="B19:F19"/>
    <mergeCell ref="B5:C5"/>
    <mergeCell ref="D5:E5"/>
    <mergeCell ref="F5:G5"/>
    <mergeCell ref="B8:C8"/>
    <mergeCell ref="D8:E8"/>
    <mergeCell ref="F8:G8"/>
    <mergeCell ref="B1:G1"/>
    <mergeCell ref="B2:G2"/>
    <mergeCell ref="B3:G3"/>
    <mergeCell ref="B4:C4"/>
    <mergeCell ref="D4:E4"/>
    <mergeCell ref="F4:G4"/>
  </mergeCell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coffee shop project</vt:lpstr>
      <vt:lpstr>coffe shop project(excel)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Xebec</dc:creator>
  <cp:lastModifiedBy>oden kouzki</cp:lastModifiedBy>
  <dcterms:created xsi:type="dcterms:W3CDTF">2026-01-28T09:50:08Z</dcterms:created>
  <dcterms:modified xsi:type="dcterms:W3CDTF">2026-01-28T09:50:36Z</dcterms:modified>
</cp:coreProperties>
</file>